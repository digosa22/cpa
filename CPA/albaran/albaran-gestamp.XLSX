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150" windowWidth="15480" windowHeight="8040"/>
  </bookViews>
  <sheets>
    <sheet name="ALBARAN" sheetId="1" r:id="rId1"/>
  </sheets>
  <definedNames>
    <definedName name="_xlnm.Print_Area" localSheetId="0">ALBARAN!$B$1:$I$66</definedName>
  </definedNames>
  <calcPr calcId="145621"/>
</workbook>
</file>

<file path=xl/calcChain.xml><?xml version="1.0" encoding="utf-8"?>
<calcChain xmlns="http://schemas.openxmlformats.org/spreadsheetml/2006/main">
  <c r="I43" i="1" l="1"/>
  <c r="I38" i="1"/>
  <c r="I39" i="1"/>
  <c r="I37" i="1"/>
  <c r="H43" i="1"/>
  <c r="I44" i="1" l="1"/>
  <c r="I45" i="1" s="1"/>
</calcChain>
</file>

<file path=xl/sharedStrings.xml><?xml version="1.0" encoding="utf-8"?>
<sst xmlns="http://schemas.openxmlformats.org/spreadsheetml/2006/main" count="55" uniqueCount="47">
  <si>
    <r>
      <t xml:space="preserve">                   </t>
    </r>
    <r>
      <rPr>
        <b/>
        <u/>
        <sz val="18"/>
        <color indexed="8"/>
        <rFont val="Arial"/>
        <family val="2"/>
      </rPr>
      <t>" CPA Vitoria 06 " LIEFERANTENQUALITÄT FÜR DIE AUTOMOBILINDUSTRIE</t>
    </r>
  </si>
  <si>
    <t xml:space="preserve"> Empresa</t>
  </si>
  <si>
    <t xml:space="preserve"> Dirección</t>
  </si>
  <si>
    <t>N.I.F</t>
  </si>
  <si>
    <t xml:space="preserve"> CPA Vitoria 06  S.L.U</t>
  </si>
  <si>
    <t>B01398213</t>
  </si>
  <si>
    <t xml:space="preserve"> Persona de contacto</t>
  </si>
  <si>
    <t xml:space="preserve">Teléfono </t>
  </si>
  <si>
    <t xml:space="preserve"> Sr. Javier Burgos Villameriel</t>
  </si>
  <si>
    <t>+34 945 18 6888 / +34 620 83 80 70</t>
  </si>
  <si>
    <t xml:space="preserve"> Descripción del trabajo: </t>
  </si>
  <si>
    <r>
      <t xml:space="preserve"> Cargos de </t>
    </r>
    <r>
      <rPr>
        <b/>
        <sz val="18"/>
        <rFont val="CorpoS"/>
      </rPr>
      <t>CPA</t>
    </r>
    <r>
      <rPr>
        <sz val="18"/>
        <rFont val="CorpoS"/>
      </rPr>
      <t xml:space="preserve"> </t>
    </r>
    <r>
      <rPr>
        <b/>
        <sz val="18"/>
        <rFont val="CorpoS"/>
      </rPr>
      <t>Vitoria 06</t>
    </r>
    <r>
      <rPr>
        <sz val="18"/>
        <rFont val="CorpoS"/>
      </rPr>
      <t xml:space="preserve"> </t>
    </r>
  </si>
  <si>
    <t>Tiempo           (Horas)</t>
  </si>
  <si>
    <t>Cargos
(Euros)</t>
  </si>
  <si>
    <t xml:space="preserve">          Suma</t>
  </si>
  <si>
    <t>21% IVA</t>
  </si>
  <si>
    <t xml:space="preserve"> CPA Vitoria 06 S.L.</t>
  </si>
  <si>
    <t xml:space="preserve">               I.B.A.N - ES20 2095 3112 29 1090452045  </t>
  </si>
  <si>
    <t xml:space="preserve">                              B.I.C - BASKES2BXXX</t>
  </si>
  <si>
    <t xml:space="preserve">               I.B.A.N - ES88 0049 5475 8628 9504 0365</t>
  </si>
  <si>
    <t xml:space="preserve">                              B.I.C - BSCH ESMM</t>
  </si>
  <si>
    <t>FORMA DE PAGO</t>
  </si>
  <si>
    <t>NUMERO DE CUENTA</t>
  </si>
  <si>
    <t>LIMITE DE PAGO</t>
  </si>
  <si>
    <t xml:space="preserve">                              BANCO: Kutxabank</t>
  </si>
  <si>
    <t xml:space="preserve">                              30 Días desde su emisión</t>
  </si>
  <si>
    <t>Transferencia bancaria</t>
  </si>
  <si>
    <t xml:space="preserve">                              BANCO: Banco Santander</t>
  </si>
  <si>
    <t>Nº Proveedor</t>
  </si>
  <si>
    <t>Nº Pedido</t>
  </si>
  <si>
    <t xml:space="preserve">                         Empresa inscrita en el registro mercantil    Tomo:1246 Libro:0 Folio:134  Hoja:VI-11448  CIF:B01398213</t>
  </si>
  <si>
    <t>GESTAMP BIZKAIA S.A</t>
  </si>
  <si>
    <t xml:space="preserve"> POLIGONO INDUSTRIAL DE LEBARIO                            APDO 81        48220-ABADIÑO</t>
  </si>
  <si>
    <t xml:space="preserve">  Jakoba Arin </t>
  </si>
  <si>
    <t>944507000</t>
  </si>
  <si>
    <t>A48255863</t>
  </si>
  <si>
    <t>Nº de Albaran</t>
  </si>
  <si>
    <t>ALBARAN</t>
  </si>
  <si>
    <t>Fecha de emisión de albaran</t>
  </si>
  <si>
    <t xml:space="preserve"> C/Jose Domingo Olarte,25-7ºB 01010-Vitoria (Álava)</t>
  </si>
  <si>
    <t xml:space="preserve"> Hora  Normal </t>
  </si>
  <si>
    <t>Hora Coordinación</t>
  </si>
  <si>
    <t>Hora Administración</t>
  </si>
  <si>
    <t>B0032-15</t>
  </si>
  <si>
    <r>
      <rPr>
        <sz val="18"/>
        <rFont val="CorpoS"/>
      </rPr>
      <t>El Sr. Alex Barrenetxea</t>
    </r>
    <r>
      <rPr>
        <sz val="18"/>
        <color indexed="10"/>
        <rFont val="CorpoS"/>
      </rPr>
      <t xml:space="preserve"> </t>
    </r>
    <r>
      <rPr>
        <sz val="18"/>
        <rFont val="CorpoS"/>
      </rPr>
      <t xml:space="preserve"> autoriza a la empresa que representa a la revisión del Stock de sus piezas en Mercedes Vitoria de acuerdo a las siguientes instrucciones.                                                                                                                                                                              Trabajos a realizar.: Revisar Rotura en Pared Interior A1</t>
    </r>
  </si>
  <si>
    <t xml:space="preserve"> Motivo:Revisar Rotura en Pared Interior A1</t>
  </si>
  <si>
    <t xml:space="preserve"> Tiempo de trabajo el 14 de Septiembre de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</si>
</sst>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"/>
    <numFmt numFmtId="165" formatCode="0.0"/>
    <numFmt numFmtId="166" formatCode="dd/mm/yyyy;@"/>
  </numFmts>
  <fonts count="14">
    <font>
      <sz val="10"/>
      <name val="Arial"/>
      <family val="2"/>
    </font>
    <font>
      <sz val="18"/>
      <name val="Arial"/>
      <family val="2"/>
    </font>
    <font>
      <sz val="18"/>
      <color indexed="8"/>
      <name val="Arial"/>
      <family val="2"/>
    </font>
    <font>
      <b/>
      <u/>
      <sz val="18"/>
      <color indexed="8"/>
      <name val="Arial"/>
      <family val="2"/>
    </font>
    <font>
      <sz val="18"/>
      <name val="CorpoS"/>
    </font>
    <font>
      <b/>
      <sz val="18"/>
      <name val="Arial"/>
      <family val="2"/>
    </font>
    <font>
      <b/>
      <sz val="18"/>
      <name val="CorpoS"/>
    </font>
    <font>
      <sz val="18"/>
      <color indexed="8"/>
      <name val="CorpoS"/>
    </font>
    <font>
      <b/>
      <sz val="18"/>
      <color indexed="8"/>
      <name val="CorpoS"/>
    </font>
    <font>
      <b/>
      <sz val="18"/>
      <color indexed="10"/>
      <name val="CorpoS"/>
    </font>
    <font>
      <b/>
      <sz val="18"/>
      <color indexed="10"/>
      <name val="Arial"/>
      <family val="2"/>
    </font>
    <font>
      <sz val="18"/>
      <color indexed="10"/>
      <name val="CorpoS"/>
    </font>
    <font>
      <b/>
      <sz val="10"/>
      <name val="Arial"/>
      <family val="2"/>
    </font>
    <font>
      <b/>
      <sz val="20"/>
      <color indexed="8"/>
      <name val="CorpoS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 applyAlignment="1" applyProtection="1"/>
    <xf numFmtId="0" fontId="1" fillId="0" borderId="0" xfId="0" applyFont="1" applyProtection="1"/>
    <xf numFmtId="0" fontId="1" fillId="2" borderId="0" xfId="0" applyFont="1" applyFill="1" applyAlignment="1" applyProtection="1"/>
    <xf numFmtId="0" fontId="1" fillId="2" borderId="0" xfId="0" applyFont="1" applyFill="1" applyProtection="1"/>
    <xf numFmtId="0" fontId="5" fillId="2" borderId="0" xfId="0" applyFont="1" applyFill="1" applyAlignment="1" applyProtection="1"/>
    <xf numFmtId="0" fontId="5" fillId="2" borderId="0" xfId="0" applyFont="1" applyFill="1" applyProtection="1"/>
    <xf numFmtId="0" fontId="5" fillId="0" borderId="0" xfId="0" applyFont="1" applyProtection="1"/>
    <xf numFmtId="0" fontId="1" fillId="2" borderId="0" xfId="0" applyFont="1" applyFill="1" applyAlignment="1" applyProtection="1">
      <alignment vertical="center"/>
    </xf>
    <xf numFmtId="0" fontId="1" fillId="0" borderId="0" xfId="0" applyFont="1" applyAlignment="1" applyProtection="1">
      <alignment vertical="center"/>
    </xf>
    <xf numFmtId="0" fontId="5" fillId="2" borderId="0" xfId="0" applyFont="1" applyFill="1" applyBorder="1" applyAlignment="1" applyProtection="1">
      <alignment vertical="center"/>
      <protection locked="0"/>
    </xf>
    <xf numFmtId="49" fontId="6" fillId="3" borderId="1" xfId="0" applyNumberFormat="1" applyFont="1" applyFill="1" applyBorder="1" applyAlignment="1" applyProtection="1">
      <alignment horizontal="left" vertical="center"/>
      <protection locked="0"/>
    </xf>
    <xf numFmtId="0" fontId="5" fillId="3" borderId="2" xfId="0" applyFont="1" applyFill="1" applyBorder="1" applyAlignment="1" applyProtection="1">
      <alignment horizontal="left" vertical="center"/>
      <protection locked="0"/>
    </xf>
    <xf numFmtId="0" fontId="6" fillId="3" borderId="1" xfId="0" applyFont="1" applyFill="1" applyBorder="1" applyAlignment="1" applyProtection="1">
      <alignment horizontal="left" vertical="center"/>
      <protection locked="0"/>
    </xf>
    <xf numFmtId="49" fontId="6" fillId="3" borderId="2" xfId="0" applyNumberFormat="1" applyFont="1" applyFill="1" applyBorder="1" applyAlignment="1" applyProtection="1">
      <alignment horizontal="left" vertical="center"/>
      <protection locked="0"/>
    </xf>
    <xf numFmtId="0" fontId="6" fillId="3" borderId="3" xfId="0" applyFont="1" applyFill="1" applyBorder="1" applyAlignment="1" applyProtection="1">
      <alignment horizontal="left" vertical="center"/>
      <protection locked="0"/>
    </xf>
    <xf numFmtId="0" fontId="6" fillId="3" borderId="4" xfId="0" applyFont="1" applyFill="1" applyBorder="1" applyAlignment="1" applyProtection="1">
      <alignment horizontal="center" vertical="center"/>
    </xf>
    <xf numFmtId="0" fontId="5" fillId="2" borderId="0" xfId="0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1" fillId="2" borderId="0" xfId="0" applyFont="1" applyFill="1" applyBorder="1" applyAlignment="1" applyProtection="1">
      <alignment vertical="center"/>
      <protection locked="0"/>
    </xf>
    <xf numFmtId="49" fontId="4" fillId="0" borderId="5" xfId="0" applyNumberFormat="1" applyFont="1" applyBorder="1" applyAlignment="1" applyProtection="1">
      <alignment horizontal="left" vertical="center"/>
      <protection locked="0"/>
    </xf>
    <xf numFmtId="0" fontId="1" fillId="0" borderId="0" xfId="0" applyFont="1" applyBorder="1" applyAlignment="1" applyProtection="1">
      <alignment horizontal="left" vertical="center"/>
      <protection locked="0"/>
    </xf>
    <xf numFmtId="49" fontId="4" fillId="0" borderId="6" xfId="0" applyNumberFormat="1" applyFont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center"/>
    </xf>
    <xf numFmtId="0" fontId="5" fillId="0" borderId="0" xfId="0" applyFont="1" applyAlignment="1" applyProtection="1">
      <alignment vertical="center"/>
    </xf>
    <xf numFmtId="49" fontId="4" fillId="0" borderId="0" xfId="0" applyNumberFormat="1" applyFont="1" applyBorder="1" applyAlignment="1" applyProtection="1">
      <alignment horizontal="left" vertical="center"/>
      <protection locked="0"/>
    </xf>
    <xf numFmtId="164" fontId="4" fillId="0" borderId="0" xfId="0" applyNumberFormat="1" applyFont="1" applyBorder="1" applyAlignment="1" applyProtection="1">
      <alignment horizontal="center" vertical="center"/>
      <protection locked="0"/>
    </xf>
    <xf numFmtId="164" fontId="1" fillId="0" borderId="0" xfId="0" applyNumberFormat="1" applyFont="1" applyBorder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vertical="center"/>
    </xf>
    <xf numFmtId="0" fontId="2" fillId="0" borderId="0" xfId="0" applyFont="1" applyAlignment="1" applyProtection="1">
      <alignment vertical="center"/>
    </xf>
    <xf numFmtId="0" fontId="1" fillId="2" borderId="0" xfId="0" applyFont="1" applyFill="1" applyBorder="1" applyAlignment="1" applyProtection="1">
      <alignment vertical="center"/>
    </xf>
    <xf numFmtId="49" fontId="4" fillId="0" borderId="0" xfId="0" applyNumberFormat="1" applyFont="1" applyBorder="1" applyAlignment="1" applyProtection="1">
      <alignment horizontal="left" vertical="center" wrapText="1"/>
      <protection locked="0"/>
    </xf>
    <xf numFmtId="49" fontId="1" fillId="0" borderId="0" xfId="0" applyNumberFormat="1" applyFont="1" applyBorder="1" applyAlignment="1" applyProtection="1">
      <alignment horizontal="left" vertical="center" wrapText="1"/>
      <protection locked="0"/>
    </xf>
    <xf numFmtId="49" fontId="4" fillId="0" borderId="0" xfId="0" applyNumberFormat="1" applyFont="1" applyBorder="1" applyAlignment="1" applyProtection="1">
      <alignment horizontal="center" vertical="center"/>
      <protection locked="0"/>
    </xf>
    <xf numFmtId="49" fontId="6" fillId="0" borderId="0" xfId="0" applyNumberFormat="1" applyFont="1" applyBorder="1" applyAlignment="1" applyProtection="1">
      <alignment horizontal="left" vertical="center"/>
      <protection locked="0"/>
    </xf>
    <xf numFmtId="49" fontId="5" fillId="0" borderId="0" xfId="0" applyNumberFormat="1" applyFont="1" applyBorder="1" applyAlignment="1" applyProtection="1">
      <alignment horizontal="left" vertical="center"/>
      <protection locked="0"/>
    </xf>
    <xf numFmtId="0" fontId="1" fillId="0" borderId="0" xfId="0" applyFont="1" applyBorder="1" applyAlignment="1" applyProtection="1">
      <alignment vertical="center"/>
    </xf>
    <xf numFmtId="0" fontId="5" fillId="2" borderId="0" xfId="0" applyFont="1" applyFill="1" applyAlignment="1" applyProtection="1">
      <alignment horizontal="left" vertical="center"/>
    </xf>
    <xf numFmtId="0" fontId="6" fillId="3" borderId="7" xfId="0" applyFont="1" applyFill="1" applyBorder="1" applyAlignment="1" applyProtection="1">
      <alignment horizontal="center" vertical="center" wrapText="1" shrinkToFit="1"/>
    </xf>
    <xf numFmtId="0" fontId="6" fillId="3" borderId="7" xfId="0" applyFont="1" applyFill="1" applyBorder="1" applyAlignment="1" applyProtection="1">
      <alignment horizontal="center" vertical="center" wrapText="1"/>
    </xf>
    <xf numFmtId="0" fontId="5" fillId="0" borderId="0" xfId="0" applyFont="1" applyAlignment="1" applyProtection="1">
      <alignment horizontal="left" vertical="center"/>
    </xf>
    <xf numFmtId="165" fontId="1" fillId="0" borderId="8" xfId="0" applyNumberFormat="1" applyFont="1" applyBorder="1" applyAlignment="1" applyProtection="1">
      <alignment horizontal="center" vertical="center" shrinkToFit="1"/>
      <protection locked="0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165" fontId="1" fillId="0" borderId="11" xfId="0" applyNumberFormat="1" applyFont="1" applyBorder="1" applyAlignment="1" applyProtection="1">
      <alignment horizontal="center" vertical="center" shrinkToFit="1"/>
      <protection locked="0"/>
    </xf>
    <xf numFmtId="0" fontId="6" fillId="0" borderId="0" xfId="0" applyFont="1" applyBorder="1" applyAlignment="1" applyProtection="1">
      <alignment horizontal="right" vertical="center"/>
    </xf>
    <xf numFmtId="4" fontId="10" fillId="0" borderId="0" xfId="0" applyNumberFormat="1" applyFont="1" applyBorder="1" applyAlignment="1" applyProtection="1">
      <alignment horizontal="center" vertical="center" wrapText="1"/>
    </xf>
    <xf numFmtId="0" fontId="1" fillId="0" borderId="0" xfId="0" applyFont="1" applyAlignment="1">
      <alignment horizontal="center"/>
    </xf>
    <xf numFmtId="165" fontId="6" fillId="0" borderId="0" xfId="0" applyNumberFormat="1" applyFont="1" applyBorder="1" applyAlignment="1" applyProtection="1">
      <alignment horizontal="center" vertical="center" shrinkToFit="1"/>
    </xf>
    <xf numFmtId="4" fontId="9" fillId="0" borderId="0" xfId="0" applyNumberFormat="1" applyFont="1" applyBorder="1" applyAlignment="1" applyProtection="1">
      <alignment horizontal="center" vertical="center" shrinkToFit="1"/>
    </xf>
    <xf numFmtId="0" fontId="5" fillId="2" borderId="0" xfId="0" applyFont="1" applyFill="1" applyBorder="1" applyAlignment="1" applyProtection="1"/>
    <xf numFmtId="4" fontId="5" fillId="0" borderId="4" xfId="0" applyNumberFormat="1" applyFont="1" applyBorder="1" applyAlignment="1" applyProtection="1">
      <alignment horizontal="center" vertical="center" wrapText="1"/>
    </xf>
    <xf numFmtId="0" fontId="13" fillId="6" borderId="0" xfId="0" quotePrefix="1" applyNumberFormat="1" applyFont="1" applyFill="1" applyBorder="1" applyAlignment="1" applyProtection="1">
      <alignment vertical="center" wrapText="1"/>
    </xf>
    <xf numFmtId="0" fontId="12" fillId="0" borderId="0" xfId="0" applyFont="1" applyBorder="1" applyAlignment="1">
      <alignment vertical="center" wrapText="1"/>
    </xf>
    <xf numFmtId="0" fontId="1" fillId="0" borderId="16" xfId="0" applyFont="1" applyBorder="1" applyAlignment="1" applyProtection="1">
      <alignment horizontal="center" vertical="center"/>
    </xf>
    <xf numFmtId="4" fontId="1" fillId="0" borderId="16" xfId="0" applyNumberFormat="1" applyFont="1" applyBorder="1" applyAlignment="1" applyProtection="1">
      <alignment horizontal="center" vertical="center" wrapText="1"/>
    </xf>
    <xf numFmtId="0" fontId="4" fillId="2" borderId="18" xfId="0" applyFont="1" applyFill="1" applyBorder="1" applyAlignment="1" applyProtection="1">
      <alignment horizontal="center" vertical="center" wrapText="1" shrinkToFit="1"/>
    </xf>
    <xf numFmtId="0" fontId="4" fillId="2" borderId="32" xfId="0" applyFont="1" applyFill="1" applyBorder="1" applyAlignment="1" applyProtection="1">
      <alignment vertical="center" wrapText="1"/>
    </xf>
    <xf numFmtId="4" fontId="7" fillId="0" borderId="36" xfId="0" applyNumberFormat="1" applyFont="1" applyBorder="1" applyAlignment="1" applyProtection="1">
      <alignment horizontal="center" vertical="center" shrinkToFit="1"/>
    </xf>
    <xf numFmtId="0" fontId="4" fillId="0" borderId="37" xfId="0" applyFont="1" applyBorder="1" applyAlignment="1" applyProtection="1">
      <alignment vertical="center"/>
    </xf>
    <xf numFmtId="0" fontId="4" fillId="0" borderId="38" xfId="0" applyFont="1" applyBorder="1" applyAlignment="1" applyProtection="1">
      <alignment vertical="center"/>
    </xf>
    <xf numFmtId="0" fontId="4" fillId="0" borderId="39" xfId="0" applyFont="1" applyBorder="1" applyAlignment="1" applyProtection="1">
      <alignment vertical="center"/>
    </xf>
    <xf numFmtId="4" fontId="1" fillId="0" borderId="41" xfId="0" applyNumberFormat="1" applyFont="1" applyBorder="1" applyAlignment="1" applyProtection="1">
      <alignment horizontal="center" vertical="center" wrapText="1"/>
    </xf>
    <xf numFmtId="0" fontId="6" fillId="3" borderId="4" xfId="0" applyFont="1" applyFill="1" applyBorder="1" applyAlignment="1" applyProtection="1">
      <alignment horizontal="center" vertical="center"/>
    </xf>
    <xf numFmtId="4" fontId="4" fillId="2" borderId="44" xfId="0" applyNumberFormat="1" applyFont="1" applyFill="1" applyBorder="1" applyAlignment="1" applyProtection="1">
      <alignment horizontal="center" vertical="center" shrinkToFit="1"/>
      <protection locked="0"/>
    </xf>
    <xf numFmtId="1" fontId="1" fillId="0" borderId="29" xfId="0" applyNumberFormat="1" applyFont="1" applyBorder="1" applyAlignment="1" applyProtection="1">
      <alignment horizontal="center" vertical="center" shrinkToFit="1"/>
      <protection locked="0"/>
    </xf>
    <xf numFmtId="1" fontId="4" fillId="0" borderId="40" xfId="0" applyNumberFormat="1" applyFont="1" applyBorder="1" applyAlignment="1" applyProtection="1">
      <alignment horizontal="center" vertical="center"/>
    </xf>
    <xf numFmtId="4" fontId="7" fillId="0" borderId="31" xfId="0" applyNumberFormat="1" applyFont="1" applyBorder="1" applyAlignment="1" applyProtection="1">
      <alignment horizontal="center" vertical="center" shrinkToFit="1"/>
    </xf>
    <xf numFmtId="1" fontId="1" fillId="0" borderId="50" xfId="0" applyNumberFormat="1" applyFont="1" applyBorder="1" applyAlignment="1" applyProtection="1">
      <alignment horizontal="center" vertical="center" shrinkToFit="1"/>
      <protection locked="0"/>
    </xf>
    <xf numFmtId="4" fontId="7" fillId="0" borderId="51" xfId="0" applyNumberFormat="1" applyFont="1" applyBorder="1" applyAlignment="1" applyProtection="1">
      <alignment horizontal="center" vertical="center" shrinkToFit="1"/>
    </xf>
    <xf numFmtId="0" fontId="5" fillId="5" borderId="12" xfId="0" applyFont="1" applyFill="1" applyBorder="1" applyAlignment="1" applyProtection="1">
      <alignment horizontal="center" vertical="center" wrapText="1"/>
    </xf>
    <xf numFmtId="0" fontId="12" fillId="0" borderId="14" xfId="0" applyFont="1" applyBorder="1" applyAlignment="1">
      <alignment horizontal="center" wrapText="1"/>
    </xf>
    <xf numFmtId="0" fontId="12" fillId="0" borderId="13" xfId="0" applyFont="1" applyBorder="1" applyAlignment="1">
      <alignment horizontal="center" wrapText="1"/>
    </xf>
    <xf numFmtId="0" fontId="5" fillId="5" borderId="14" xfId="0" applyFont="1" applyFill="1" applyBorder="1" applyAlignment="1" applyProtection="1">
      <alignment horizontal="center" vertical="center" wrapText="1"/>
    </xf>
    <xf numFmtId="0" fontId="5" fillId="5" borderId="13" xfId="0" applyFont="1" applyFill="1" applyBorder="1" applyAlignment="1" applyProtection="1">
      <alignment horizontal="center" vertical="center" wrapText="1"/>
    </xf>
    <xf numFmtId="0" fontId="4" fillId="2" borderId="47" xfId="0" applyFont="1" applyFill="1" applyBorder="1" applyAlignment="1" applyProtection="1">
      <alignment horizontal="left" vertical="center" wrapText="1"/>
    </xf>
    <xf numFmtId="0" fontId="4" fillId="2" borderId="48" xfId="0" applyFont="1" applyFill="1" applyBorder="1" applyAlignment="1" applyProtection="1">
      <alignment horizontal="left" vertical="center" wrapText="1"/>
    </xf>
    <xf numFmtId="0" fontId="4" fillId="2" borderId="49" xfId="0" applyFont="1" applyFill="1" applyBorder="1" applyAlignment="1" applyProtection="1">
      <alignment horizontal="left" vertical="center" wrapText="1"/>
    </xf>
    <xf numFmtId="0" fontId="4" fillId="2" borderId="33" xfId="0" applyFont="1" applyFill="1" applyBorder="1" applyAlignment="1" applyProtection="1">
      <alignment horizontal="left" vertical="center" wrapText="1"/>
    </xf>
    <xf numFmtId="0" fontId="4" fillId="2" borderId="25" xfId="0" applyFont="1" applyFill="1" applyBorder="1" applyAlignment="1" applyProtection="1">
      <alignment horizontal="left" vertical="center" wrapText="1"/>
    </xf>
    <xf numFmtId="0" fontId="4" fillId="2" borderId="8" xfId="0" applyFont="1" applyFill="1" applyBorder="1" applyAlignment="1" applyProtection="1">
      <alignment horizontal="left" vertical="center" wrapText="1"/>
    </xf>
    <xf numFmtId="0" fontId="4" fillId="2" borderId="34" xfId="0" applyFont="1" applyFill="1" applyBorder="1" applyAlignment="1" applyProtection="1">
      <alignment horizontal="left" vertical="center" wrapText="1"/>
    </xf>
    <xf numFmtId="0" fontId="4" fillId="2" borderId="26" xfId="0" applyFont="1" applyFill="1" applyBorder="1" applyAlignment="1" applyProtection="1">
      <alignment horizontal="left" vertical="center" wrapText="1"/>
    </xf>
    <xf numFmtId="0" fontId="4" fillId="2" borderId="27" xfId="0" applyFont="1" applyFill="1" applyBorder="1" applyAlignment="1" applyProtection="1">
      <alignment horizontal="left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165" fontId="1" fillId="0" borderId="28" xfId="0" applyNumberFormat="1" applyFont="1" applyBorder="1" applyAlignment="1" applyProtection="1">
      <alignment horizontal="center" vertical="center" shrinkToFit="1"/>
      <protection locked="0"/>
    </xf>
    <xf numFmtId="165" fontId="1" fillId="0" borderId="30" xfId="0" applyNumberFormat="1" applyFont="1" applyBorder="1" applyAlignment="1" applyProtection="1">
      <alignment horizontal="center" vertical="center" shrinkToFit="1"/>
      <protection locked="0"/>
    </xf>
    <xf numFmtId="4" fontId="7" fillId="0" borderId="31" xfId="0" applyNumberFormat="1" applyFont="1" applyBorder="1" applyAlignment="1" applyProtection="1">
      <alignment horizontal="center" vertical="center" shrinkToFit="1"/>
    </xf>
    <xf numFmtId="4" fontId="7" fillId="0" borderId="35" xfId="0" applyNumberFormat="1" applyFont="1" applyBorder="1" applyAlignment="1" applyProtection="1">
      <alignment horizontal="center" vertical="center" shrinkToFit="1"/>
    </xf>
    <xf numFmtId="0" fontId="4" fillId="2" borderId="42" xfId="0" applyFont="1" applyFill="1" applyBorder="1" applyAlignment="1" applyProtection="1">
      <alignment vertical="center" wrapText="1"/>
    </xf>
    <xf numFmtId="0" fontId="4" fillId="2" borderId="43" xfId="0" applyFont="1" applyFill="1" applyBorder="1" applyAlignment="1" applyProtection="1">
      <alignment vertical="center" wrapText="1"/>
    </xf>
    <xf numFmtId="0" fontId="0" fillId="0" borderId="13" xfId="0" applyBorder="1" applyAlignment="1">
      <alignment horizontal="center" vertical="center" wrapText="1"/>
    </xf>
    <xf numFmtId="0" fontId="4" fillId="2" borderId="46" xfId="0" applyFont="1" applyFill="1" applyBorder="1" applyAlignment="1" applyProtection="1">
      <alignment vertical="center" wrapText="1"/>
    </xf>
    <xf numFmtId="0" fontId="4" fillId="2" borderId="45" xfId="0" applyFont="1" applyFill="1" applyBorder="1" applyAlignment="1" applyProtection="1">
      <alignment vertical="center" wrapText="1"/>
    </xf>
    <xf numFmtId="0" fontId="4" fillId="3" borderId="7" xfId="0" applyFont="1" applyFill="1" applyBorder="1" applyAlignment="1" applyProtection="1">
      <alignment horizontal="left" vertical="center"/>
    </xf>
    <xf numFmtId="0" fontId="6" fillId="3" borderId="4" xfId="0" applyFont="1" applyFill="1" applyBorder="1" applyAlignment="1" applyProtection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49" fontId="8" fillId="0" borderId="6" xfId="0" applyNumberFormat="1" applyFont="1" applyBorder="1" applyAlignment="1" applyProtection="1">
      <alignment horizontal="center" vertical="center"/>
      <protection locked="0"/>
    </xf>
    <xf numFmtId="0" fontId="6" fillId="3" borderId="4" xfId="0" applyFont="1" applyFill="1" applyBorder="1" applyAlignment="1" applyProtection="1">
      <alignment vertical="center"/>
      <protection locked="0"/>
    </xf>
    <xf numFmtId="0" fontId="6" fillId="3" borderId="4" xfId="0" applyFont="1" applyFill="1" applyBorder="1" applyAlignment="1" applyProtection="1">
      <alignment horizontal="center" vertical="center"/>
      <protection locked="0"/>
    </xf>
    <xf numFmtId="49" fontId="4" fillId="0" borderId="15" xfId="0" applyNumberFormat="1" applyFont="1" applyBorder="1" applyAlignment="1" applyProtection="1">
      <alignment horizontal="left" vertical="center"/>
      <protection locked="0"/>
    </xf>
    <xf numFmtId="49" fontId="4" fillId="0" borderId="16" xfId="0" applyNumberFormat="1" applyFont="1" applyBorder="1" applyAlignment="1" applyProtection="1">
      <alignment horizontal="center" vertical="center"/>
      <protection locked="0"/>
    </xf>
    <xf numFmtId="166" fontId="4" fillId="0" borderId="16" xfId="0" applyNumberFormat="1" applyFont="1" applyBorder="1" applyAlignment="1" applyProtection="1">
      <alignment horizontal="center" vertical="center"/>
      <protection locked="0"/>
    </xf>
    <xf numFmtId="0" fontId="6" fillId="3" borderId="4" xfId="0" applyFont="1" applyFill="1" applyBorder="1" applyAlignment="1" applyProtection="1">
      <alignment vertical="center"/>
    </xf>
    <xf numFmtId="0" fontId="11" fillId="0" borderId="16" xfId="0" applyNumberFormat="1" applyFont="1" applyBorder="1" applyAlignment="1" applyProtection="1">
      <alignment horizontal="center" vertical="center" wrapText="1"/>
      <protection locked="0"/>
    </xf>
    <xf numFmtId="0" fontId="9" fillId="0" borderId="16" xfId="0" applyNumberFormat="1" applyFont="1" applyBorder="1" applyAlignment="1" applyProtection="1">
      <alignment horizontal="center" vertical="center" wrapText="1"/>
      <protection locked="0"/>
    </xf>
    <xf numFmtId="0" fontId="6" fillId="3" borderId="4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left" vertical="center"/>
    </xf>
    <xf numFmtId="0" fontId="5" fillId="2" borderId="0" xfId="0" applyFont="1" applyFill="1" applyBorder="1" applyAlignment="1" applyProtection="1"/>
    <xf numFmtId="0" fontId="4" fillId="0" borderId="4" xfId="0" applyFont="1" applyBorder="1" applyAlignment="1" applyProtection="1">
      <alignment horizontal="left" vertical="center" wrapText="1"/>
      <protection locked="0"/>
    </xf>
    <xf numFmtId="49" fontId="6" fillId="0" borderId="4" xfId="0" applyNumberFormat="1" applyFont="1" applyBorder="1" applyAlignment="1" applyProtection="1">
      <alignment horizontal="center" vertical="center"/>
      <protection locked="0"/>
    </xf>
    <xf numFmtId="0" fontId="13" fillId="6" borderId="12" xfId="0" quotePrefix="1" applyNumberFormat="1" applyFont="1" applyFill="1" applyBorder="1" applyAlignment="1" applyProtection="1">
      <alignment horizontal="center" vertical="center" wrapText="1"/>
    </xf>
    <xf numFmtId="0" fontId="13" fillId="6" borderId="13" xfId="0" quotePrefix="1" applyNumberFormat="1" applyFont="1" applyFill="1" applyBorder="1" applyAlignment="1" applyProtection="1">
      <alignment horizontal="center" vertical="center" wrapText="1"/>
    </xf>
    <xf numFmtId="0" fontId="13" fillId="5" borderId="12" xfId="0" applyFont="1" applyFill="1" applyBorder="1" applyAlignment="1" applyProtection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5" borderId="13" xfId="0" applyFont="1" applyFill="1" applyBorder="1" applyAlignment="1" applyProtection="1">
      <alignment horizontal="center" vertical="center" wrapText="1"/>
    </xf>
    <xf numFmtId="0" fontId="13" fillId="4" borderId="12" xfId="0" quotePrefix="1" applyNumberFormat="1" applyFont="1" applyFill="1" applyBorder="1" applyAlignment="1" applyProtection="1">
      <alignment horizontal="center" vertical="center" wrapText="1"/>
    </xf>
    <xf numFmtId="0" fontId="12" fillId="0" borderId="13" xfId="0" applyNumberFormat="1" applyFont="1" applyBorder="1" applyAlignment="1">
      <alignment vertical="center" wrapText="1"/>
    </xf>
    <xf numFmtId="0" fontId="1" fillId="4" borderId="0" xfId="0" applyFont="1" applyFill="1" applyAlignment="1" applyProtection="1">
      <alignment horizontal="left" wrapText="1"/>
    </xf>
    <xf numFmtId="0" fontId="1" fillId="4" borderId="17" xfId="0" applyFont="1" applyFill="1" applyBorder="1" applyAlignment="1" applyProtection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" fillId="4" borderId="18" xfId="0" applyFont="1" applyFill="1" applyBorder="1" applyAlignment="1" applyProtection="1">
      <alignment vertical="center" wrapText="1"/>
    </xf>
    <xf numFmtId="0" fontId="1" fillId="4" borderId="22" xfId="0" applyFont="1" applyFill="1" applyBorder="1" applyAlignment="1" applyProtection="1">
      <alignment vertical="center" wrapText="1"/>
    </xf>
    <xf numFmtId="0" fontId="1" fillId="4" borderId="19" xfId="0" applyFont="1" applyFill="1" applyBorder="1" applyAlignment="1" applyProtection="1">
      <alignment vertical="center" wrapText="1"/>
    </xf>
    <xf numFmtId="0" fontId="1" fillId="4" borderId="0" xfId="0" applyFont="1" applyFill="1" applyBorder="1" applyAlignment="1" applyProtection="1">
      <alignment vertical="center" wrapText="1"/>
    </xf>
    <xf numFmtId="0" fontId="1" fillId="4" borderId="23" xfId="0" applyFont="1" applyFill="1" applyBorder="1" applyAlignment="1" applyProtection="1">
      <alignment vertical="center" wrapText="1"/>
    </xf>
    <xf numFmtId="0" fontId="1" fillId="4" borderId="20" xfId="0" applyFont="1" applyFill="1" applyBorder="1" applyAlignment="1" applyProtection="1">
      <alignment vertical="center" wrapText="1"/>
    </xf>
    <xf numFmtId="0" fontId="1" fillId="4" borderId="21" xfId="0" applyFont="1" applyFill="1" applyBorder="1" applyAlignment="1" applyProtection="1">
      <alignment vertical="center" wrapText="1"/>
    </xf>
    <xf numFmtId="0" fontId="1" fillId="4" borderId="24" xfId="0" applyFont="1" applyFill="1" applyBorder="1" applyAlignment="1" applyProtection="1">
      <alignment vertical="center" wrapText="1"/>
    </xf>
    <xf numFmtId="0" fontId="1" fillId="4" borderId="19" xfId="0" applyFont="1" applyFill="1" applyBorder="1" applyAlignment="1" applyProtection="1">
      <alignment vertical="top" wrapText="1"/>
    </xf>
    <xf numFmtId="0" fontId="1" fillId="4" borderId="0" xfId="0" applyFont="1" applyFill="1" applyBorder="1" applyAlignment="1" applyProtection="1">
      <alignment vertical="top" wrapText="1"/>
    </xf>
    <xf numFmtId="0" fontId="1" fillId="4" borderId="23" xfId="0" applyFont="1" applyFill="1" applyBorder="1" applyAlignment="1" applyProtection="1">
      <alignment vertical="top" wrapText="1"/>
    </xf>
    <xf numFmtId="0" fontId="1" fillId="0" borderId="20" xfId="0" applyFont="1" applyBorder="1" applyAlignment="1" applyProtection="1">
      <alignment horizontal="left" vertical="center" wrapText="1"/>
    </xf>
    <xf numFmtId="0" fontId="0" fillId="0" borderId="24" xfId="0" applyBorder="1" applyAlignment="1">
      <alignment vertical="center" wrapText="1"/>
    </xf>
    <xf numFmtId="0" fontId="1" fillId="0" borderId="17" xfId="0" applyFont="1" applyBorder="1" applyAlignment="1" applyProtection="1">
      <alignment horizontal="left" vertical="center" wrapText="1"/>
    </xf>
    <xf numFmtId="0" fontId="0" fillId="0" borderId="22" xfId="0" applyBorder="1" applyAlignment="1">
      <alignment vertical="center" wrapText="1"/>
    </xf>
    <xf numFmtId="1" fontId="1" fillId="0" borderId="29" xfId="0" applyNumberFormat="1" applyFont="1" applyBorder="1" applyAlignment="1" applyProtection="1">
      <alignment horizontal="center" vertical="center"/>
    </xf>
    <xf numFmtId="0" fontId="4" fillId="2" borderId="29" xfId="0" applyFont="1" applyFill="1" applyBorder="1" applyAlignment="1" applyProtection="1">
      <alignment horizontal="left" vertical="center" wrapText="1"/>
    </xf>
    <xf numFmtId="0" fontId="1" fillId="0" borderId="29" xfId="0" applyFont="1" applyBorder="1" applyAlignment="1" applyProtection="1">
      <alignment vertical="center"/>
    </xf>
    <xf numFmtId="0" fontId="1" fillId="0" borderId="45" xfId="0" applyFont="1" applyBorder="1" applyAlignment="1" applyProtection="1">
      <alignment horizontal="left" vertical="center"/>
    </xf>
    <xf numFmtId="0" fontId="1" fillId="0" borderId="53" xfId="0" applyFont="1" applyBorder="1" applyAlignment="1" applyProtection="1">
      <alignment horizontal="left" vertical="center"/>
    </xf>
    <xf numFmtId="0" fontId="4" fillId="2" borderId="17" xfId="0" applyFont="1" applyFill="1" applyBorder="1" applyAlignment="1" applyProtection="1">
      <alignment horizontal="left" vertical="center"/>
    </xf>
    <xf numFmtId="0" fontId="1" fillId="2" borderId="18" xfId="0" applyFont="1" applyFill="1" applyBorder="1" applyAlignment="1" applyProtection="1">
      <alignment horizontal="left" vertical="center"/>
    </xf>
    <xf numFmtId="0" fontId="1" fillId="2" borderId="54" xfId="0" applyFont="1" applyFill="1" applyBorder="1" applyAlignment="1" applyProtection="1">
      <alignment horizontal="left" vertical="center"/>
    </xf>
    <xf numFmtId="0" fontId="4" fillId="2" borderId="55" xfId="0" applyFont="1" applyFill="1" applyBorder="1" applyAlignment="1" applyProtection="1">
      <alignment horizontal="center" vertical="center" wrapText="1"/>
    </xf>
    <xf numFmtId="0" fontId="4" fillId="2" borderId="56" xfId="0" applyFont="1" applyFill="1" applyBorder="1" applyAlignment="1" applyProtection="1">
      <alignment vertical="center" wrapText="1"/>
    </xf>
    <xf numFmtId="0" fontId="4" fillId="2" borderId="57" xfId="0" applyFont="1" applyFill="1" applyBorder="1" applyAlignment="1" applyProtection="1">
      <alignment vertical="center" wrapText="1"/>
    </xf>
    <xf numFmtId="165" fontId="1" fillId="0" borderId="54" xfId="0" applyNumberFormat="1" applyFont="1" applyBorder="1" applyAlignment="1" applyProtection="1">
      <alignment horizontal="center" vertical="center" shrinkToFit="1"/>
      <protection locked="0"/>
    </xf>
    <xf numFmtId="4" fontId="7" fillId="0" borderId="55" xfId="0" applyNumberFormat="1" applyFont="1" applyBorder="1" applyAlignment="1" applyProtection="1">
      <alignment horizontal="center" vertical="center" shrinkToFit="1"/>
    </xf>
    <xf numFmtId="0" fontId="1" fillId="0" borderId="46" xfId="0" applyFont="1" applyBorder="1" applyAlignment="1" applyProtection="1">
      <alignment horizontal="left" vertical="center"/>
    </xf>
    <xf numFmtId="0" fontId="4" fillId="2" borderId="52" xfId="0" applyFont="1" applyFill="1" applyBorder="1" applyAlignment="1" applyProtection="1">
      <alignment horizontal="left" vertical="center" wrapText="1"/>
    </xf>
    <xf numFmtId="0" fontId="1" fillId="0" borderId="36" xfId="0" applyFont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104775</xdr:colOff>
      <xdr:row>0</xdr:row>
      <xdr:rowOff>133350</xdr:rowOff>
    </xdr:from>
    <xdr:to>
      <xdr:col>8</xdr:col>
      <xdr:colOff>2590800</xdr:colOff>
      <xdr:row>7</xdr:row>
      <xdr:rowOff>142875</xdr:rowOff>
    </xdr:to>
    <xdr:pic>
      <xdr:nvPicPr>
        <xdr:cNvPr id="1040" name="Picture 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133350"/>
          <a:ext cx="2486025" cy="1143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>
                  <a:lum bright="30000"/>
                </a:blip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8</xdr:col>
      <xdr:colOff>1485900</xdr:colOff>
      <xdr:row>63</xdr:row>
      <xdr:rowOff>171450</xdr:rowOff>
    </xdr:from>
    <xdr:to>
      <xdr:col>8</xdr:col>
      <xdr:colOff>2495550</xdr:colOff>
      <xdr:row>65</xdr:row>
      <xdr:rowOff>85724</xdr:rowOff>
    </xdr:to>
    <xdr:pic>
      <xdr:nvPicPr>
        <xdr:cNvPr id="1041" name="Picture 2" descr="C:\Users\Javier\Google Drive\Empresa CPA\CPA GENERAL\ISO 9001\LOGOS\SGS_ISO 9001_TCL_LR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2675" y="24384000"/>
          <a:ext cx="10096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showGridLines="0" tabSelected="1" topLeftCell="A32" zoomScale="57" zoomScaleNormal="57" workbookViewId="0">
      <selection activeCell="O41" sqref="O41"/>
    </sheetView>
  </sheetViews>
  <sheetFormatPr baseColWidth="10" defaultRowHeight="23.25"/>
  <cols>
    <col min="1" max="1" width="2.28515625" style="1" customWidth="1"/>
    <col min="2" max="2" width="18.140625" style="2" customWidth="1"/>
    <col min="3" max="3" width="30.42578125" style="2" customWidth="1"/>
    <col min="4" max="4" width="18" style="2" customWidth="1"/>
    <col min="5" max="5" width="42.85546875" style="2" customWidth="1"/>
    <col min="6" max="6" width="24.28515625" style="2" customWidth="1"/>
    <col min="7" max="7" width="24.7109375" style="2" customWidth="1"/>
    <col min="8" max="8" width="23.7109375" style="2" customWidth="1"/>
    <col min="9" max="9" width="39.28515625" style="2" customWidth="1"/>
    <col min="10" max="16384" width="11.42578125" style="2"/>
  </cols>
  <sheetData>
    <row r="1" spans="1:13" ht="12.75" customHeight="1">
      <c r="A1" s="3"/>
      <c r="B1" s="110" t="s">
        <v>0</v>
      </c>
      <c r="C1" s="110"/>
      <c r="D1" s="110"/>
      <c r="E1" s="110"/>
      <c r="F1" s="110"/>
      <c r="G1" s="110"/>
      <c r="H1" s="111"/>
      <c r="I1" s="111"/>
      <c r="J1" s="4"/>
      <c r="K1" s="4"/>
      <c r="L1" s="4"/>
      <c r="M1" s="4"/>
    </row>
    <row r="2" spans="1:13" ht="12.75" customHeight="1">
      <c r="A2" s="3"/>
      <c r="B2" s="110"/>
      <c r="C2" s="110"/>
      <c r="D2" s="110"/>
      <c r="E2" s="110"/>
      <c r="F2" s="110"/>
      <c r="G2" s="110"/>
      <c r="H2" s="111"/>
      <c r="I2" s="111"/>
      <c r="J2" s="4"/>
      <c r="K2" s="4"/>
      <c r="L2" s="4"/>
      <c r="M2" s="4"/>
    </row>
    <row r="3" spans="1:13" ht="12.75" customHeight="1">
      <c r="A3" s="3"/>
      <c r="B3" s="110"/>
      <c r="C3" s="110"/>
      <c r="D3" s="110"/>
      <c r="E3" s="110"/>
      <c r="F3" s="110"/>
      <c r="G3" s="110"/>
      <c r="H3" s="111"/>
      <c r="I3" s="111"/>
      <c r="J3" s="4"/>
      <c r="K3" s="4"/>
      <c r="L3" s="4"/>
      <c r="M3" s="4"/>
    </row>
    <row r="4" spans="1:13" ht="12.75" customHeight="1">
      <c r="A4" s="3"/>
      <c r="B4" s="110"/>
      <c r="C4" s="110"/>
      <c r="D4" s="110"/>
      <c r="E4" s="110"/>
      <c r="F4" s="110"/>
      <c r="G4" s="110"/>
      <c r="H4" s="111"/>
      <c r="I4" s="111"/>
      <c r="J4" s="4"/>
      <c r="K4" s="4"/>
      <c r="L4" s="4"/>
      <c r="M4" s="4"/>
    </row>
    <row r="5" spans="1:13" ht="12.75" customHeight="1">
      <c r="A5" s="3"/>
      <c r="B5" s="110"/>
      <c r="C5" s="110"/>
      <c r="D5" s="110"/>
      <c r="E5" s="110"/>
      <c r="F5" s="110"/>
      <c r="G5" s="110"/>
      <c r="H5" s="111"/>
      <c r="I5" s="111"/>
      <c r="J5" s="4"/>
      <c r="K5" s="4"/>
      <c r="L5" s="4"/>
      <c r="M5" s="4"/>
    </row>
    <row r="6" spans="1:13" ht="12.75" customHeight="1">
      <c r="A6" s="3"/>
      <c r="B6" s="110"/>
      <c r="C6" s="110"/>
      <c r="D6" s="110"/>
      <c r="E6" s="110"/>
      <c r="F6" s="110"/>
      <c r="G6" s="110"/>
      <c r="H6" s="111"/>
      <c r="I6" s="111"/>
      <c r="J6" s="4"/>
      <c r="K6" s="4"/>
      <c r="L6" s="4"/>
      <c r="M6" s="4"/>
    </row>
    <row r="7" spans="1:13" ht="12.75" customHeight="1">
      <c r="A7" s="3"/>
      <c r="B7" s="110"/>
      <c r="C7" s="110"/>
      <c r="D7" s="110"/>
      <c r="E7" s="110"/>
      <c r="F7" s="110"/>
      <c r="G7" s="110"/>
      <c r="H7" s="111"/>
      <c r="I7" s="111"/>
      <c r="J7" s="4"/>
      <c r="K7" s="4"/>
      <c r="L7" s="4"/>
      <c r="M7" s="4"/>
    </row>
    <row r="8" spans="1:13" ht="12.75" customHeight="1">
      <c r="A8" s="3"/>
      <c r="B8" s="110"/>
      <c r="C8" s="110"/>
      <c r="D8" s="110"/>
      <c r="E8" s="110"/>
      <c r="F8" s="110"/>
      <c r="G8" s="110"/>
      <c r="H8" s="111"/>
      <c r="I8" s="111"/>
      <c r="J8" s="4"/>
      <c r="K8" s="4"/>
      <c r="L8" s="4"/>
      <c r="M8" s="4"/>
    </row>
    <row r="9" spans="1:13" ht="12.75" customHeight="1">
      <c r="A9" s="3"/>
      <c r="B9" s="110"/>
      <c r="C9" s="110"/>
      <c r="D9" s="110"/>
      <c r="E9" s="110"/>
      <c r="F9" s="110"/>
      <c r="G9" s="110"/>
      <c r="H9" s="111"/>
      <c r="I9" s="111"/>
      <c r="J9" s="4"/>
      <c r="K9" s="4"/>
      <c r="L9" s="4"/>
      <c r="M9" s="4"/>
    </row>
    <row r="10" spans="1:13" ht="12.75" customHeight="1">
      <c r="A10" s="3"/>
      <c r="B10" s="110"/>
      <c r="C10" s="110"/>
      <c r="D10" s="110"/>
      <c r="E10" s="110"/>
      <c r="F10" s="110"/>
      <c r="G10" s="110"/>
      <c r="H10" s="111"/>
      <c r="I10" s="111"/>
      <c r="J10" s="4"/>
      <c r="K10" s="4"/>
      <c r="L10" s="4"/>
      <c r="M10" s="4"/>
    </row>
    <row r="11" spans="1:13" ht="12.75" customHeight="1">
      <c r="A11" s="3"/>
      <c r="B11" s="110"/>
      <c r="C11" s="110"/>
      <c r="D11" s="110"/>
      <c r="E11" s="110"/>
      <c r="F11" s="110"/>
      <c r="G11" s="110"/>
      <c r="H11" s="111"/>
      <c r="I11" s="111"/>
      <c r="J11" s="4"/>
      <c r="K11" s="4"/>
      <c r="L11" s="4"/>
      <c r="M11" s="4"/>
    </row>
    <row r="12" spans="1:13" ht="12.75" customHeight="1">
      <c r="A12" s="3"/>
      <c r="B12" s="110"/>
      <c r="C12" s="110"/>
      <c r="D12" s="110"/>
      <c r="E12" s="110"/>
      <c r="F12" s="110"/>
      <c r="G12" s="110"/>
      <c r="H12" s="111"/>
      <c r="I12" s="111"/>
      <c r="J12" s="4"/>
      <c r="K12" s="4"/>
      <c r="L12" s="4"/>
      <c r="M12" s="4"/>
    </row>
    <row r="13" spans="1:13" s="7" customFormat="1" ht="30" customHeight="1">
      <c r="A13" s="5"/>
      <c r="B13" s="112" t="s">
        <v>37</v>
      </c>
      <c r="C13" s="112"/>
      <c r="D13" s="112"/>
      <c r="E13" s="112"/>
      <c r="F13" s="112"/>
      <c r="G13" s="112"/>
      <c r="H13" s="112"/>
      <c r="I13" s="112"/>
      <c r="J13" s="6"/>
      <c r="K13" s="6"/>
      <c r="L13" s="6"/>
      <c r="M13" s="6"/>
    </row>
    <row r="14" spans="1:13" s="7" customFormat="1" ht="30" customHeight="1" thickBot="1">
      <c r="A14" s="5"/>
      <c r="B14" s="52"/>
      <c r="C14" s="52"/>
      <c r="D14" s="52"/>
      <c r="E14" s="52"/>
      <c r="F14" s="52"/>
      <c r="G14" s="52"/>
      <c r="H14" s="52"/>
      <c r="I14" s="52"/>
      <c r="J14" s="6"/>
      <c r="K14" s="6"/>
      <c r="L14" s="6"/>
      <c r="M14" s="6"/>
    </row>
    <row r="15" spans="1:13" s="7" customFormat="1" ht="30" customHeight="1" thickBot="1">
      <c r="A15" s="5"/>
      <c r="B15" s="117" t="s">
        <v>28</v>
      </c>
      <c r="C15" s="118"/>
      <c r="D15" s="117" t="s">
        <v>29</v>
      </c>
      <c r="E15" s="119"/>
      <c r="F15" s="55"/>
      <c r="G15" s="52"/>
      <c r="H15" s="52"/>
      <c r="I15" s="52"/>
      <c r="J15" s="6"/>
      <c r="K15" s="6"/>
      <c r="L15" s="6"/>
      <c r="M15" s="6"/>
    </row>
    <row r="16" spans="1:13" s="7" customFormat="1" ht="44.25" customHeight="1" thickBot="1">
      <c r="A16" s="5"/>
      <c r="B16" s="120">
        <v>132226</v>
      </c>
      <c r="C16" s="121"/>
      <c r="D16" s="115"/>
      <c r="E16" s="116"/>
      <c r="F16" s="54"/>
      <c r="G16" s="52"/>
      <c r="H16" s="52"/>
      <c r="I16" s="52"/>
      <c r="J16" s="6"/>
      <c r="K16" s="6"/>
      <c r="L16" s="6"/>
      <c r="M16" s="6"/>
    </row>
    <row r="17" spans="1:13" s="9" customFormat="1" ht="33.75" customHeight="1" thickBo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s="18" customFormat="1" ht="35.25" customHeight="1" thickBot="1">
      <c r="A18" s="10"/>
      <c r="B18" s="11" t="s">
        <v>1</v>
      </c>
      <c r="C18" s="12"/>
      <c r="D18" s="13" t="s">
        <v>2</v>
      </c>
      <c r="E18" s="14"/>
      <c r="F18" s="15"/>
      <c r="G18" s="97" t="s">
        <v>3</v>
      </c>
      <c r="H18" s="97"/>
      <c r="I18" s="16" t="s">
        <v>36</v>
      </c>
      <c r="J18" s="17"/>
      <c r="K18" s="17"/>
      <c r="L18" s="17"/>
      <c r="M18" s="17"/>
    </row>
    <row r="19" spans="1:13" s="24" customFormat="1" ht="35.25" customHeight="1" thickBot="1">
      <c r="A19" s="19"/>
      <c r="B19" s="20" t="s">
        <v>4</v>
      </c>
      <c r="C19" s="21"/>
      <c r="D19" s="113" t="s">
        <v>39</v>
      </c>
      <c r="E19" s="113"/>
      <c r="F19" s="113"/>
      <c r="G19" s="114" t="s">
        <v>5</v>
      </c>
      <c r="H19" s="114"/>
      <c r="I19" s="22" t="s">
        <v>43</v>
      </c>
      <c r="J19" s="23"/>
      <c r="K19" s="23"/>
      <c r="L19" s="23"/>
      <c r="M19" s="23"/>
    </row>
    <row r="20" spans="1:13" s="26" customFormat="1" ht="35.25" customHeight="1" thickBot="1">
      <c r="A20" s="25"/>
      <c r="B20" s="101" t="s">
        <v>6</v>
      </c>
      <c r="C20" s="101"/>
      <c r="D20" s="101"/>
      <c r="E20" s="102" t="s">
        <v>7</v>
      </c>
      <c r="F20" s="102"/>
      <c r="G20" s="109" t="s">
        <v>38</v>
      </c>
      <c r="H20" s="109"/>
      <c r="I20" s="109"/>
      <c r="J20" s="25"/>
      <c r="K20" s="25"/>
      <c r="L20" s="25"/>
      <c r="M20" s="25"/>
    </row>
    <row r="21" spans="1:13" s="9" customFormat="1" ht="35.25" customHeight="1" thickBot="1">
      <c r="A21" s="8"/>
      <c r="B21" s="103" t="s">
        <v>8</v>
      </c>
      <c r="C21" s="103"/>
      <c r="D21" s="103"/>
      <c r="E21" s="104" t="s">
        <v>9</v>
      </c>
      <c r="F21" s="104"/>
      <c r="G21" s="105">
        <v>42275</v>
      </c>
      <c r="H21" s="105"/>
      <c r="I21" s="105"/>
      <c r="J21" s="8"/>
      <c r="K21" s="8"/>
      <c r="L21" s="8"/>
      <c r="M21" s="8"/>
    </row>
    <row r="22" spans="1:13" s="9" customFormat="1" ht="0.75" customHeight="1"/>
    <row r="23" spans="1:13" s="24" customFormat="1" ht="33.75" customHeight="1">
      <c r="A23" s="19"/>
      <c r="B23" s="27"/>
      <c r="C23" s="21"/>
      <c r="D23" s="21"/>
      <c r="E23" s="27"/>
      <c r="F23" s="21"/>
      <c r="G23" s="28"/>
      <c r="H23" s="29"/>
      <c r="I23" s="29"/>
      <c r="J23" s="23"/>
      <c r="K23" s="23"/>
      <c r="L23" s="23"/>
      <c r="M23" s="23"/>
    </row>
    <row r="24" spans="1:13" s="26" customFormat="1" ht="34.5" customHeight="1">
      <c r="A24" s="25"/>
      <c r="B24" s="11" t="s">
        <v>1</v>
      </c>
      <c r="C24" s="12"/>
      <c r="D24" s="13" t="s">
        <v>2</v>
      </c>
      <c r="E24" s="14"/>
      <c r="F24" s="15"/>
      <c r="G24" s="97" t="s">
        <v>3</v>
      </c>
      <c r="H24" s="97"/>
      <c r="I24" s="65" t="s">
        <v>36</v>
      </c>
      <c r="J24" s="25"/>
      <c r="K24" s="25"/>
      <c r="L24" s="25"/>
      <c r="M24" s="25"/>
    </row>
    <row r="25" spans="1:13" s="31" customFormat="1" ht="50.25" customHeight="1">
      <c r="A25" s="30"/>
      <c r="B25" s="98" t="s">
        <v>31</v>
      </c>
      <c r="C25" s="98"/>
      <c r="D25" s="99" t="s">
        <v>32</v>
      </c>
      <c r="E25" s="99"/>
      <c r="F25" s="99"/>
      <c r="G25" s="100" t="s">
        <v>35</v>
      </c>
      <c r="H25" s="100"/>
      <c r="I25" s="22" t="s">
        <v>43</v>
      </c>
      <c r="J25" s="30"/>
      <c r="K25" s="30"/>
      <c r="L25" s="30"/>
      <c r="M25" s="30"/>
    </row>
    <row r="26" spans="1:13" s="18" customFormat="1" ht="34.5" customHeight="1">
      <c r="A26" s="17"/>
      <c r="B26" s="101" t="s">
        <v>6</v>
      </c>
      <c r="C26" s="101"/>
      <c r="D26" s="101"/>
      <c r="E26" s="102" t="s">
        <v>7</v>
      </c>
      <c r="F26" s="102"/>
      <c r="G26" s="109" t="s">
        <v>38</v>
      </c>
      <c r="H26" s="109"/>
      <c r="I26" s="109"/>
      <c r="J26" s="17"/>
      <c r="K26" s="17"/>
      <c r="L26" s="17"/>
      <c r="M26" s="17"/>
    </row>
    <row r="27" spans="1:13" s="24" customFormat="1" ht="34.5" customHeight="1">
      <c r="A27" s="23"/>
      <c r="B27" s="103" t="s">
        <v>33</v>
      </c>
      <c r="C27" s="103"/>
      <c r="D27" s="103"/>
      <c r="E27" s="104" t="s">
        <v>34</v>
      </c>
      <c r="F27" s="104"/>
      <c r="G27" s="105">
        <v>42275</v>
      </c>
      <c r="H27" s="105"/>
      <c r="I27" s="105"/>
      <c r="J27" s="23"/>
      <c r="K27" s="23"/>
      <c r="L27" s="23"/>
      <c r="M27" s="23"/>
    </row>
    <row r="28" spans="1:13" s="38" customFormat="1" ht="33.75" customHeight="1">
      <c r="A28" s="32"/>
      <c r="B28" s="33"/>
      <c r="C28" s="34"/>
      <c r="D28" s="34"/>
      <c r="E28" s="34"/>
      <c r="F28" s="34"/>
      <c r="G28" s="35"/>
      <c r="H28" s="36"/>
      <c r="I28" s="37"/>
      <c r="J28" s="32"/>
      <c r="K28" s="32"/>
      <c r="L28" s="32"/>
      <c r="M28" s="32"/>
    </row>
    <row r="29" spans="1:13" s="26" customFormat="1" ht="34.5" customHeight="1">
      <c r="A29" s="25"/>
      <c r="B29" s="106" t="s">
        <v>10</v>
      </c>
      <c r="C29" s="106"/>
      <c r="D29" s="106"/>
      <c r="E29" s="106"/>
      <c r="F29" s="106"/>
      <c r="G29" s="106"/>
      <c r="H29" s="106"/>
      <c r="I29" s="106"/>
      <c r="J29" s="25"/>
      <c r="K29" s="25"/>
      <c r="L29" s="25"/>
      <c r="M29" s="25"/>
    </row>
    <row r="30" spans="1:13" s="26" customFormat="1" ht="141.75" customHeight="1">
      <c r="A30" s="25"/>
      <c r="B30" s="107" t="s">
        <v>44</v>
      </c>
      <c r="C30" s="108"/>
      <c r="D30" s="108"/>
      <c r="E30" s="108"/>
      <c r="F30" s="108"/>
      <c r="G30" s="108"/>
      <c r="H30" s="108"/>
      <c r="I30" s="108"/>
      <c r="J30" s="25"/>
      <c r="K30" s="25"/>
      <c r="L30" s="25"/>
      <c r="M30" s="25"/>
    </row>
    <row r="31" spans="1:13" s="42" customFormat="1" ht="58.5" customHeight="1">
      <c r="A31" s="39"/>
      <c r="B31" s="96" t="s">
        <v>11</v>
      </c>
      <c r="C31" s="96"/>
      <c r="D31" s="96"/>
      <c r="E31" s="96"/>
      <c r="F31" s="96"/>
      <c r="G31" s="96"/>
      <c r="H31" s="40" t="s">
        <v>12</v>
      </c>
      <c r="I31" s="41" t="s">
        <v>13</v>
      </c>
      <c r="J31" s="39"/>
      <c r="K31" s="39"/>
      <c r="L31" s="39"/>
      <c r="M31" s="39"/>
    </row>
    <row r="32" spans="1:13" s="39" customFormat="1" ht="37.5" customHeight="1" thickBot="1">
      <c r="B32" s="149"/>
      <c r="C32" s="150"/>
      <c r="D32" s="150"/>
      <c r="E32" s="150"/>
      <c r="F32" s="150"/>
      <c r="G32" s="151"/>
      <c r="H32" s="58"/>
      <c r="I32" s="152"/>
    </row>
    <row r="33" spans="1:13" s="9" customFormat="1" ht="37.5" customHeight="1">
      <c r="A33" s="8"/>
      <c r="B33" s="153" t="s">
        <v>46</v>
      </c>
      <c r="C33" s="154"/>
      <c r="D33" s="154"/>
      <c r="E33" s="154"/>
      <c r="F33" s="154"/>
      <c r="G33" s="154"/>
      <c r="H33" s="155"/>
      <c r="I33" s="156"/>
      <c r="J33" s="8"/>
      <c r="K33" s="8"/>
      <c r="L33" s="8"/>
      <c r="M33" s="8"/>
    </row>
    <row r="34" spans="1:13" s="9" customFormat="1" ht="37.5" customHeight="1">
      <c r="A34" s="8"/>
      <c r="B34" s="59"/>
      <c r="C34" s="44"/>
      <c r="D34" s="44"/>
      <c r="E34" s="44"/>
      <c r="F34" s="44"/>
      <c r="G34" s="45"/>
      <c r="H34" s="43"/>
      <c r="I34" s="69"/>
      <c r="J34" s="8"/>
      <c r="K34" s="8"/>
      <c r="L34" s="8"/>
      <c r="M34" s="8"/>
    </row>
    <row r="35" spans="1:13" s="9" customFormat="1" ht="37.5" customHeight="1">
      <c r="A35" s="8"/>
      <c r="B35" s="80" t="s">
        <v>45</v>
      </c>
      <c r="C35" s="81"/>
      <c r="D35" s="81"/>
      <c r="E35" s="81"/>
      <c r="F35" s="81"/>
      <c r="G35" s="82"/>
      <c r="H35" s="87"/>
      <c r="I35" s="89"/>
      <c r="J35" s="8"/>
      <c r="K35" s="8"/>
      <c r="L35" s="8"/>
      <c r="M35" s="8"/>
    </row>
    <row r="36" spans="1:13" s="9" customFormat="1" ht="41.25" customHeight="1">
      <c r="A36" s="8"/>
      <c r="B36" s="83"/>
      <c r="C36" s="84"/>
      <c r="D36" s="84"/>
      <c r="E36" s="84"/>
      <c r="F36" s="84"/>
      <c r="G36" s="85"/>
      <c r="H36" s="88"/>
      <c r="I36" s="90"/>
      <c r="J36" s="8"/>
      <c r="K36" s="8"/>
      <c r="L36" s="8"/>
      <c r="M36" s="8"/>
    </row>
    <row r="37" spans="1:13" s="9" customFormat="1" ht="37.5" customHeight="1">
      <c r="A37" s="8"/>
      <c r="B37" s="77" t="s">
        <v>40</v>
      </c>
      <c r="C37" s="78"/>
      <c r="D37" s="78"/>
      <c r="E37" s="78"/>
      <c r="F37" s="78"/>
      <c r="G37" s="79"/>
      <c r="H37" s="70">
        <v>23</v>
      </c>
      <c r="I37" s="71">
        <f>H37*26.39</f>
        <v>606.97</v>
      </c>
      <c r="J37" s="8"/>
      <c r="K37" s="8"/>
      <c r="L37" s="8"/>
      <c r="M37" s="8"/>
    </row>
    <row r="38" spans="1:13" s="9" customFormat="1" ht="37.5" customHeight="1">
      <c r="A38" s="8"/>
      <c r="B38" s="157" t="s">
        <v>41</v>
      </c>
      <c r="C38" s="147"/>
      <c r="D38" s="147"/>
      <c r="E38" s="147"/>
      <c r="F38" s="147"/>
      <c r="G38" s="148"/>
      <c r="H38" s="144">
        <v>1</v>
      </c>
      <c r="I38" s="71">
        <f t="shared" ref="I38:I39" si="0">H38*26.39</f>
        <v>26.39</v>
      </c>
      <c r="J38" s="8"/>
      <c r="K38" s="8"/>
      <c r="L38" s="8"/>
      <c r="M38" s="8"/>
    </row>
    <row r="39" spans="1:13" s="9" customFormat="1" ht="37.5" customHeight="1">
      <c r="A39" s="8"/>
      <c r="B39" s="158" t="s">
        <v>42</v>
      </c>
      <c r="C39" s="145"/>
      <c r="D39" s="145"/>
      <c r="E39" s="145"/>
      <c r="F39" s="145"/>
      <c r="G39" s="145"/>
      <c r="H39" s="67">
        <v>1</v>
      </c>
      <c r="I39" s="71">
        <f t="shared" si="0"/>
        <v>26.39</v>
      </c>
      <c r="J39" s="8"/>
      <c r="K39" s="8"/>
      <c r="L39" s="8"/>
      <c r="M39" s="8"/>
    </row>
    <row r="40" spans="1:13" s="9" customFormat="1" ht="37.5" customHeight="1">
      <c r="A40" s="8"/>
      <c r="B40" s="157"/>
      <c r="C40" s="147"/>
      <c r="D40" s="147"/>
      <c r="E40" s="147"/>
      <c r="F40" s="147"/>
      <c r="G40" s="148"/>
      <c r="H40" s="146"/>
      <c r="I40" s="159"/>
      <c r="J40" s="8"/>
      <c r="K40" s="8"/>
      <c r="L40" s="8"/>
      <c r="M40" s="8"/>
    </row>
    <row r="41" spans="1:13" s="9" customFormat="1" ht="37.5" customHeight="1">
      <c r="A41" s="8"/>
      <c r="B41" s="94"/>
      <c r="C41" s="95"/>
      <c r="D41" s="95"/>
      <c r="E41" s="95"/>
      <c r="F41" s="95"/>
      <c r="G41" s="95"/>
      <c r="H41" s="67"/>
      <c r="I41" s="60"/>
      <c r="J41" s="8"/>
      <c r="K41" s="8"/>
      <c r="L41" s="8"/>
      <c r="M41" s="8"/>
    </row>
    <row r="42" spans="1:13" s="9" customFormat="1" ht="37.5" customHeight="1">
      <c r="A42" s="8"/>
      <c r="B42" s="91"/>
      <c r="C42" s="92"/>
      <c r="D42" s="92"/>
      <c r="E42" s="92"/>
      <c r="F42" s="92"/>
      <c r="G42" s="92"/>
      <c r="H42" s="46"/>
      <c r="I42" s="66"/>
      <c r="J42" s="8"/>
      <c r="K42" s="8"/>
      <c r="L42" s="8"/>
      <c r="M42" s="8"/>
    </row>
    <row r="43" spans="1:13" s="9" customFormat="1" ht="37.5" customHeight="1" thickBot="1">
      <c r="A43" s="8"/>
      <c r="B43" s="61"/>
      <c r="C43" s="62"/>
      <c r="D43" s="62"/>
      <c r="E43" s="62"/>
      <c r="F43" s="62"/>
      <c r="G43" s="63" t="s">
        <v>14</v>
      </c>
      <c r="H43" s="68">
        <f>H37+H38+H39</f>
        <v>25</v>
      </c>
      <c r="I43" s="64">
        <f>I37+I38+I39</f>
        <v>659.75</v>
      </c>
      <c r="J43" s="8"/>
      <c r="K43" s="8"/>
      <c r="L43" s="8"/>
      <c r="M43" s="8"/>
    </row>
    <row r="44" spans="1:13" s="9" customFormat="1" ht="43.5" customHeight="1" thickBot="1">
      <c r="A44" s="8"/>
      <c r="B44" s="47"/>
      <c r="C44" s="47"/>
      <c r="D44" s="47"/>
      <c r="E44" s="47"/>
      <c r="F44" s="47"/>
      <c r="G44" s="47"/>
      <c r="H44" s="56" t="s">
        <v>15</v>
      </c>
      <c r="I44" s="57">
        <f>I43*0.21</f>
        <v>138.54749999999999</v>
      </c>
      <c r="J44" s="8"/>
      <c r="K44" s="8"/>
      <c r="L44" s="8"/>
      <c r="M44" s="8"/>
    </row>
    <row r="45" spans="1:13" s="9" customFormat="1" ht="28.5" customHeight="1" thickBot="1">
      <c r="A45" s="8"/>
      <c r="B45" s="47"/>
      <c r="C45" s="47"/>
      <c r="D45" s="47"/>
      <c r="E45" s="47"/>
      <c r="F45" s="47"/>
      <c r="G45" s="47"/>
      <c r="I45" s="53">
        <f>SUM(I43:I44)+0.01</f>
        <v>798.3075</v>
      </c>
      <c r="J45" s="8"/>
      <c r="K45" s="8"/>
      <c r="L45" s="8"/>
      <c r="M45" s="8"/>
    </row>
    <row r="46" spans="1:13" s="9" customFormat="1" ht="28.5" customHeight="1">
      <c r="A46" s="8"/>
      <c r="B46" s="47"/>
      <c r="C46" s="47"/>
      <c r="D46" s="47"/>
      <c r="E46" s="47"/>
      <c r="F46" s="47"/>
      <c r="G46" s="47"/>
      <c r="I46" s="48"/>
      <c r="J46" s="8"/>
      <c r="K46" s="8"/>
      <c r="L46" s="8"/>
      <c r="M46" s="8"/>
    </row>
    <row r="47" spans="1:13" s="9" customFormat="1" ht="28.5" customHeight="1">
      <c r="A47" s="8"/>
      <c r="B47" s="47"/>
      <c r="C47" s="47"/>
      <c r="D47" s="47"/>
      <c r="E47" s="47"/>
      <c r="F47" s="47"/>
      <c r="G47" s="47"/>
      <c r="I47" s="48"/>
      <c r="J47" s="8"/>
      <c r="K47" s="8"/>
      <c r="L47" s="8"/>
      <c r="M47" s="8"/>
    </row>
    <row r="48" spans="1:13" s="9" customFormat="1" ht="28.5" customHeight="1">
      <c r="A48" s="8"/>
      <c r="B48" s="47"/>
      <c r="C48" s="47"/>
      <c r="D48" s="47"/>
      <c r="E48" s="47"/>
      <c r="F48" s="47"/>
      <c r="G48" s="47"/>
      <c r="I48" s="48"/>
      <c r="J48" s="8"/>
      <c r="K48" s="8"/>
      <c r="L48" s="8"/>
      <c r="M48" s="8"/>
    </row>
    <row r="49" spans="1:13" s="9" customFormat="1" ht="28.5" customHeight="1">
      <c r="A49" s="8"/>
      <c r="B49" s="47"/>
      <c r="C49" s="47"/>
      <c r="D49" s="47"/>
      <c r="E49" s="47"/>
      <c r="F49" s="47"/>
      <c r="G49" s="47"/>
      <c r="I49" s="48"/>
      <c r="J49" s="8"/>
      <c r="K49" s="8"/>
      <c r="L49" s="8"/>
      <c r="M49" s="8"/>
    </row>
    <row r="50" spans="1:13" s="9" customFormat="1" ht="28.5" customHeight="1">
      <c r="A50" s="8"/>
      <c r="B50" s="47"/>
      <c r="C50" s="47"/>
      <c r="D50" s="47"/>
      <c r="E50" s="47"/>
      <c r="F50" s="47"/>
      <c r="G50" s="47"/>
      <c r="I50" s="48"/>
      <c r="J50" s="8"/>
      <c r="K50" s="8"/>
      <c r="L50" s="8"/>
      <c r="M50" s="8"/>
    </row>
    <row r="51" spans="1:13" s="9" customFormat="1" ht="28.5" customHeight="1">
      <c r="A51" s="8"/>
      <c r="B51" s="47"/>
      <c r="C51" s="47"/>
      <c r="D51" s="47"/>
      <c r="E51" s="47"/>
      <c r="F51" s="47"/>
      <c r="G51" s="47"/>
      <c r="I51" s="48"/>
      <c r="J51" s="8"/>
      <c r="K51" s="8"/>
      <c r="L51" s="8"/>
      <c r="M51" s="8"/>
    </row>
    <row r="52" spans="1:13" s="9" customFormat="1" ht="28.5" customHeight="1">
      <c r="A52" s="8"/>
      <c r="B52" s="47"/>
      <c r="C52" s="47"/>
      <c r="D52" s="47"/>
      <c r="E52" s="47"/>
      <c r="F52" s="47"/>
      <c r="G52" s="47"/>
      <c r="I52" s="48"/>
      <c r="J52" s="8"/>
      <c r="K52" s="8"/>
      <c r="L52" s="8"/>
      <c r="M52" s="8"/>
    </row>
    <row r="53" spans="1:13" s="9" customFormat="1" ht="28.5" customHeight="1">
      <c r="A53" s="8"/>
      <c r="B53" s="47"/>
      <c r="C53" s="47"/>
      <c r="D53" s="47"/>
      <c r="E53" s="47"/>
      <c r="F53" s="47"/>
      <c r="G53" s="47"/>
      <c r="I53" s="48"/>
      <c r="J53" s="49"/>
      <c r="K53" s="8"/>
      <c r="L53" s="8"/>
      <c r="M53" s="8"/>
    </row>
    <row r="54" spans="1:13" s="9" customFormat="1" ht="28.5" customHeight="1">
      <c r="A54" s="8"/>
      <c r="B54" s="86"/>
      <c r="C54" s="86"/>
      <c r="D54" s="86"/>
      <c r="E54" s="86"/>
      <c r="F54" s="86"/>
      <c r="G54" s="86"/>
      <c r="H54" s="86"/>
      <c r="I54" s="86"/>
      <c r="J54" s="8"/>
      <c r="K54" s="8"/>
      <c r="L54" s="8"/>
      <c r="M54" s="8"/>
    </row>
    <row r="55" spans="1:13" s="9" customFormat="1" ht="28.5" customHeight="1">
      <c r="A55" s="8"/>
      <c r="B55" s="86" t="s">
        <v>16</v>
      </c>
      <c r="C55" s="86"/>
      <c r="D55" s="86"/>
      <c r="E55" s="86"/>
      <c r="F55" s="86"/>
      <c r="G55" s="86"/>
      <c r="H55" s="86"/>
      <c r="I55" s="86"/>
      <c r="J55" s="8"/>
      <c r="K55" s="8"/>
      <c r="L55" s="8"/>
      <c r="M55" s="8"/>
    </row>
    <row r="56" spans="1:13" s="9" customFormat="1" ht="32.25" customHeight="1" thickBot="1">
      <c r="A56" s="8"/>
      <c r="B56" s="47"/>
      <c r="C56" s="47"/>
      <c r="D56" s="47"/>
      <c r="E56" s="47"/>
      <c r="F56" s="47"/>
      <c r="G56" s="47"/>
      <c r="H56" s="50"/>
      <c r="I56" s="51"/>
      <c r="J56" s="8"/>
      <c r="K56" s="8"/>
      <c r="L56" s="8"/>
      <c r="M56" s="8"/>
    </row>
    <row r="57" spans="1:13" s="9" customFormat="1" ht="24.75" customHeight="1" thickBot="1">
      <c r="A57" s="8"/>
      <c r="B57" s="72" t="s">
        <v>21</v>
      </c>
      <c r="C57" s="93"/>
      <c r="D57" s="72" t="s">
        <v>22</v>
      </c>
      <c r="E57" s="73"/>
      <c r="F57" s="74"/>
      <c r="G57" s="72" t="s">
        <v>23</v>
      </c>
      <c r="H57" s="75"/>
      <c r="I57" s="76"/>
      <c r="J57" s="8"/>
      <c r="K57" s="8"/>
      <c r="L57" s="8"/>
      <c r="M57" s="8"/>
    </row>
    <row r="58" spans="1:13" ht="24.75" customHeight="1">
      <c r="A58" s="3"/>
      <c r="B58" s="123" t="s">
        <v>26</v>
      </c>
      <c r="C58" s="124"/>
      <c r="D58" s="142" t="s">
        <v>24</v>
      </c>
      <c r="E58" s="124"/>
      <c r="F58" s="143"/>
      <c r="G58" s="123" t="s">
        <v>25</v>
      </c>
      <c r="H58" s="129"/>
      <c r="I58" s="130"/>
      <c r="J58" s="4"/>
      <c r="K58" s="4"/>
      <c r="L58" s="4"/>
      <c r="M58" s="4"/>
    </row>
    <row r="59" spans="1:13" ht="24.75" customHeight="1">
      <c r="A59" s="3"/>
      <c r="B59" s="125"/>
      <c r="C59" s="126"/>
      <c r="D59" s="137" t="s">
        <v>17</v>
      </c>
      <c r="E59" s="138"/>
      <c r="F59" s="139"/>
      <c r="G59" s="131"/>
      <c r="H59" s="132"/>
      <c r="I59" s="133"/>
      <c r="J59" s="4"/>
      <c r="K59" s="4"/>
      <c r="L59" s="4"/>
      <c r="M59" s="4"/>
    </row>
    <row r="60" spans="1:13" ht="24.75" customHeight="1" thickBot="1">
      <c r="A60" s="3"/>
      <c r="B60" s="125"/>
      <c r="C60" s="126"/>
      <c r="D60" s="140" t="s">
        <v>18</v>
      </c>
      <c r="E60" s="128"/>
      <c r="F60" s="141"/>
      <c r="G60" s="131"/>
      <c r="H60" s="132"/>
      <c r="I60" s="133"/>
      <c r="J60" s="4"/>
      <c r="K60" s="4"/>
      <c r="L60" s="4"/>
      <c r="M60" s="4"/>
    </row>
    <row r="61" spans="1:13" ht="24.75" customHeight="1">
      <c r="A61" s="3"/>
      <c r="B61" s="125"/>
      <c r="C61" s="126"/>
      <c r="D61" s="142" t="s">
        <v>27</v>
      </c>
      <c r="E61" s="124"/>
      <c r="F61" s="143"/>
      <c r="G61" s="131"/>
      <c r="H61" s="132"/>
      <c r="I61" s="133"/>
      <c r="J61" s="4"/>
      <c r="K61" s="4"/>
      <c r="L61" s="4"/>
      <c r="M61" s="4"/>
    </row>
    <row r="62" spans="1:13" ht="24.75" customHeight="1">
      <c r="A62" s="3"/>
      <c r="B62" s="125"/>
      <c r="C62" s="126"/>
      <c r="D62" s="131" t="s">
        <v>19</v>
      </c>
      <c r="E62" s="132"/>
      <c r="F62" s="133"/>
      <c r="G62" s="131"/>
      <c r="H62" s="132"/>
      <c r="I62" s="133"/>
      <c r="J62" s="4"/>
      <c r="K62" s="4"/>
      <c r="L62" s="4"/>
      <c r="M62" s="4"/>
    </row>
    <row r="63" spans="1:13" ht="24" thickBot="1">
      <c r="A63" s="3"/>
      <c r="B63" s="127"/>
      <c r="C63" s="128"/>
      <c r="D63" s="140" t="s">
        <v>20</v>
      </c>
      <c r="E63" s="128"/>
      <c r="F63" s="141"/>
      <c r="G63" s="134"/>
      <c r="H63" s="135"/>
      <c r="I63" s="136"/>
      <c r="J63" s="4"/>
      <c r="K63" s="4"/>
      <c r="L63" s="4"/>
      <c r="M63" s="4"/>
    </row>
    <row r="64" spans="1:13" ht="63.75" customHeight="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>
      <c r="A65" s="3"/>
      <c r="B65" s="122" t="s">
        <v>30</v>
      </c>
      <c r="C65" s="122"/>
      <c r="D65" s="122"/>
      <c r="E65" s="122"/>
      <c r="F65" s="122"/>
      <c r="G65" s="122"/>
      <c r="H65" s="122"/>
      <c r="I65" s="122"/>
      <c r="J65" s="4"/>
      <c r="K65" s="4"/>
      <c r="L65" s="4"/>
      <c r="M65" s="4"/>
    </row>
    <row r="66" spans="1:13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B88" s="4"/>
      <c r="C88" s="4"/>
      <c r="D88" s="4"/>
      <c r="E88" s="4"/>
      <c r="F88" s="4"/>
      <c r="G88" s="4"/>
      <c r="H88" s="4"/>
      <c r="I88" s="4"/>
    </row>
  </sheetData>
  <sheetProtection selectLockedCells="1" selectUnlockedCells="1"/>
  <mergeCells count="53">
    <mergeCell ref="B65:I65"/>
    <mergeCell ref="B58:C63"/>
    <mergeCell ref="G58:I63"/>
    <mergeCell ref="D59:F59"/>
    <mergeCell ref="D60:F60"/>
    <mergeCell ref="D61:F61"/>
    <mergeCell ref="D62:F62"/>
    <mergeCell ref="D63:F63"/>
    <mergeCell ref="D58:F58"/>
    <mergeCell ref="B1:G12"/>
    <mergeCell ref="H1:I12"/>
    <mergeCell ref="B13:I13"/>
    <mergeCell ref="G18:H18"/>
    <mergeCell ref="D19:F19"/>
    <mergeCell ref="G19:H19"/>
    <mergeCell ref="D16:E16"/>
    <mergeCell ref="B15:C15"/>
    <mergeCell ref="D15:E15"/>
    <mergeCell ref="B16:C16"/>
    <mergeCell ref="B20:D20"/>
    <mergeCell ref="E20:F20"/>
    <mergeCell ref="G20:I20"/>
    <mergeCell ref="B21:D21"/>
    <mergeCell ref="E21:F21"/>
    <mergeCell ref="G21:I21"/>
    <mergeCell ref="B31:G31"/>
    <mergeCell ref="G24:H24"/>
    <mergeCell ref="B25:C25"/>
    <mergeCell ref="D25:F25"/>
    <mergeCell ref="G25:H25"/>
    <mergeCell ref="B26:D26"/>
    <mergeCell ref="E26:F26"/>
    <mergeCell ref="B27:D27"/>
    <mergeCell ref="E27:F27"/>
    <mergeCell ref="G27:I27"/>
    <mergeCell ref="B29:I29"/>
    <mergeCell ref="B30:I30"/>
    <mergeCell ref="G26:I26"/>
    <mergeCell ref="B38:G38"/>
    <mergeCell ref="D57:F57"/>
    <mergeCell ref="G57:I57"/>
    <mergeCell ref="B33:G33"/>
    <mergeCell ref="B37:G37"/>
    <mergeCell ref="B35:G36"/>
    <mergeCell ref="B54:I54"/>
    <mergeCell ref="H35:H36"/>
    <mergeCell ref="I35:I36"/>
    <mergeCell ref="B42:G42"/>
    <mergeCell ref="B55:I55"/>
    <mergeCell ref="B57:C57"/>
    <mergeCell ref="B41:G41"/>
    <mergeCell ref="B39:G39"/>
    <mergeCell ref="B40:G40"/>
  </mergeCells>
  <pageMargins left="0.40972222222222221" right="0.47222222222222221" top="0.43333333333333335" bottom="0.27569444444444446" header="0.51180555555555551" footer="0.51180555555555551"/>
  <pageSetup paperSize="9" scale="39" firstPageNumber="0" orientation="portrait" horizontalDpi="4294967295" verticalDpi="4294967295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ALBARAN</vt:lpstr>
      <vt:lpstr>ALBARAN!Área_de_impresión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Burgos</dc:creator>
  <cp:lastModifiedBy>Ainara</cp:lastModifiedBy>
  <cp:lastPrinted>2015-08-24T11:49:12Z</cp:lastPrinted>
  <dcterms:created xsi:type="dcterms:W3CDTF">2014-03-24T10:17:17Z</dcterms:created>
  <dcterms:modified xsi:type="dcterms:W3CDTF">2015-09-28T08:12:26Z</dcterms:modified>
</cp:coreProperties>
</file>