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285" windowWidth="12510" windowHeight="7230" tabRatio="735" activeTab="9"/>
  </bookViews>
  <sheets>
    <sheet name="Validación" sheetId="20" r:id="rId1"/>
    <sheet name="Orden de Pedido" sheetId="19" r:id="rId2"/>
    <sheet name="Instrucción de trabajo" sheetId="22" r:id="rId3"/>
    <sheet name="Información" sheetId="10" r:id="rId4"/>
    <sheet name="Grafico" sheetId="15" r:id="rId5"/>
    <sheet name="Recuento final" sheetId="23" r:id="rId6"/>
    <sheet name="Estimación de horas y costes" sheetId="14" r:id="rId7"/>
    <sheet name="Valoración del servicio" sheetId="24" r:id="rId8"/>
    <sheet name="Registro personal formado" sheetId="26" r:id="rId9"/>
    <sheet name="Gama de retrabajos" sheetId="27" r:id="rId10"/>
  </sheets>
  <definedNames>
    <definedName name="_xlnm.Print_Area" localSheetId="2">'Instrucción de trabajo'!$A$1:$I$127</definedName>
    <definedName name="_xlnm.Print_Area" localSheetId="1">'Orden de Pedido'!$A$1:$H$42</definedName>
    <definedName name="_xlnm.Print_Area" localSheetId="0">Validación!$A$1:$I$54</definedName>
    <definedName name="HTML_CodePage" hidden="1">1252</definedName>
    <definedName name="HTML_Control" localSheetId="3" hidden="1">{"'Verr-enseig-ex'!$M$22:$M$23"}</definedName>
    <definedName name="HTML_Control" localSheetId="2" hidden="1">{"'Verr-enseig-ex'!$M$22:$M$23"}</definedName>
    <definedName name="HTML_Control" hidden="1">{"'Verr-enseig-ex'!$M$22:$M$23"}</definedName>
    <definedName name="HTML_Description" hidden="1">""</definedName>
    <definedName name="HTML_Email" hidden="1">""</definedName>
    <definedName name="HTML_Header" hidden="1">"Verr-enseig-ex"</definedName>
    <definedName name="HTML_LastUpdate" hidden="1">"28/07/99"</definedName>
    <definedName name="HTML_LineAfter" hidden="1">FALSE</definedName>
    <definedName name="HTML_LineBefore" hidden="1">FALSE</definedName>
    <definedName name="HTML_Name" hidden="1">"Lee H. Troup"</definedName>
    <definedName name="HTML_OBDlg2" hidden="1">TRUE</definedName>
    <definedName name="HTML_OBDlg4" hidden="1">TRUE</definedName>
    <definedName name="HTML_OS" hidden="1">0</definedName>
    <definedName name="HTML_PathFile" hidden="1">"C:\Mes documents\MonHTML.htm"</definedName>
    <definedName name="HTML_Title" hidden="1">"Problem-solving"</definedName>
    <definedName name="_xlnm.Print_Titles" localSheetId="2">'Instrucción de trabajo'!$11:$15</definedName>
  </definedNames>
  <calcPr calcId="144525"/>
</workbook>
</file>

<file path=xl/calcChain.xml><?xml version="1.0" encoding="utf-8"?>
<calcChain xmlns="http://schemas.openxmlformats.org/spreadsheetml/2006/main">
  <c r="C4" i="22" l="1"/>
  <c r="C3" i="22"/>
  <c r="C2" i="22"/>
  <c r="F4" i="22"/>
  <c r="F3" i="22"/>
  <c r="E4" i="22"/>
  <c r="E3" i="22"/>
  <c r="H3" i="22"/>
  <c r="C7" i="22"/>
  <c r="C5" i="22"/>
  <c r="C11" i="22" s="1"/>
  <c r="C12" i="22"/>
  <c r="B14" i="22"/>
  <c r="F41" i="19"/>
  <c r="H42" i="19"/>
  <c r="G42" i="19"/>
  <c r="F42" i="19"/>
  <c r="H41" i="19"/>
  <c r="G41" i="19"/>
  <c r="C41" i="19"/>
  <c r="E42" i="19"/>
  <c r="D42" i="19"/>
  <c r="C42" i="19"/>
  <c r="E41" i="19"/>
  <c r="D41" i="19"/>
  <c r="A41" i="19"/>
  <c r="H28" i="19"/>
  <c r="G28" i="19"/>
  <c r="B7" i="20"/>
  <c r="G54" i="20"/>
  <c r="G53" i="20"/>
  <c r="G52" i="20"/>
  <c r="A14" i="20"/>
  <c r="B12" i="20"/>
  <c r="B11" i="20"/>
  <c r="B10" i="20"/>
  <c r="B9" i="20"/>
  <c r="B6" i="20"/>
  <c r="B5" i="20"/>
  <c r="B4" i="20"/>
  <c r="B3" i="20"/>
  <c r="I10" i="22"/>
  <c r="I7" i="22"/>
  <c r="H10" i="22"/>
  <c r="H9" i="22"/>
  <c r="H8" i="22"/>
  <c r="H7" i="22"/>
  <c r="AG16" i="14" l="1"/>
  <c r="AG11" i="14"/>
  <c r="AG9" i="14"/>
  <c r="AG17" i="14"/>
  <c r="AG15" i="14"/>
  <c r="AG14" i="14"/>
  <c r="AG13" i="14"/>
  <c r="AG12" i="14"/>
  <c r="AG10" i="14"/>
  <c r="AG8" i="14"/>
  <c r="AG7" i="14"/>
  <c r="AG6" i="14"/>
  <c r="AG4" i="14"/>
  <c r="AG5" i="14"/>
  <c r="AG3" i="14"/>
  <c r="F9" i="24" l="1"/>
  <c r="G3" i="23"/>
  <c r="F3" i="23"/>
  <c r="E3" i="23"/>
  <c r="H3" i="23" s="1"/>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AM15" i="10"/>
  <c r="AL12" i="10"/>
  <c r="AK12" i="10"/>
  <c r="AJ12" i="10"/>
  <c r="AJ18" i="10" s="1"/>
  <c r="AI12" i="10"/>
  <c r="AI18" i="10" s="1"/>
  <c r="AH12" i="10"/>
  <c r="AH18" i="10"/>
  <c r="AG12" i="10"/>
  <c r="AF12" i="10"/>
  <c r="AF18" i="10" s="1"/>
  <c r="AE12" i="10"/>
  <c r="AD12" i="10"/>
  <c r="AC12" i="10"/>
  <c r="AB12" i="10"/>
  <c r="AA12" i="10"/>
  <c r="AA18" i="10" s="1"/>
  <c r="Z12" i="10"/>
  <c r="Z18" i="10"/>
  <c r="Y12" i="10"/>
  <c r="X12" i="10"/>
  <c r="X18" i="10" s="1"/>
  <c r="W12" i="10"/>
  <c r="W18" i="10" s="1"/>
  <c r="V12" i="10"/>
  <c r="U12" i="10"/>
  <c r="T12" i="10"/>
  <c r="T18" i="10" s="1"/>
  <c r="S12" i="10"/>
  <c r="S18" i="10" s="1"/>
  <c r="R12" i="10"/>
  <c r="Q12" i="10"/>
  <c r="P12" i="10"/>
  <c r="P18" i="10" s="1"/>
  <c r="O12" i="10"/>
  <c r="N12" i="10"/>
  <c r="N18" i="10" s="1"/>
  <c r="M12" i="10"/>
  <c r="M10" i="10" s="1"/>
  <c r="L12" i="10"/>
  <c r="L10" i="10" s="1"/>
  <c r="K12" i="10"/>
  <c r="K18" i="10" s="1"/>
  <c r="J12" i="10"/>
  <c r="I12" i="10"/>
  <c r="AM11" i="10"/>
  <c r="AL10" i="10"/>
  <c r="AL16" i="10" s="1"/>
  <c r="AJ10" i="10"/>
  <c r="AJ16" i="10" s="1"/>
  <c r="AI10" i="10"/>
  <c r="AI16" i="10" s="1"/>
  <c r="AH10" i="10"/>
  <c r="AH16" i="10" s="1"/>
  <c r="AF10" i="10"/>
  <c r="AF16" i="10" s="1"/>
  <c r="AE10" i="10"/>
  <c r="AE16" i="10" s="1"/>
  <c r="AD10" i="10"/>
  <c r="AD16" i="10" s="1"/>
  <c r="AB10" i="10"/>
  <c r="AB16" i="10" s="1"/>
  <c r="AA10" i="10"/>
  <c r="AA16" i="10" s="1"/>
  <c r="Z10" i="10"/>
  <c r="Z16" i="10" s="1"/>
  <c r="X10" i="10"/>
  <c r="X16" i="10" s="1"/>
  <c r="W10" i="10"/>
  <c r="W16" i="10" s="1"/>
  <c r="V10" i="10"/>
  <c r="V16" i="10" s="1"/>
  <c r="T10" i="10"/>
  <c r="T16" i="10" s="1"/>
  <c r="S10" i="10"/>
  <c r="S16" i="10" s="1"/>
  <c r="R10" i="10"/>
  <c r="R16" i="10" s="1"/>
  <c r="P10" i="10"/>
  <c r="P16" i="10" s="1"/>
  <c r="K10" i="10"/>
  <c r="K16" i="10" s="1"/>
  <c r="AM8" i="10"/>
  <c r="AM7" i="10"/>
  <c r="AM6" i="10"/>
  <c r="AM5" i="10"/>
  <c r="AM4" i="10"/>
  <c r="AM3" i="10"/>
  <c r="Q18" i="10"/>
  <c r="U18" i="10"/>
  <c r="Y18" i="10"/>
  <c r="AC18" i="10"/>
  <c r="AG18" i="10"/>
  <c r="AK18" i="10"/>
  <c r="Q10" i="10"/>
  <c r="Q16" i="10" s="1"/>
  <c r="U10" i="10"/>
  <c r="U16" i="10" s="1"/>
  <c r="Y10" i="10"/>
  <c r="Y16" i="10" s="1"/>
  <c r="AC10" i="10"/>
  <c r="AC16" i="10" s="1"/>
  <c r="AG10" i="10"/>
  <c r="AG16" i="10" s="1"/>
  <c r="AK10" i="10"/>
  <c r="AK16" i="10" s="1"/>
  <c r="AG18" i="14"/>
  <c r="O10" i="10"/>
  <c r="O16" i="10"/>
  <c r="O18" i="10"/>
  <c r="N10" i="10"/>
  <c r="N16" i="10" s="1"/>
  <c r="K13" i="10"/>
  <c r="AM19" i="10"/>
  <c r="M18" i="10"/>
  <c r="L18" i="10"/>
  <c r="J10" i="10"/>
  <c r="J16" i="10" s="1"/>
  <c r="J18" i="10"/>
  <c r="I10" i="10"/>
  <c r="I13" i="10" s="1"/>
  <c r="I18" i="10"/>
  <c r="AM12" i="10"/>
  <c r="AM18" i="10" s="1"/>
  <c r="O13" i="10"/>
  <c r="M13" i="10" l="1"/>
  <c r="M16" i="10"/>
  <c r="R13" i="10"/>
  <c r="V13" i="10"/>
  <c r="Y13" i="10"/>
  <c r="AB13" i="10"/>
  <c r="AE13" i="10"/>
  <c r="AH13" i="10"/>
  <c r="AL13" i="10"/>
  <c r="J13" i="10"/>
  <c r="AC13" i="10"/>
  <c r="Q13" i="10"/>
  <c r="W13" i="10"/>
  <c r="Z13" i="10"/>
  <c r="AD13" i="10"/>
  <c r="AG13" i="10"/>
  <c r="N13" i="10"/>
  <c r="R18" i="10"/>
  <c r="U13" i="10"/>
  <c r="AE18" i="10"/>
  <c r="AK13" i="10"/>
  <c r="L16" i="10"/>
  <c r="L13" i="10"/>
  <c r="AB18" i="10"/>
  <c r="AJ13" i="10"/>
  <c r="AF13" i="10"/>
  <c r="X13" i="10"/>
  <c r="T13" i="10"/>
  <c r="P13" i="10"/>
  <c r="AI13" i="10"/>
  <c r="AA13" i="10"/>
  <c r="S13" i="10"/>
  <c r="I16" i="10"/>
  <c r="V18" i="10"/>
  <c r="AD18" i="10"/>
  <c r="AL18" i="10"/>
  <c r="AM10" i="10"/>
  <c r="AM16" i="10" l="1"/>
  <c r="AM13" i="10"/>
</calcChain>
</file>

<file path=xl/sharedStrings.xml><?xml version="1.0" encoding="utf-8"?>
<sst xmlns="http://schemas.openxmlformats.org/spreadsheetml/2006/main" count="248" uniqueCount="193">
  <si>
    <t>TOTAL</t>
  </si>
  <si>
    <t xml:space="preserve"> </t>
  </si>
  <si>
    <t>TOTAL:</t>
  </si>
  <si>
    <t>Hora Nocturna</t>
  </si>
  <si>
    <t>Hora Normal</t>
  </si>
  <si>
    <t>PIEZAS REVISADAS</t>
  </si>
  <si>
    <t>PIEZAS OK</t>
  </si>
  <si>
    <t>PIEZAS NOK</t>
  </si>
  <si>
    <t>PIEZAS RECUPERADAS</t>
  </si>
  <si>
    <t>% PIEZAS NOK</t>
  </si>
  <si>
    <t>% PIEZAS RECUPERADAS</t>
  </si>
  <si>
    <t>TOTAL PIEZAS NOK</t>
  </si>
  <si>
    <t>INFORMACIÓN</t>
  </si>
  <si>
    <t>Fecha</t>
  </si>
  <si>
    <t>PERSONA DE CONTACTO:</t>
  </si>
  <si>
    <t>DEPARTAMENTO:</t>
  </si>
  <si>
    <t>TELÉFONO:</t>
  </si>
  <si>
    <t>E-MAIL:</t>
  </si>
  <si>
    <t>FECHA:</t>
  </si>
  <si>
    <t>RESPONSABLE DE LA ACCIÓN</t>
  </si>
  <si>
    <t>MOTIVO CONTRATACIÓN:</t>
  </si>
  <si>
    <t>FACTURACIÓN</t>
  </si>
  <si>
    <t>EMPRESA:</t>
  </si>
  <si>
    <t>NIF:</t>
  </si>
  <si>
    <t>DIRECCIÓN:</t>
  </si>
  <si>
    <t>WEB:</t>
  </si>
  <si>
    <t>NOMBRE DEL BANCO:</t>
  </si>
  <si>
    <t>Nº DE CUENTA:</t>
  </si>
  <si>
    <t>I.B.A.N.</t>
  </si>
  <si>
    <t>B.I.C</t>
  </si>
  <si>
    <t>TARIFA:</t>
  </si>
  <si>
    <t>FORMA DE PAGO:</t>
  </si>
  <si>
    <t>Transferencia Bancaria</t>
  </si>
  <si>
    <t>LIMITE PAGO:</t>
  </si>
  <si>
    <t>30 Días</t>
  </si>
  <si>
    <t>Este documento indica la conformidad del cliente para la realización de los servicios solicitados. La empresa CPA Vitoria 06 S.L. comenzara sus servicios una vez se firme esta hoja. Las tarifas aplicables al servicio demandado serán las del año en curso. El IVA no esta incluido en las tarifas. 
La forma de pago será mediante pagaré, cheque o transferencia con vencimiento a 30 días de la fecha de emisión de factura. El retraso en el pago conllevará el pago de unos intereses de demora del 1% mensual.  La prestación de servicios se realizará en las instalaciones de Mercedes Benz Vitoria ubicada en Vitoria-Gasteiz (Álava) en la calle las Arenas 1,  C.P: 01015. Los derechos y autorizaciones de accesos a datos, sistemas informáticos y documentación mensual a vigilancia serán tramitados por CPA Vitoria 06 sin coste alguno para el cliente. En caso necesario se facturarán los materiales y la maquinaria específicos para dicho trabajo                                                                                                                                                                                                                                                                                  Tras firmar este acuerdo, si surgiesen servicios adicionales que no se han tenido en cuenta, y fuesen estrictamente necesarios para desempeñar nuestros servicios; CPA Vitoria 06 pactará las condiciones previamente con el CLIENTE.</t>
  </si>
  <si>
    <t>Gerente/Director:</t>
  </si>
  <si>
    <t xml:space="preserve"> Sr. Javier Burgos Villameriel</t>
  </si>
  <si>
    <t>Departamento:</t>
  </si>
  <si>
    <t>Fecha:</t>
  </si>
  <si>
    <t>Nº de Acción:</t>
  </si>
  <si>
    <t>Números de Chasis:</t>
  </si>
  <si>
    <t>Fecha Inicio:</t>
  </si>
  <si>
    <t>Responsable CPA:</t>
  </si>
  <si>
    <t>Fecha Fin:</t>
  </si>
  <si>
    <t>Nombre de la pieza:</t>
  </si>
  <si>
    <t>Controles de Calidad</t>
  </si>
  <si>
    <t>Piezas</t>
  </si>
  <si>
    <t>Contenedor</t>
  </si>
  <si>
    <t>Referencias:</t>
  </si>
  <si>
    <t xml:space="preserve">Verde Ok  </t>
  </si>
  <si>
    <t>Blanco Ok</t>
  </si>
  <si>
    <t>Otros Ok</t>
  </si>
  <si>
    <t>Rojo Nok</t>
  </si>
  <si>
    <t>Persona de Contacto:</t>
  </si>
  <si>
    <t>Teléfono</t>
  </si>
  <si>
    <t>E-Mail:</t>
  </si>
  <si>
    <t>Fecha de Solicitud:</t>
  </si>
  <si>
    <t>Empresa:</t>
  </si>
  <si>
    <t>Dirección:</t>
  </si>
  <si>
    <t>C.P.:</t>
  </si>
  <si>
    <t>País:</t>
  </si>
  <si>
    <t>Población</t>
  </si>
  <si>
    <t>Apdo. Correos</t>
  </si>
  <si>
    <t>C.P.</t>
  </si>
  <si>
    <t>C.P. Empresa:</t>
  </si>
  <si>
    <t>INSTRUCCIÓN DEL SERVICIO</t>
  </si>
  <si>
    <t>Descripción</t>
  </si>
  <si>
    <t>SEGURIDAD/EPI´S</t>
  </si>
  <si>
    <t>INFORMACIÓN DE LOS RESULTADOS</t>
  </si>
  <si>
    <t>Calzado de seguridad:</t>
  </si>
  <si>
    <t>Frecuencia</t>
  </si>
  <si>
    <t>Gafas de seguridad:</t>
  </si>
  <si>
    <t>Chaleco reflectante:</t>
  </si>
  <si>
    <t>Tapones:</t>
  </si>
  <si>
    <t>Guantes:</t>
  </si>
  <si>
    <t>Verificador:</t>
  </si>
  <si>
    <t>Aprobado por responsable CPA:</t>
  </si>
  <si>
    <t>Recomendador</t>
  </si>
  <si>
    <t>Recomendado por:</t>
  </si>
  <si>
    <t>RECOMENDADOR</t>
  </si>
  <si>
    <t>DATOS GENERALES CLIENTE</t>
  </si>
  <si>
    <t>RECOMENDADOR DE APERTURA ACCIÓN</t>
  </si>
  <si>
    <t>Formulario de Validación</t>
  </si>
  <si>
    <t xml:space="preserve">Autoriza: </t>
  </si>
  <si>
    <t>Orden de Pedido</t>
  </si>
  <si>
    <t>Información de Resultados</t>
  </si>
  <si>
    <t>Gráfico de Evolución</t>
  </si>
  <si>
    <t>Tiempo invertido y Costes</t>
  </si>
  <si>
    <t>Tipo de Hora</t>
  </si>
  <si>
    <t>Instrucción de trabajo</t>
  </si>
  <si>
    <t>Nº</t>
  </si>
  <si>
    <t>Nº de acción</t>
  </si>
  <si>
    <t xml:space="preserve">Nombre de la pieza </t>
  </si>
  <si>
    <t>TOTAL PIEZAS OK</t>
  </si>
  <si>
    <t>PC-01-FOR-07 REV.00</t>
  </si>
  <si>
    <t>PC-01-FOR-03 REV.01</t>
  </si>
  <si>
    <t>*La firma del este documento autoriza y valida toda la documentación del archivo entregado a cliente</t>
  </si>
  <si>
    <t>PC-01-FOR-04 REV.01</t>
  </si>
  <si>
    <t>Diaria</t>
  </si>
  <si>
    <t>Semanal</t>
  </si>
  <si>
    <t>Mensual</t>
  </si>
  <si>
    <t>Otros</t>
  </si>
  <si>
    <t>PC-01-FOR-05 REV.02</t>
  </si>
  <si>
    <t xml:space="preserve">  Operario:</t>
  </si>
  <si>
    <t>OTROS</t>
  </si>
  <si>
    <t>Aplica</t>
  </si>
  <si>
    <t xml:space="preserve"> NO Aplica</t>
  </si>
  <si>
    <t>Petición del material</t>
  </si>
  <si>
    <t>Comprobar que las referencias son correctas en piezas, talón logistico y contenedor</t>
  </si>
  <si>
    <t>CONTROL</t>
  </si>
  <si>
    <t>Selección de piezas</t>
  </si>
  <si>
    <t>Retrabajo en piezas</t>
  </si>
  <si>
    <t>Trasvase</t>
  </si>
  <si>
    <t>PC-01-FOR-06 REV.01</t>
  </si>
  <si>
    <t>TIPO DE DEFECTOS</t>
  </si>
  <si>
    <t>SELECCIÓN</t>
  </si>
  <si>
    <t>RETRABAJOS</t>
  </si>
  <si>
    <t>RESULTADO                                   FINAL A CLIENTE</t>
  </si>
  <si>
    <t>Gastos logisticos</t>
  </si>
  <si>
    <t>PC-01-FOR-09 REV.01</t>
  </si>
  <si>
    <t xml:space="preserve">H. Especialista Normal </t>
  </si>
  <si>
    <t>H. Especialista Festiva</t>
  </si>
  <si>
    <t xml:space="preserve">H. Especial. Nocturna </t>
  </si>
  <si>
    <t>Hora de Coordinación</t>
  </si>
  <si>
    <t>H. de Administración</t>
  </si>
  <si>
    <t>RECUENTO FINAL</t>
  </si>
  <si>
    <t>PC-01-FOR-08 REV.01</t>
  </si>
  <si>
    <t>Nª de Lote</t>
  </si>
  <si>
    <t>Referencias</t>
  </si>
  <si>
    <t>Color</t>
  </si>
  <si>
    <t>Ok</t>
  </si>
  <si>
    <t>Nok</t>
  </si>
  <si>
    <t>Retrabajado</t>
  </si>
  <si>
    <t>Total</t>
  </si>
  <si>
    <t>Hora extra</t>
  </si>
  <si>
    <t>Hora sábados</t>
  </si>
  <si>
    <t>Hora festivos</t>
  </si>
  <si>
    <t>Organización y puesta en marcha del servicio</t>
  </si>
  <si>
    <t>PC-01-FOR-10 REV.00</t>
  </si>
  <si>
    <t>Valoración del servicio prestado</t>
  </si>
  <si>
    <t>Encuesta de satisfacción individual</t>
  </si>
  <si>
    <t>Ejecución y eficacia del servicio</t>
  </si>
  <si>
    <t>VALOR</t>
  </si>
  <si>
    <t>Observaciones:</t>
  </si>
  <si>
    <t>RESULTADO</t>
  </si>
  <si>
    <r>
      <rPr>
        <b/>
        <sz val="10"/>
        <rFont val="Calibri"/>
        <family val="2"/>
      </rPr>
      <t>1</t>
    </r>
    <r>
      <rPr>
        <sz val="10"/>
        <rFont val="Calibri"/>
        <family val="2"/>
      </rPr>
      <t xml:space="preserve">: Muy insatisfecho; </t>
    </r>
    <r>
      <rPr>
        <b/>
        <sz val="10"/>
        <rFont val="Calibri"/>
        <family val="2"/>
      </rPr>
      <t>2</t>
    </r>
    <r>
      <rPr>
        <sz val="10"/>
        <rFont val="Calibri"/>
        <family val="2"/>
      </rPr>
      <t xml:space="preserve">: Insatisfecho; </t>
    </r>
    <r>
      <rPr>
        <b/>
        <sz val="10"/>
        <rFont val="Calibri"/>
        <family val="2"/>
      </rPr>
      <t>3</t>
    </r>
    <r>
      <rPr>
        <sz val="10"/>
        <rFont val="Calibri"/>
        <family val="2"/>
      </rPr>
      <t xml:space="preserve">: Satisfecho; </t>
    </r>
    <r>
      <rPr>
        <b/>
        <sz val="10"/>
        <rFont val="Calibri"/>
        <family val="2"/>
      </rPr>
      <t>4</t>
    </r>
    <r>
      <rPr>
        <sz val="10"/>
        <rFont val="Calibri"/>
        <family val="2"/>
      </rPr>
      <t>: Muy satisfecho</t>
    </r>
  </si>
  <si>
    <t>Información, comunicación y gestión diaria</t>
  </si>
  <si>
    <t>Gracias por su colaboración</t>
  </si>
  <si>
    <t>Le agradecemos nos conceda unos minutos para hacerle unas preguntas acerca de su grado de satisfacción sobre CPA VITORIA 06 S.L
Valore en una escala del 1 al 4 (siendo 4 “muy satisfecho” y 1 “muy insatisfecho”) los siguientes aspectos:</t>
  </si>
  <si>
    <t>a) Rapidez y eficacia de la organzaición</t>
  </si>
  <si>
    <t xml:space="preserve">b) Tiempo (Menor de 8h) de la puesta en marcha del servicio </t>
  </si>
  <si>
    <t>c) Documentación del servicio (Instrucción de trabajo, referencias...)</t>
  </si>
  <si>
    <t>a) Cantidad y calidad de la información del servicio</t>
  </si>
  <si>
    <t>b) Comunicación diaria fluida</t>
  </si>
  <si>
    <t>c) Gestión diaria; personal formado, documentación actualizada, rechazo...</t>
  </si>
  <si>
    <t>a) Correcto seguimiento de la instrucción de trabajo</t>
  </si>
  <si>
    <t xml:space="preserve">b) Eficacia del servicio </t>
  </si>
  <si>
    <t>REGISTRO                        PERSONAL FORMADO</t>
  </si>
  <si>
    <t xml:space="preserve"> Performed/ Owner by   Realizado por:</t>
  </si>
  <si>
    <t xml:space="preserve"> Date / Fecha:</t>
  </si>
  <si>
    <t xml:space="preserve"> Customer / Cliente: </t>
  </si>
  <si>
    <t xml:space="preserve"> Part  / Pieza:</t>
  </si>
  <si>
    <t xml:space="preserve"> Part numbers / Referencia pieza:</t>
  </si>
  <si>
    <t>Order / Nº</t>
  </si>
  <si>
    <t>Training Record. Company Employee's Name  /                                                                                      Registro de formación. Nombre persona de compañía revisión-retrabajo</t>
  </si>
  <si>
    <t>Signature / Firma</t>
  </si>
  <si>
    <t>Date /Fecha</t>
  </si>
  <si>
    <t>* Plantilla para servicios de larga duración y siempre que el coordinador lo encuentre oportuno.</t>
  </si>
  <si>
    <t xml:space="preserve"> C:\CPA GENERAL\ISO 9001\PA-02 Formación y comunicación interna\Formatos</t>
  </si>
  <si>
    <t>GAMA DE RETRABAJOS/ CLASIFICACIONES</t>
  </si>
  <si>
    <t>Performed/ Owner by Realizado por:</t>
  </si>
  <si>
    <t>Date / Fecha:</t>
  </si>
  <si>
    <t>Customer Released by / Liberado por cliente (SAS):</t>
  </si>
  <si>
    <t>Signature</t>
  </si>
  <si>
    <t>Date / Fecha de liberación:</t>
  </si>
  <si>
    <t>Complaint Nb. / Nº reclamación</t>
  </si>
  <si>
    <t>Compl. Date / Fecha reclamación</t>
  </si>
  <si>
    <t xml:space="preserve">Part numbers / Referencia pieza:
</t>
  </si>
  <si>
    <t>Starting Date / Fecha comienzo</t>
  </si>
  <si>
    <t>Time / Tiempo</t>
  </si>
  <si>
    <t xml:space="preserve">Customer / Cliente: </t>
  </si>
  <si>
    <t>Outsourcing Company Name / Nombre compañía externa revisión-retrabajo: CPA Vitoria 06</t>
  </si>
  <si>
    <t>Safety (S) or Reglamentation (R )</t>
  </si>
  <si>
    <t xml:space="preserve">Primer PNR: </t>
  </si>
  <si>
    <t>Nº Albaran:</t>
  </si>
  <si>
    <t>Último PNR:</t>
  </si>
  <si>
    <t xml:space="preserve">Identificación retrabajo: Nº </t>
  </si>
  <si>
    <t>Outsourcing Company Employee's Name. Training Record / Nombre persona de compañía externa revisión-retrabajo. Registro de formación.</t>
  </si>
  <si>
    <t>H. Especialista Extra</t>
  </si>
  <si>
    <t>H. Especialista Sábados</t>
  </si>
  <si>
    <t>Otros1</t>
  </si>
  <si>
    <t>Otros2</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</si>
</sst>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C0A]d\-mmm\-yy;@"/>
    <numFmt numFmtId="165" formatCode="0.0"/>
    <numFmt numFmtId="166" formatCode="[$-C0A]d\-mmm;@"/>
    <numFmt numFmtId="167" formatCode="dd\-mm\-yy;@"/>
    <numFmt numFmtId="168" formatCode="#,##0.00\ &quot;€&quot;"/>
    <numFmt numFmtId="169" formatCode="dd/mm/yy;@"/>
  </numFmts>
  <fonts count="53" x14ac:knownFonts="1">
    <font>
      <sz val="10"/>
      <name val="Arial"/>
    </font>
    <font>
      <u/>
      <sz val="10"/>
      <color indexed="12"/>
      <name val="Arial"/>
      <family val="2"/>
    </font>
    <font>
      <sz val="8"/>
      <name val="Arial"/>
      <family val="2"/>
    </font>
    <font>
      <sz val="14"/>
      <name val="Arial"/>
      <family val="2"/>
    </font>
    <font>
      <b/>
      <sz val="10"/>
      <name val="Arial"/>
      <family val="2"/>
    </font>
    <font>
      <sz val="10"/>
      <name val="Arial"/>
      <family val="2"/>
    </font>
    <font>
      <sz val="12"/>
      <name val="Arial"/>
      <family val="2"/>
    </font>
    <font>
      <sz val="22"/>
      <name val="Arial"/>
      <family val="2"/>
    </font>
    <font>
      <b/>
      <sz val="22"/>
      <name val="Arial"/>
      <family val="2"/>
    </font>
    <font>
      <b/>
      <sz val="18"/>
      <name val="Arial"/>
      <family val="2"/>
    </font>
    <font>
      <sz val="24"/>
      <name val="Arial"/>
      <family val="2"/>
    </font>
    <font>
      <b/>
      <sz val="24"/>
      <name val="Arial"/>
      <family val="2"/>
    </font>
    <font>
      <b/>
      <sz val="20"/>
      <name val="Arial"/>
      <family val="2"/>
    </font>
    <font>
      <sz val="20"/>
      <name val="Arial"/>
      <family val="2"/>
    </font>
    <font>
      <sz val="20"/>
      <color indexed="10"/>
      <name val="Arial"/>
      <family val="2"/>
    </font>
    <font>
      <b/>
      <sz val="24"/>
      <color indexed="10"/>
      <name val="Arial"/>
      <family val="2"/>
    </font>
    <font>
      <b/>
      <sz val="18"/>
      <color indexed="11"/>
      <name val="Arial"/>
      <family val="2"/>
    </font>
    <font>
      <b/>
      <sz val="18"/>
      <color indexed="47"/>
      <name val="Arial"/>
      <family val="2"/>
    </font>
    <font>
      <b/>
      <sz val="12"/>
      <color indexed="12"/>
      <name val="Arial"/>
      <family val="2"/>
    </font>
    <font>
      <sz val="9"/>
      <name val="Arial"/>
      <family val="2"/>
    </font>
    <font>
      <sz val="48"/>
      <name val="Arial"/>
      <family val="2"/>
    </font>
    <font>
      <sz val="11"/>
      <name val="Arial"/>
      <family val="2"/>
    </font>
    <font>
      <u/>
      <sz val="8"/>
      <name val="Arial"/>
      <family val="2"/>
    </font>
    <font>
      <u/>
      <sz val="10"/>
      <name val="Arial"/>
      <family val="2"/>
    </font>
    <font>
      <b/>
      <sz val="26"/>
      <name val="Arial"/>
      <family val="2"/>
    </font>
    <font>
      <b/>
      <sz val="16"/>
      <name val="Arial"/>
      <family val="2"/>
    </font>
    <font>
      <b/>
      <sz val="15"/>
      <name val="Arial"/>
      <family val="2"/>
    </font>
    <font>
      <sz val="10"/>
      <name val="Calibri"/>
      <family val="2"/>
    </font>
    <font>
      <b/>
      <sz val="10"/>
      <name val="Calibri"/>
      <family val="2"/>
    </font>
    <font>
      <sz val="16"/>
      <name val="Arial"/>
      <family val="2"/>
    </font>
    <font>
      <sz val="20"/>
      <color rgb="FFFF0000"/>
      <name val="Arial"/>
      <family val="2"/>
    </font>
    <font>
      <sz val="11"/>
      <color theme="1"/>
      <name val="Arial"/>
      <family val="2"/>
    </font>
    <font>
      <b/>
      <sz val="10"/>
      <color rgb="FF00B050"/>
      <name val="Arial"/>
      <family val="2"/>
    </font>
    <font>
      <b/>
      <sz val="10"/>
      <color rgb="FFFF0000"/>
      <name val="Arial"/>
      <family val="2"/>
    </font>
    <font>
      <sz val="10"/>
      <color rgb="FF00B050"/>
      <name val="Arial"/>
      <family val="2"/>
    </font>
    <font>
      <sz val="10"/>
      <color rgb="FFFF0000"/>
      <name val="Arial"/>
      <family val="2"/>
    </font>
    <font>
      <sz val="11"/>
      <color theme="3"/>
      <name val="Arial"/>
      <family val="2"/>
    </font>
    <font>
      <u/>
      <sz val="10"/>
      <color rgb="FF0070C0"/>
      <name val="Arial"/>
      <family val="2"/>
    </font>
    <font>
      <sz val="10"/>
      <color rgb="FF0070C0"/>
      <name val="Arial"/>
      <family val="2"/>
    </font>
    <font>
      <sz val="10"/>
      <color theme="4" tint="-0.249977111117893"/>
      <name val="Arial"/>
      <family val="2"/>
    </font>
    <font>
      <u/>
      <sz val="10"/>
      <color theme="4" tint="-0.249977111117893"/>
      <name val="Arial"/>
      <family val="2"/>
    </font>
    <font>
      <sz val="10"/>
      <color theme="1"/>
      <name val="Arial"/>
      <family val="2"/>
    </font>
    <font>
      <sz val="10"/>
      <name val="Calibri"/>
      <family val="2"/>
      <scheme val="minor"/>
    </font>
    <font>
      <b/>
      <sz val="24"/>
      <color rgb="FFFF0000"/>
      <name val="Arial"/>
      <family val="2"/>
    </font>
    <font>
      <b/>
      <sz val="12"/>
      <color rgb="FFFF0000"/>
      <name val="Arial"/>
      <family val="2"/>
    </font>
    <font>
      <sz val="20"/>
      <color theme="1"/>
      <name val="Arial Black"/>
      <family val="2"/>
    </font>
    <font>
      <b/>
      <sz val="10"/>
      <color theme="1"/>
      <name val="Times New Roman"/>
      <family val="1"/>
    </font>
    <font>
      <sz val="12"/>
      <color theme="1"/>
      <name val="Times New Roman"/>
      <family val="1"/>
    </font>
    <font>
      <sz val="10"/>
      <color theme="1"/>
      <name val="Times New Roman"/>
      <family val="1"/>
    </font>
    <font>
      <b/>
      <sz val="12"/>
      <color theme="1"/>
      <name val="Times New Roman"/>
      <family val="1"/>
    </font>
    <font>
      <sz val="6"/>
      <color theme="1"/>
      <name val="Times New Roman"/>
      <family val="1"/>
    </font>
    <font>
      <sz val="14"/>
      <color theme="1"/>
      <name val="Times New Roman"/>
      <family val="1"/>
    </font>
    <font>
      <i/>
      <sz val="10"/>
      <color theme="1"/>
      <name val="Times New Roman"/>
      <family val="1"/>
    </font>
  </fonts>
  <fills count="18">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0"/>
        <bgColor indexed="64"/>
      </patternFill>
    </fill>
    <fill>
      <patternFill patternType="solid">
        <fgColor indexed="1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0000"/>
        <bgColor indexed="64"/>
      </patternFill>
    </fill>
    <fill>
      <patternFill patternType="solid">
        <fgColor theme="0" tint="-0.249977111117893"/>
        <bgColor indexed="64"/>
      </patternFill>
    </fill>
    <fill>
      <patternFill patternType="solid">
        <fgColor rgb="FFFFFF00"/>
        <bgColor indexed="64"/>
      </patternFill>
    </fill>
    <fill>
      <patternFill patternType="solid">
        <fgColor rgb="FF92D050"/>
        <bgColor indexed="64"/>
      </patternFill>
    </fill>
    <fill>
      <patternFill patternType="solid">
        <fgColor rgb="FFB6FCB6"/>
        <bgColor indexed="64"/>
      </patternFill>
    </fill>
    <fill>
      <patternFill patternType="solid">
        <fgColor theme="4" tint="0.39997558519241921"/>
        <bgColor indexed="64"/>
      </patternFill>
    </fill>
    <fill>
      <patternFill patternType="solid">
        <fgColor rgb="FF5F86A1"/>
        <bgColor indexed="64"/>
      </patternFill>
    </fill>
    <fill>
      <patternFill patternType="solid">
        <fgColor rgb="FF99FFCC"/>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style="dotted">
        <color indexed="64"/>
      </right>
      <top style="thin">
        <color indexed="64"/>
      </top>
      <bottom style="dotted">
        <color indexed="64"/>
      </bottom>
      <diagonal/>
    </border>
    <border>
      <left style="dotted">
        <color indexed="64"/>
      </left>
      <right style="thin">
        <color indexed="64"/>
      </right>
      <top style="thin">
        <color indexed="64"/>
      </top>
      <bottom style="dotted">
        <color indexed="64"/>
      </bottom>
      <diagonal/>
    </border>
    <border>
      <left style="thin">
        <color indexed="64"/>
      </left>
      <right style="dotted">
        <color indexed="64"/>
      </right>
      <top style="dotted">
        <color indexed="64"/>
      </top>
      <bottom style="thin">
        <color indexed="64"/>
      </bottom>
      <diagonal/>
    </border>
    <border>
      <left style="dotted">
        <color indexed="64"/>
      </left>
      <right style="thin">
        <color indexed="64"/>
      </right>
      <top style="dotted">
        <color indexed="64"/>
      </top>
      <bottom style="thin">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thin">
        <color indexed="64"/>
      </left>
      <right/>
      <top/>
      <bottom style="thin">
        <color indexed="64"/>
      </bottom>
      <diagonal/>
    </border>
    <border>
      <left style="dotted">
        <color indexed="64"/>
      </left>
      <right style="dotted">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bottom/>
      <diagonal/>
    </border>
    <border>
      <left/>
      <right/>
      <top/>
      <bottom style="thin">
        <color indexed="64"/>
      </bottom>
      <diagonal/>
    </border>
    <border>
      <left style="dotted">
        <color indexed="64"/>
      </left>
      <right style="thin">
        <color indexed="64"/>
      </right>
      <top/>
      <bottom style="dotted">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style="dotted">
        <color indexed="64"/>
      </right>
      <top/>
      <bottom style="dotted">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dotted">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style="thin">
        <color indexed="64"/>
      </right>
      <top style="dotted">
        <color indexed="64"/>
      </top>
      <bottom style="dotted">
        <color indexed="64"/>
      </bottom>
      <diagonal/>
    </border>
    <border>
      <left style="dotted">
        <color indexed="64"/>
      </left>
      <right/>
      <top style="thin">
        <color indexed="64"/>
      </top>
      <bottom style="dotted">
        <color indexed="64"/>
      </bottom>
      <diagonal/>
    </border>
    <border>
      <left style="dotted">
        <color indexed="64"/>
      </left>
      <right/>
      <top style="dotted">
        <color indexed="64"/>
      </top>
      <bottom style="dotted">
        <color indexed="64"/>
      </bottom>
      <diagonal/>
    </border>
    <border>
      <left/>
      <right/>
      <top style="dotted">
        <color indexed="64"/>
      </top>
      <bottom style="dotted">
        <color indexed="64"/>
      </bottom>
      <diagonal/>
    </border>
    <border>
      <left style="dotted">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dotted">
        <color indexed="64"/>
      </left>
      <right/>
      <top style="thin">
        <color indexed="64"/>
      </top>
      <bottom/>
      <diagonal/>
    </border>
    <border>
      <left style="thin">
        <color indexed="64"/>
      </left>
      <right style="dotted">
        <color indexed="64"/>
      </right>
      <top style="thin">
        <color indexed="64"/>
      </top>
      <bottom/>
      <diagonal/>
    </border>
    <border>
      <left/>
      <right style="dotted">
        <color indexed="64"/>
      </right>
      <top style="dotted">
        <color indexed="64"/>
      </top>
      <bottom style="dotted">
        <color indexed="64"/>
      </bottom>
      <diagonal/>
    </border>
    <border>
      <left style="thin">
        <color indexed="64"/>
      </left>
      <right style="dotted">
        <color indexed="64"/>
      </right>
      <top/>
      <bottom style="thin">
        <color indexed="64"/>
      </bottom>
      <diagonal/>
    </border>
    <border>
      <left style="dotted">
        <color indexed="64"/>
      </left>
      <right/>
      <top/>
      <bottom style="thin">
        <color indexed="64"/>
      </bottom>
      <diagonal/>
    </border>
    <border>
      <left style="thin">
        <color indexed="64"/>
      </left>
      <right style="thin">
        <color indexed="64"/>
      </right>
      <top/>
      <bottom/>
      <diagonal/>
    </border>
    <border>
      <left style="thin">
        <color indexed="64"/>
      </left>
      <right style="dotted">
        <color indexed="64"/>
      </right>
      <top/>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s>
  <cellStyleXfs count="3">
    <xf numFmtId="0" fontId="0" fillId="0" borderId="0"/>
    <xf numFmtId="0" fontId="1" fillId="0" borderId="0" applyNumberFormat="0" applyFill="0" applyBorder="0" applyAlignment="0" applyProtection="0">
      <alignment vertical="top"/>
      <protection locked="0"/>
    </xf>
    <xf numFmtId="0" fontId="5" fillId="0" borderId="0"/>
  </cellStyleXfs>
  <cellXfs count="496">
    <xf numFmtId="0" fontId="0" fillId="0" borderId="0" xfId="0"/>
    <xf numFmtId="0" fontId="6" fillId="0" borderId="0" xfId="0" applyFont="1" applyAlignment="1">
      <alignment horizontal="center" vertical="center"/>
    </xf>
    <xf numFmtId="0" fontId="3"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lignment horizontal="left" vertical="center" wrapText="1"/>
    </xf>
    <xf numFmtId="0" fontId="0" fillId="0" borderId="0" xfId="0" applyAlignment="1">
      <alignment vertical="center"/>
    </xf>
    <xf numFmtId="1" fontId="30" fillId="6" borderId="1" xfId="0" applyNumberFormat="1" applyFont="1" applyFill="1" applyBorder="1" applyAlignment="1">
      <alignment horizontal="center" vertical="center" shrinkToFit="1"/>
    </xf>
    <xf numFmtId="0" fontId="31" fillId="0" borderId="0" xfId="0" applyFont="1"/>
    <xf numFmtId="0" fontId="5" fillId="0" borderId="1" xfId="0" applyFont="1" applyFill="1" applyBorder="1" applyAlignment="1">
      <alignment horizontal="left" vertical="center"/>
    </xf>
    <xf numFmtId="0" fontId="4" fillId="0" borderId="1" xfId="0" applyFont="1" applyBorder="1" applyAlignment="1">
      <alignment horizontal="left" vertical="center" wrapText="1"/>
    </xf>
    <xf numFmtId="0" fontId="4" fillId="0" borderId="2" xfId="0" applyFont="1" applyBorder="1" applyAlignment="1">
      <alignment vertical="center"/>
    </xf>
    <xf numFmtId="0" fontId="4" fillId="0" borderId="3" xfId="0" applyFont="1" applyBorder="1" applyAlignment="1">
      <alignment vertical="center"/>
    </xf>
    <xf numFmtId="0" fontId="4" fillId="0" borderId="4" xfId="0" applyFont="1" applyBorder="1" applyAlignment="1">
      <alignment vertical="center"/>
    </xf>
    <xf numFmtId="0" fontId="4" fillId="0" borderId="5" xfId="0" applyFont="1" applyBorder="1" applyAlignment="1">
      <alignment vertical="center"/>
    </xf>
    <xf numFmtId="0" fontId="5" fillId="0" borderId="6" xfId="0" applyFont="1" applyBorder="1" applyAlignment="1">
      <alignment vertical="center"/>
    </xf>
    <xf numFmtId="0" fontId="5" fillId="0" borderId="7" xfId="0" applyFont="1" applyBorder="1" applyAlignment="1">
      <alignment vertical="center"/>
    </xf>
    <xf numFmtId="0" fontId="5" fillId="0" borderId="8" xfId="0" applyFont="1" applyBorder="1" applyAlignment="1">
      <alignment horizontal="right" vertical="center"/>
    </xf>
    <xf numFmtId="0" fontId="0" fillId="0" borderId="6" xfId="0" applyBorder="1" applyAlignment="1">
      <alignment horizontal="right" vertical="center"/>
    </xf>
    <xf numFmtId="0" fontId="0" fillId="0" borderId="6" xfId="0" applyBorder="1" applyAlignment="1">
      <alignment vertical="center"/>
    </xf>
    <xf numFmtId="0" fontId="5" fillId="0" borderId="9" xfId="0" applyFont="1" applyBorder="1" applyAlignment="1">
      <alignment vertical="center"/>
    </xf>
    <xf numFmtId="0" fontId="5" fillId="0" borderId="10" xfId="0" applyFont="1" applyBorder="1" applyAlignment="1">
      <alignment horizontal="right" vertical="center"/>
    </xf>
    <xf numFmtId="0" fontId="0" fillId="0" borderId="11" xfId="0" applyBorder="1" applyAlignment="1">
      <alignment horizontal="right" vertical="center"/>
    </xf>
    <xf numFmtId="0" fontId="4" fillId="0" borderId="2" xfId="0" applyFont="1" applyFill="1" applyBorder="1" applyAlignment="1">
      <alignment horizontal="left" vertical="center"/>
    </xf>
    <xf numFmtId="0" fontId="4" fillId="0" borderId="7" xfId="0" applyFont="1" applyFill="1" applyBorder="1" applyAlignment="1">
      <alignment horizontal="left" vertical="center"/>
    </xf>
    <xf numFmtId="0" fontId="4" fillId="0" borderId="9" xfId="0" applyFont="1" applyFill="1" applyBorder="1" applyAlignment="1">
      <alignment horizontal="left" vertical="center" wrapText="1"/>
    </xf>
    <xf numFmtId="0" fontId="4" fillId="0" borderId="12" xfId="0" applyFont="1" applyFill="1" applyBorder="1" applyAlignment="1">
      <alignment horizontal="left" vertical="center"/>
    </xf>
    <xf numFmtId="0" fontId="4" fillId="0" borderId="7" xfId="0" applyFont="1" applyBorder="1" applyAlignment="1">
      <alignment horizontal="left" vertical="center"/>
    </xf>
    <xf numFmtId="0" fontId="5" fillId="0" borderId="0" xfId="0" applyFont="1" applyFill="1" applyBorder="1" applyAlignment="1">
      <alignment vertical="center"/>
    </xf>
    <xf numFmtId="0" fontId="5" fillId="0" borderId="13" xfId="0" applyFont="1" applyFill="1" applyBorder="1" applyAlignment="1">
      <alignment vertical="center"/>
    </xf>
    <xf numFmtId="0" fontId="5" fillId="0" borderId="0" xfId="0" applyFont="1" applyFill="1" applyBorder="1" applyAlignment="1">
      <alignment horizontal="left" vertical="center"/>
    </xf>
    <xf numFmtId="0" fontId="4" fillId="0" borderId="9" xfId="0" applyFont="1" applyFill="1" applyBorder="1" applyAlignment="1">
      <alignment horizontal="left" vertical="center"/>
    </xf>
    <xf numFmtId="0" fontId="5" fillId="0" borderId="14" xfId="0" applyFont="1" applyFill="1" applyBorder="1" applyAlignment="1">
      <alignment horizontal="left" vertical="center"/>
    </xf>
    <xf numFmtId="0" fontId="5" fillId="0" borderId="14" xfId="0" applyFont="1" applyFill="1" applyBorder="1" applyAlignment="1">
      <alignment vertical="center"/>
    </xf>
    <xf numFmtId="0" fontId="5" fillId="0" borderId="11" xfId="0" applyFont="1" applyFill="1" applyBorder="1" applyAlignment="1">
      <alignment vertical="center"/>
    </xf>
    <xf numFmtId="0" fontId="5" fillId="7" borderId="1" xfId="0" applyFont="1" applyFill="1" applyBorder="1" applyAlignment="1">
      <alignment horizontal="center" vertical="center" wrapText="1"/>
    </xf>
    <xf numFmtId="49" fontId="19" fillId="0" borderId="15" xfId="0" applyNumberFormat="1" applyFont="1" applyBorder="1" applyAlignment="1" applyProtection="1">
      <alignment horizontal="center" vertical="center" wrapText="1"/>
    </xf>
    <xf numFmtId="0" fontId="2" fillId="7" borderId="1" xfId="0" applyFont="1" applyFill="1" applyBorder="1" applyAlignment="1">
      <alignment horizontal="center" vertical="center" wrapText="1"/>
    </xf>
    <xf numFmtId="165" fontId="2" fillId="2" borderId="1" xfId="0" applyNumberFormat="1" applyFont="1" applyFill="1" applyBorder="1" applyAlignment="1">
      <alignment horizontal="center" vertical="center"/>
    </xf>
    <xf numFmtId="165" fontId="2" fillId="2" borderId="1" xfId="0" applyNumberFormat="1" applyFont="1" applyFill="1" applyBorder="1" applyAlignment="1">
      <alignment horizontal="center" vertical="center" shrinkToFit="1"/>
    </xf>
    <xf numFmtId="0" fontId="5" fillId="0" borderId="16" xfId="0" applyFont="1" applyFill="1" applyBorder="1" applyAlignment="1">
      <alignment horizontal="left" vertical="center"/>
    </xf>
    <xf numFmtId="0" fontId="5" fillId="0" borderId="12" xfId="0" applyFont="1" applyFill="1" applyBorder="1" applyAlignment="1">
      <alignment horizontal="left" vertical="center"/>
    </xf>
    <xf numFmtId="0" fontId="5" fillId="0" borderId="1" xfId="0" applyFont="1" applyFill="1" applyBorder="1" applyAlignment="1">
      <alignment horizontal="left" vertical="center" wrapText="1"/>
    </xf>
    <xf numFmtId="0" fontId="12" fillId="0" borderId="1" xfId="0" applyFont="1" applyFill="1" applyBorder="1" applyAlignment="1">
      <alignment vertical="center" wrapText="1"/>
    </xf>
    <xf numFmtId="0" fontId="2" fillId="0" borderId="12" xfId="0" applyFont="1" applyBorder="1"/>
    <xf numFmtId="0" fontId="2" fillId="0" borderId="17" xfId="0" applyFont="1" applyBorder="1"/>
    <xf numFmtId="0" fontId="0" fillId="0" borderId="0" xfId="0" applyAlignment="1">
      <alignment horizontal="center" vertical="center" wrapText="1"/>
    </xf>
    <xf numFmtId="0" fontId="0" fillId="0" borderId="1" xfId="0" applyBorder="1" applyAlignment="1">
      <alignment horizontal="center"/>
    </xf>
    <xf numFmtId="0" fontId="0" fillId="0" borderId="1" xfId="0" applyBorder="1" applyAlignment="1">
      <alignment horizontal="center" vertical="center" wrapText="1"/>
    </xf>
    <xf numFmtId="0" fontId="21" fillId="8" borderId="1" xfId="0" applyFont="1" applyFill="1" applyBorder="1" applyAlignment="1">
      <alignment horizontal="left" vertical="center"/>
    </xf>
    <xf numFmtId="0" fontId="21" fillId="0" borderId="0" xfId="0" applyFont="1"/>
    <xf numFmtId="0" fontId="21" fillId="0" borderId="0" xfId="0" applyFont="1" applyAlignment="1">
      <alignment horizontal="center" vertical="center" wrapText="1"/>
    </xf>
    <xf numFmtId="0" fontId="5" fillId="0" borderId="1" xfId="0" applyFont="1" applyBorder="1"/>
    <xf numFmtId="0" fontId="5" fillId="0" borderId="0" xfId="0" applyFont="1"/>
    <xf numFmtId="0" fontId="5" fillId="0" borderId="6" xfId="0" applyFont="1" applyBorder="1" applyAlignment="1">
      <alignment horizontal="right" vertical="center"/>
    </xf>
    <xf numFmtId="0" fontId="5" fillId="0" borderId="11" xfId="0" applyFont="1" applyBorder="1" applyAlignment="1">
      <alignment horizontal="right" vertical="center"/>
    </xf>
    <xf numFmtId="14" fontId="5" fillId="0" borderId="18" xfId="0" applyNumberFormat="1" applyFont="1" applyBorder="1" applyAlignment="1" applyProtection="1">
      <alignment vertical="center" wrapText="1"/>
    </xf>
    <xf numFmtId="49" fontId="5" fillId="0" borderId="19" xfId="0" applyNumberFormat="1" applyFont="1" applyBorder="1" applyAlignment="1">
      <alignment horizontal="center" vertical="center" wrapText="1"/>
    </xf>
    <xf numFmtId="14" fontId="5" fillId="0" borderId="20" xfId="0" applyNumberFormat="1" applyFont="1" applyBorder="1" applyAlignment="1">
      <alignment vertical="center" wrapText="1"/>
    </xf>
    <xf numFmtId="14" fontId="5" fillId="0" borderId="4" xfId="0" applyNumberFormat="1" applyFont="1" applyBorder="1" applyAlignment="1">
      <alignment vertical="center" wrapText="1"/>
    </xf>
    <xf numFmtId="49" fontId="5" fillId="0" borderId="5" xfId="0" applyNumberFormat="1" applyFont="1" applyBorder="1" applyAlignment="1">
      <alignment vertical="center" wrapText="1"/>
    </xf>
    <xf numFmtId="0" fontId="5" fillId="0" borderId="0" xfId="0" applyFont="1" applyAlignment="1">
      <alignment horizontal="left" vertical="top"/>
    </xf>
    <xf numFmtId="0" fontId="5" fillId="0" borderId="0" xfId="0" applyFont="1" applyAlignment="1">
      <alignment vertical="center"/>
    </xf>
    <xf numFmtId="164" fontId="9" fillId="10" borderId="1" xfId="0" applyNumberFormat="1" applyFont="1" applyFill="1" applyBorder="1" applyAlignment="1">
      <alignment horizontal="center" vertical="center" textRotation="90" wrapText="1"/>
    </xf>
    <xf numFmtId="3" fontId="12" fillId="4" borderId="1" xfId="0" applyNumberFormat="1" applyFont="1" applyFill="1" applyBorder="1" applyAlignment="1">
      <alignment horizontal="center" vertical="center" shrinkToFit="1"/>
    </xf>
    <xf numFmtId="1" fontId="14" fillId="0" borderId="1" xfId="0" applyNumberFormat="1" applyFont="1" applyFill="1" applyBorder="1" applyAlignment="1">
      <alignment horizontal="center" vertical="center"/>
    </xf>
    <xf numFmtId="166" fontId="2" fillId="11" borderId="1" xfId="0" applyNumberFormat="1" applyFont="1" applyFill="1" applyBorder="1" applyAlignment="1">
      <alignment horizontal="center" vertical="center" textRotation="90" wrapText="1"/>
    </xf>
    <xf numFmtId="167" fontId="2" fillId="11" borderId="1" xfId="0" applyNumberFormat="1" applyFont="1" applyFill="1" applyBorder="1" applyAlignment="1">
      <alignment horizontal="center" vertical="center" textRotation="90" wrapText="1"/>
    </xf>
    <xf numFmtId="2" fontId="2" fillId="2" borderId="1" xfId="0" applyNumberFormat="1" applyFont="1" applyFill="1" applyBorder="1" applyAlignment="1">
      <alignment horizontal="center" vertical="center" shrinkToFit="1"/>
    </xf>
    <xf numFmtId="165" fontId="2" fillId="12" borderId="1" xfId="0" applyNumberFormat="1" applyFont="1" applyFill="1" applyBorder="1" applyAlignment="1">
      <alignment horizontal="center" vertical="center" shrinkToFit="1"/>
    </xf>
    <xf numFmtId="49" fontId="4" fillId="0" borderId="1" xfId="0" applyNumberFormat="1" applyFont="1" applyBorder="1" applyAlignment="1">
      <alignment vertical="center"/>
    </xf>
    <xf numFmtId="0" fontId="5" fillId="0" borderId="1" xfId="0" applyFont="1" applyBorder="1" applyAlignment="1">
      <alignment horizontal="center" vertical="center"/>
    </xf>
    <xf numFmtId="0" fontId="4" fillId="0" borderId="1" xfId="0" applyFont="1" applyBorder="1" applyAlignment="1">
      <alignment horizontal="center" vertical="center"/>
    </xf>
    <xf numFmtId="0" fontId="0" fillId="0" borderId="1" xfId="0" applyBorder="1" applyAlignment="1">
      <alignment horizontal="center" vertical="center"/>
    </xf>
    <xf numFmtId="0" fontId="5" fillId="0" borderId="1" xfId="0" applyFont="1" applyBorder="1" applyAlignment="1" applyProtection="1">
      <alignment horizontal="center" vertical="center"/>
      <protection locked="0"/>
    </xf>
    <xf numFmtId="0" fontId="5" fillId="0" borderId="21" xfId="0" applyFont="1" applyBorder="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0" fontId="0" fillId="8" borderId="1" xfId="0" applyFill="1" applyBorder="1" applyAlignment="1">
      <alignment horizontal="center" vertical="center" wrapText="1"/>
    </xf>
    <xf numFmtId="0" fontId="4" fillId="13" borderId="1" xfId="0" applyFont="1" applyFill="1" applyBorder="1" applyAlignment="1">
      <alignment horizontal="center" vertical="center"/>
    </xf>
    <xf numFmtId="0" fontId="4" fillId="10" borderId="1" xfId="0" applyFont="1" applyFill="1" applyBorder="1" applyAlignment="1">
      <alignment horizontal="center" vertical="center"/>
    </xf>
    <xf numFmtId="0" fontId="0" fillId="0" borderId="22" xfId="0" applyBorder="1" applyAlignment="1">
      <alignment horizontal="center" vertical="center"/>
    </xf>
    <xf numFmtId="0" fontId="0" fillId="0" borderId="0" xfId="0" applyAlignment="1">
      <alignment horizontal="center" vertical="center"/>
    </xf>
    <xf numFmtId="166" fontId="10" fillId="8" borderId="1" xfId="0" applyNumberFormat="1" applyFont="1" applyFill="1" applyBorder="1" applyAlignment="1">
      <alignment horizontal="center" vertical="center" textRotation="90" wrapText="1"/>
    </xf>
    <xf numFmtId="0" fontId="10" fillId="0" borderId="0" xfId="0" applyFont="1" applyAlignment="1">
      <alignment vertical="center"/>
    </xf>
    <xf numFmtId="1" fontId="13" fillId="8" borderId="23" xfId="0" applyNumberFormat="1" applyFont="1" applyFill="1" applyBorder="1" applyAlignment="1">
      <alignment horizontal="center" vertical="center"/>
    </xf>
    <xf numFmtId="1" fontId="13" fillId="8" borderId="24" xfId="0" applyNumberFormat="1" applyFont="1" applyFill="1" applyBorder="1" applyAlignment="1">
      <alignment horizontal="center" vertical="center"/>
    </xf>
    <xf numFmtId="1" fontId="13" fillId="8" borderId="25" xfId="0" applyNumberFormat="1" applyFont="1" applyFill="1" applyBorder="1" applyAlignment="1">
      <alignment horizontal="center" vertical="center"/>
    </xf>
    <xf numFmtId="0" fontId="3" fillId="0" borderId="0" xfId="0" applyFont="1" applyAlignment="1">
      <alignment vertical="center"/>
    </xf>
    <xf numFmtId="1" fontId="13" fillId="0" borderId="26" xfId="0" applyNumberFormat="1" applyFont="1" applyFill="1" applyBorder="1" applyAlignment="1">
      <alignment horizontal="center" vertical="center"/>
    </xf>
    <xf numFmtId="1" fontId="13" fillId="0" borderId="27" xfId="0" applyNumberFormat="1" applyFont="1" applyFill="1" applyBorder="1" applyAlignment="1">
      <alignment horizontal="center" vertical="center"/>
    </xf>
    <xf numFmtId="1" fontId="14" fillId="0" borderId="28" xfId="0" applyNumberFormat="1" applyFont="1" applyFill="1" applyBorder="1" applyAlignment="1">
      <alignment horizontal="center" vertical="center"/>
    </xf>
    <xf numFmtId="165" fontId="16" fillId="6" borderId="29" xfId="0" applyNumberFormat="1" applyFont="1" applyFill="1" applyBorder="1" applyAlignment="1">
      <alignment horizontal="center" vertical="center"/>
    </xf>
    <xf numFmtId="165" fontId="16" fillId="6" borderId="30" xfId="0" applyNumberFormat="1" applyFont="1" applyFill="1" applyBorder="1" applyAlignment="1">
      <alignment horizontal="center" vertical="center"/>
    </xf>
    <xf numFmtId="0" fontId="8" fillId="6" borderId="0" xfId="0" applyFont="1" applyFill="1" applyBorder="1" applyAlignment="1">
      <alignment horizontal="center" vertical="center" textRotation="90" wrapText="1"/>
    </xf>
    <xf numFmtId="49" fontId="15" fillId="6" borderId="0" xfId="0" applyNumberFormat="1" applyFont="1" applyFill="1" applyBorder="1" applyAlignment="1">
      <alignment horizontal="center" vertical="center"/>
    </xf>
    <xf numFmtId="1" fontId="14" fillId="6" borderId="0" xfId="0" applyNumberFormat="1" applyFont="1" applyFill="1" applyBorder="1" applyAlignment="1">
      <alignment horizontal="center" vertical="center"/>
    </xf>
    <xf numFmtId="0" fontId="3" fillId="6" borderId="0" xfId="0" applyFont="1" applyFill="1" applyBorder="1" applyAlignment="1">
      <alignment horizontal="center" vertical="center"/>
    </xf>
    <xf numFmtId="0" fontId="3" fillId="6" borderId="0" xfId="0" applyFont="1" applyFill="1" applyBorder="1" applyAlignment="1">
      <alignment vertical="center"/>
    </xf>
    <xf numFmtId="1" fontId="13" fillId="9" borderId="31" xfId="0" applyNumberFormat="1" applyFont="1" applyFill="1" applyBorder="1" applyAlignment="1">
      <alignment horizontal="center" vertical="center"/>
    </xf>
    <xf numFmtId="1" fontId="13" fillId="9" borderId="26" xfId="0" applyNumberFormat="1" applyFont="1" applyFill="1" applyBorder="1" applyAlignment="1">
      <alignment horizontal="center" vertical="center"/>
    </xf>
    <xf numFmtId="1" fontId="13" fillId="9" borderId="27" xfId="0" applyNumberFormat="1" applyFont="1" applyFill="1" applyBorder="1" applyAlignment="1">
      <alignment horizontal="center" vertical="center"/>
    </xf>
    <xf numFmtId="165" fontId="17" fillId="9" borderId="32" xfId="0" applyNumberFormat="1" applyFont="1" applyFill="1" applyBorder="1" applyAlignment="1">
      <alignment horizontal="center" vertical="center"/>
    </xf>
    <xf numFmtId="1" fontId="17" fillId="9" borderId="29" xfId="0" applyNumberFormat="1" applyFont="1" applyFill="1" applyBorder="1" applyAlignment="1">
      <alignment horizontal="center" vertical="center"/>
    </xf>
    <xf numFmtId="165" fontId="17" fillId="9" borderId="30" xfId="0" applyNumberFormat="1" applyFont="1" applyFill="1" applyBorder="1" applyAlignment="1">
      <alignment horizontal="center" vertical="center"/>
    </xf>
    <xf numFmtId="0" fontId="26" fillId="6" borderId="0" xfId="0" applyFont="1" applyFill="1" applyBorder="1" applyAlignment="1">
      <alignment horizontal="center" vertical="center" textRotation="90" wrapText="1"/>
    </xf>
    <xf numFmtId="49" fontId="8" fillId="6" borderId="0" xfId="0" applyNumberFormat="1" applyFont="1" applyFill="1" applyBorder="1" applyAlignment="1">
      <alignment horizontal="center" vertical="center"/>
    </xf>
    <xf numFmtId="165" fontId="17" fillId="6" borderId="0" xfId="0" applyNumberFormat="1" applyFont="1" applyFill="1" applyBorder="1" applyAlignment="1">
      <alignment horizontal="center" vertical="center"/>
    </xf>
    <xf numFmtId="1" fontId="17" fillId="6" borderId="0" xfId="0" applyNumberFormat="1" applyFont="1" applyFill="1" applyBorder="1" applyAlignment="1">
      <alignment horizontal="center" vertical="center"/>
    </xf>
    <xf numFmtId="1" fontId="13" fillId="10" borderId="33" xfId="0" applyNumberFormat="1" applyFont="1" applyFill="1" applyBorder="1" applyAlignment="1">
      <alignment horizontal="center" vertical="center"/>
    </xf>
    <xf numFmtId="1" fontId="13" fillId="10" borderId="26" xfId="0" applyNumberFormat="1" applyFont="1" applyFill="1" applyBorder="1" applyAlignment="1">
      <alignment horizontal="center" vertical="center"/>
    </xf>
    <xf numFmtId="1" fontId="13" fillId="10" borderId="27" xfId="0" applyNumberFormat="1" applyFont="1" applyFill="1" applyBorder="1" applyAlignment="1">
      <alignment horizontal="center" vertical="center"/>
    </xf>
    <xf numFmtId="1" fontId="13" fillId="5" borderId="34" xfId="0" applyNumberFormat="1" applyFont="1" applyFill="1" applyBorder="1" applyAlignment="1">
      <alignment horizontal="center" vertical="center"/>
    </xf>
    <xf numFmtId="1" fontId="13" fillId="5" borderId="29" xfId="0" applyNumberFormat="1" applyFont="1" applyFill="1" applyBorder="1" applyAlignment="1">
      <alignment horizontal="center" vertical="center"/>
    </xf>
    <xf numFmtId="1" fontId="13" fillId="5" borderId="30" xfId="0" applyNumberFormat="1" applyFont="1" applyFill="1" applyBorder="1" applyAlignment="1">
      <alignment horizontal="center" vertical="center"/>
    </xf>
    <xf numFmtId="0" fontId="4" fillId="11" borderId="22" xfId="0" applyFont="1" applyFill="1" applyBorder="1" applyAlignment="1">
      <alignment horizontal="center"/>
    </xf>
    <xf numFmtId="0" fontId="32" fillId="11" borderId="1" xfId="0" applyFont="1" applyFill="1" applyBorder="1" applyAlignment="1">
      <alignment horizontal="center"/>
    </xf>
    <xf numFmtId="0" fontId="33" fillId="11" borderId="1" xfId="0" applyFont="1" applyFill="1" applyBorder="1" applyAlignment="1">
      <alignment horizontal="center"/>
    </xf>
    <xf numFmtId="0" fontId="4" fillId="11" borderId="1" xfId="0" applyFont="1" applyFill="1" applyBorder="1" applyAlignment="1">
      <alignment horizontal="center"/>
    </xf>
    <xf numFmtId="0" fontId="0" fillId="0" borderId="16" xfId="0" applyBorder="1"/>
    <xf numFmtId="0" fontId="5" fillId="0" borderId="35" xfId="0" applyFont="1" applyBorder="1"/>
    <xf numFmtId="0" fontId="0" fillId="0" borderId="35" xfId="0" applyBorder="1"/>
    <xf numFmtId="0" fontId="0" fillId="0" borderId="21" xfId="0" applyBorder="1"/>
    <xf numFmtId="0" fontId="34" fillId="11" borderId="21" xfId="0" applyFont="1" applyFill="1" applyBorder="1" applyAlignment="1">
      <alignment horizontal="center"/>
    </xf>
    <xf numFmtId="0" fontId="35" fillId="11" borderId="1" xfId="0" applyFont="1" applyFill="1" applyBorder="1" applyAlignment="1">
      <alignment horizontal="center"/>
    </xf>
    <xf numFmtId="0" fontId="5" fillId="11" borderId="1" xfId="0" applyFont="1" applyFill="1" applyBorder="1" applyAlignment="1">
      <alignment horizontal="center"/>
    </xf>
    <xf numFmtId="0" fontId="0" fillId="0" borderId="36" xfId="0" applyBorder="1"/>
    <xf numFmtId="0" fontId="0" fillId="0" borderId="1" xfId="0" applyBorder="1"/>
    <xf numFmtId="2" fontId="2" fillId="7" borderId="1" xfId="0" applyNumberFormat="1" applyFont="1" applyFill="1" applyBorder="1" applyAlignment="1">
      <alignment horizontal="center" vertical="center" shrinkToFit="1"/>
    </xf>
    <xf numFmtId="0" fontId="4" fillId="0" borderId="2" xfId="0" applyFont="1" applyBorder="1" applyAlignment="1">
      <alignment horizontal="center" vertical="center"/>
    </xf>
    <xf numFmtId="0" fontId="0" fillId="0" borderId="0" xfId="0" applyBorder="1" applyAlignment="1">
      <alignment horizontal="center" vertical="center"/>
    </xf>
    <xf numFmtId="0" fontId="5" fillId="0" borderId="0" xfId="0" applyFont="1" applyBorder="1" applyAlignment="1">
      <alignment horizontal="center" vertical="center"/>
    </xf>
    <xf numFmtId="0" fontId="5" fillId="0" borderId="1" xfId="0" applyFont="1" applyBorder="1" applyAlignment="1">
      <alignment vertical="center"/>
    </xf>
    <xf numFmtId="0" fontId="0" fillId="6" borderId="0" xfId="0" applyFill="1" applyBorder="1" applyAlignment="1">
      <alignment vertical="center"/>
    </xf>
    <xf numFmtId="0" fontId="4" fillId="14" borderId="1" xfId="0" applyFont="1" applyFill="1" applyBorder="1" applyAlignment="1">
      <alignment horizontal="center" vertical="center"/>
    </xf>
    <xf numFmtId="0" fontId="4" fillId="0" borderId="0" xfId="0" applyFont="1" applyAlignment="1">
      <alignment vertical="center"/>
    </xf>
    <xf numFmtId="0" fontId="5" fillId="8" borderId="1" xfId="0" applyFont="1" applyFill="1" applyBorder="1" applyAlignment="1">
      <alignment horizontal="center" vertical="center"/>
    </xf>
    <xf numFmtId="0" fontId="27" fillId="0" borderId="0" xfId="0" applyFont="1" applyAlignment="1">
      <alignment horizontal="left" vertical="center"/>
    </xf>
    <xf numFmtId="0" fontId="0" fillId="6" borderId="0" xfId="0" applyFill="1" applyBorder="1" applyAlignment="1">
      <alignment horizontal="center" vertical="center"/>
    </xf>
    <xf numFmtId="0" fontId="0" fillId="0" borderId="0" xfId="0" applyAlignment="1">
      <alignment horizontal="left" vertical="center"/>
    </xf>
    <xf numFmtId="0" fontId="5" fillId="0" borderId="0" xfId="0" applyFont="1" applyBorder="1" applyAlignment="1">
      <alignment vertical="center"/>
    </xf>
    <xf numFmtId="14" fontId="5" fillId="0" borderId="18" xfId="0" applyNumberFormat="1" applyFont="1" applyBorder="1" applyAlignment="1">
      <alignment horizontal="center" vertical="center" wrapText="1"/>
    </xf>
    <xf numFmtId="0" fontId="0" fillId="0" borderId="1" xfId="0" applyBorder="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49" fillId="8" borderId="1" xfId="0" applyFont="1" applyFill="1" applyBorder="1" applyAlignment="1">
      <alignment horizontal="center" vertical="center"/>
    </xf>
    <xf numFmtId="0" fontId="49" fillId="0" borderId="0" xfId="0" applyFont="1" applyAlignment="1">
      <alignment horizontal="left" vertical="center"/>
    </xf>
    <xf numFmtId="0" fontId="0" fillId="0" borderId="1" xfId="0" applyBorder="1" applyAlignment="1">
      <alignment horizontal="center" vertical="center"/>
    </xf>
    <xf numFmtId="0" fontId="46" fillId="0" borderId="1" xfId="0" applyFont="1" applyBorder="1" applyAlignment="1">
      <alignment horizontal="left" vertical="center"/>
    </xf>
    <xf numFmtId="0" fontId="49" fillId="17" borderId="1" xfId="0" applyFont="1" applyFill="1" applyBorder="1" applyAlignment="1">
      <alignment horizontal="center" vertical="center"/>
    </xf>
    <xf numFmtId="0" fontId="0" fillId="0" borderId="1" xfId="0" applyBorder="1" applyAlignment="1">
      <alignment horizontal="center" vertical="center"/>
    </xf>
    <xf numFmtId="0" fontId="13" fillId="8" borderId="1" xfId="0" applyFont="1" applyFill="1" applyBorder="1" applyAlignment="1">
      <alignment horizontal="center" vertical="center"/>
    </xf>
    <xf numFmtId="0" fontId="19" fillId="0" borderId="1" xfId="0" applyFont="1" applyBorder="1" applyAlignment="1">
      <alignment horizontal="center" vertical="center"/>
    </xf>
    <xf numFmtId="0" fontId="5" fillId="15" borderId="1" xfId="0" applyFont="1" applyFill="1" applyBorder="1" applyAlignment="1">
      <alignment horizontal="center" vertical="center"/>
    </xf>
    <xf numFmtId="0" fontId="36" fillId="0" borderId="35" xfId="0" applyNumberFormat="1" applyFont="1" applyFill="1" applyBorder="1" applyAlignment="1">
      <alignment horizontal="center" vertical="center"/>
    </xf>
    <xf numFmtId="0" fontId="36" fillId="0" borderId="21" xfId="0" applyNumberFormat="1" applyFont="1" applyFill="1" applyBorder="1" applyAlignment="1">
      <alignment horizontal="center" vertical="center"/>
    </xf>
    <xf numFmtId="0" fontId="37" fillId="0" borderId="1" xfId="1" applyFont="1" applyFill="1" applyBorder="1" applyAlignment="1" applyProtection="1">
      <alignment horizontal="center" vertical="center"/>
    </xf>
    <xf numFmtId="0" fontId="5" fillId="15" borderId="1" xfId="0" applyFont="1" applyFill="1" applyBorder="1" applyAlignment="1">
      <alignment horizontal="center" vertical="center" wrapText="1"/>
    </xf>
    <xf numFmtId="0" fontId="5" fillId="9" borderId="1" xfId="0" applyFont="1" applyFill="1" applyBorder="1" applyAlignment="1">
      <alignment horizontal="center" vertical="center"/>
    </xf>
    <xf numFmtId="0" fontId="38" fillId="0" borderId="1" xfId="0" applyFont="1" applyFill="1" applyBorder="1" applyAlignment="1">
      <alignment horizontal="center" vertical="center"/>
    </xf>
    <xf numFmtId="0" fontId="37" fillId="0" borderId="1" xfId="1" applyFont="1" applyFill="1" applyBorder="1" applyAlignment="1" applyProtection="1">
      <alignment horizontal="center" vertical="center" wrapText="1"/>
    </xf>
    <xf numFmtId="0" fontId="38" fillId="0" borderId="1" xfId="1" applyFont="1" applyFill="1" applyBorder="1" applyAlignment="1" applyProtection="1">
      <alignment horizontal="center" vertical="center" wrapText="1"/>
    </xf>
    <xf numFmtId="0" fontId="38" fillId="0" borderId="1" xfId="0" applyFont="1" applyFill="1" applyBorder="1" applyAlignment="1">
      <alignment horizontal="center" vertical="center" wrapText="1"/>
    </xf>
    <xf numFmtId="0" fontId="38" fillId="0" borderId="16" xfId="0" applyFont="1" applyFill="1" applyBorder="1" applyAlignment="1">
      <alignment horizontal="center" vertical="center"/>
    </xf>
    <xf numFmtId="0" fontId="38" fillId="0" borderId="35" xfId="0" applyFont="1" applyFill="1" applyBorder="1" applyAlignment="1">
      <alignment horizontal="center" vertical="center"/>
    </xf>
    <xf numFmtId="0" fontId="38" fillId="0" borderId="21" xfId="0" applyFont="1" applyFill="1" applyBorder="1" applyAlignment="1">
      <alignment horizontal="center" vertical="center"/>
    </xf>
    <xf numFmtId="0" fontId="38" fillId="0" borderId="12" xfId="0" applyFont="1" applyFill="1" applyBorder="1" applyAlignment="1">
      <alignment horizontal="center" vertical="center" wrapText="1"/>
    </xf>
    <xf numFmtId="0" fontId="38" fillId="0" borderId="17" xfId="0" applyFont="1" applyFill="1" applyBorder="1" applyAlignment="1">
      <alignment horizontal="center" vertical="center"/>
    </xf>
    <xf numFmtId="0" fontId="38" fillId="0" borderId="37" xfId="0" applyFont="1" applyFill="1" applyBorder="1" applyAlignment="1">
      <alignment horizontal="center" vertical="center"/>
    </xf>
    <xf numFmtId="0" fontId="39" fillId="0" borderId="16" xfId="0" applyFont="1" applyFill="1" applyBorder="1" applyAlignment="1">
      <alignment horizontal="center" vertical="center"/>
    </xf>
    <xf numFmtId="0" fontId="39" fillId="0" borderId="35" xfId="0" applyFont="1" applyFill="1" applyBorder="1" applyAlignment="1">
      <alignment horizontal="center" vertical="center"/>
    </xf>
    <xf numFmtId="0" fontId="39" fillId="0" borderId="21" xfId="0" applyFont="1" applyFill="1" applyBorder="1" applyAlignment="1">
      <alignment horizontal="center" vertical="center"/>
    </xf>
    <xf numFmtId="0" fontId="40" fillId="0" borderId="22" xfId="1" applyFont="1" applyFill="1" applyBorder="1" applyAlignment="1" applyProtection="1">
      <alignment horizontal="center" vertical="center"/>
    </xf>
    <xf numFmtId="0" fontId="19" fillId="6" borderId="12" xfId="0" applyFont="1" applyFill="1" applyBorder="1" applyAlignment="1">
      <alignment horizontal="left" vertical="center" wrapText="1"/>
    </xf>
    <xf numFmtId="0" fontId="19" fillId="6" borderId="17" xfId="0" applyFont="1" applyFill="1" applyBorder="1" applyAlignment="1">
      <alignment horizontal="left" vertical="center" wrapText="1"/>
    </xf>
    <xf numFmtId="0" fontId="19" fillId="6" borderId="37" xfId="0" applyFont="1" applyFill="1" applyBorder="1" applyAlignment="1">
      <alignment horizontal="left" vertical="center" wrapText="1"/>
    </xf>
    <xf numFmtId="0" fontId="19" fillId="6" borderId="38" xfId="0" applyFont="1" applyFill="1" applyBorder="1" applyAlignment="1">
      <alignment horizontal="left" vertical="center" wrapText="1"/>
    </xf>
    <xf numFmtId="0" fontId="19" fillId="6" borderId="0" xfId="0" applyFont="1" applyFill="1" applyBorder="1" applyAlignment="1">
      <alignment horizontal="left" vertical="center" wrapText="1"/>
    </xf>
    <xf numFmtId="0" fontId="19" fillId="6" borderId="13" xfId="0" applyFont="1" applyFill="1" applyBorder="1" applyAlignment="1">
      <alignment horizontal="left" vertical="center" wrapText="1"/>
    </xf>
    <xf numFmtId="0" fontId="19" fillId="6" borderId="9" xfId="0" applyFont="1" applyFill="1" applyBorder="1" applyAlignment="1">
      <alignment horizontal="left" vertical="center" wrapText="1"/>
    </xf>
    <xf numFmtId="0" fontId="19" fillId="6" borderId="14" xfId="0" applyFont="1" applyFill="1" applyBorder="1" applyAlignment="1">
      <alignment horizontal="left" vertical="center" wrapText="1"/>
    </xf>
    <xf numFmtId="0" fontId="19" fillId="6" borderId="11" xfId="0" applyFont="1" applyFill="1" applyBorder="1" applyAlignment="1">
      <alignment horizontal="left" vertical="center" wrapText="1"/>
    </xf>
    <xf numFmtId="0" fontId="5" fillId="0" borderId="39" xfId="0" applyFont="1" applyBorder="1" applyAlignment="1">
      <alignment horizontal="center"/>
    </xf>
    <xf numFmtId="0" fontId="5" fillId="0" borderId="40" xfId="0" applyFont="1" applyBorder="1" applyAlignment="1">
      <alignment horizontal="center"/>
    </xf>
    <xf numFmtId="0" fontId="5" fillId="0" borderId="41" xfId="0" applyFont="1" applyBorder="1" applyAlignment="1">
      <alignment horizontal="center"/>
    </xf>
    <xf numFmtId="0" fontId="5" fillId="0" borderId="42" xfId="0" applyFont="1" applyBorder="1" applyAlignment="1">
      <alignment horizontal="center"/>
    </xf>
    <xf numFmtId="0" fontId="5" fillId="0" borderId="0" xfId="0" applyFont="1" applyBorder="1" applyAlignment="1">
      <alignment horizontal="center"/>
    </xf>
    <xf numFmtId="0" fontId="5" fillId="0" borderId="43" xfId="0" applyFont="1" applyBorder="1" applyAlignment="1">
      <alignment horizontal="center"/>
    </xf>
    <xf numFmtId="0" fontId="5" fillId="0" borderId="44" xfId="0" applyFont="1" applyBorder="1" applyAlignment="1">
      <alignment horizontal="center"/>
    </xf>
    <xf numFmtId="0" fontId="5" fillId="0" borderId="14" xfId="0" applyFont="1" applyBorder="1" applyAlignment="1">
      <alignment horizontal="center"/>
    </xf>
    <xf numFmtId="0" fontId="5" fillId="0" borderId="45" xfId="0" applyFont="1" applyBorder="1" applyAlignment="1">
      <alignment horizontal="center"/>
    </xf>
    <xf numFmtId="0" fontId="5" fillId="0" borderId="46" xfId="0" applyFont="1" applyBorder="1" applyAlignment="1">
      <alignment horizontal="center" vertical="center" wrapText="1"/>
    </xf>
    <xf numFmtId="0" fontId="5" fillId="0" borderId="35" xfId="0" applyFont="1" applyBorder="1" applyAlignment="1">
      <alignment horizontal="center" vertical="center" wrapText="1"/>
    </xf>
    <xf numFmtId="0" fontId="5" fillId="0" borderId="47" xfId="0" applyFont="1" applyBorder="1" applyAlignment="1">
      <alignment horizontal="center" vertical="center" wrapText="1"/>
    </xf>
    <xf numFmtId="0" fontId="5" fillId="8" borderId="46" xfId="0" applyFont="1" applyFill="1" applyBorder="1" applyAlignment="1">
      <alignment horizontal="left" vertical="top" wrapText="1"/>
    </xf>
    <xf numFmtId="0" fontId="5" fillId="8" borderId="35" xfId="0" applyFont="1" applyFill="1" applyBorder="1" applyAlignment="1">
      <alignment horizontal="left" vertical="top" wrapText="1"/>
    </xf>
    <xf numFmtId="0" fontId="2" fillId="0" borderId="48" xfId="0" applyFont="1" applyBorder="1" applyAlignment="1">
      <alignment horizontal="center" wrapText="1"/>
    </xf>
    <xf numFmtId="0" fontId="2" fillId="0" borderId="17" xfId="0" applyFont="1" applyBorder="1" applyAlignment="1">
      <alignment horizontal="center" wrapText="1"/>
    </xf>
    <xf numFmtId="0" fontId="2" fillId="0" borderId="49" xfId="0" applyFont="1" applyBorder="1" applyAlignment="1">
      <alignment horizontal="center" wrapText="1"/>
    </xf>
    <xf numFmtId="0" fontId="2" fillId="0" borderId="44" xfId="0" applyFont="1" applyBorder="1" applyAlignment="1">
      <alignment horizontal="center" wrapText="1"/>
    </xf>
    <xf numFmtId="0" fontId="2" fillId="0" borderId="14" xfId="0" applyFont="1" applyBorder="1" applyAlignment="1">
      <alignment horizontal="center" wrapText="1"/>
    </xf>
    <xf numFmtId="0" fontId="2" fillId="0" borderId="45" xfId="0" applyFont="1" applyBorder="1" applyAlignment="1">
      <alignment horizontal="center" wrapText="1"/>
    </xf>
    <xf numFmtId="0" fontId="5" fillId="0" borderId="42" xfId="0" applyFont="1" applyBorder="1" applyAlignment="1">
      <alignment horizontal="center" vertical="center" wrapText="1"/>
    </xf>
    <xf numFmtId="0" fontId="5" fillId="0" borderId="0" xfId="0" applyFont="1" applyBorder="1" applyAlignment="1">
      <alignment horizontal="center" vertical="center" wrapText="1"/>
    </xf>
    <xf numFmtId="0" fontId="5" fillId="0" borderId="43" xfId="0" applyFont="1" applyBorder="1" applyAlignment="1">
      <alignment horizontal="center" vertical="center" wrapText="1"/>
    </xf>
    <xf numFmtId="0" fontId="5" fillId="0" borderId="50" xfId="0" applyFont="1" applyBorder="1" applyAlignment="1">
      <alignment horizontal="center" vertical="center" wrapText="1"/>
    </xf>
    <xf numFmtId="0" fontId="5" fillId="0" borderId="51" xfId="0" applyFont="1" applyBorder="1" applyAlignment="1">
      <alignment horizontal="center" vertical="center" wrapText="1"/>
    </xf>
    <xf numFmtId="0" fontId="5" fillId="0" borderId="52" xfId="0" applyFont="1" applyBorder="1" applyAlignment="1">
      <alignment horizontal="center" vertical="center" wrapText="1"/>
    </xf>
    <xf numFmtId="0" fontId="5" fillId="8" borderId="46" xfId="0" applyFont="1" applyFill="1" applyBorder="1" applyAlignment="1">
      <alignment horizontal="left" vertical="center" wrapText="1"/>
    </xf>
    <xf numFmtId="0" fontId="5" fillId="8" borderId="35" xfId="0" applyFont="1" applyFill="1" applyBorder="1" applyAlignment="1">
      <alignment horizontal="left" vertical="center" wrapText="1"/>
    </xf>
    <xf numFmtId="0" fontId="5" fillId="8" borderId="53" xfId="0" applyFont="1" applyFill="1" applyBorder="1" applyAlignment="1">
      <alignment horizontal="left" vertical="center" wrapText="1"/>
    </xf>
    <xf numFmtId="0" fontId="5" fillId="8" borderId="54" xfId="0" applyFont="1" applyFill="1" applyBorder="1" applyAlignment="1">
      <alignment horizontal="left" vertical="center" wrapText="1"/>
    </xf>
    <xf numFmtId="0" fontId="5" fillId="0" borderId="1" xfId="0" applyFont="1" applyBorder="1" applyAlignment="1">
      <alignment horizontal="center" vertical="center"/>
    </xf>
    <xf numFmtId="0" fontId="4" fillId="0" borderId="16" xfId="0" applyFont="1" applyBorder="1" applyAlignment="1">
      <alignment horizontal="center" vertical="center"/>
    </xf>
    <xf numFmtId="0" fontId="4" fillId="0" borderId="21" xfId="0" applyFont="1" applyBorder="1" applyAlignment="1">
      <alignment horizontal="center" vertical="center"/>
    </xf>
    <xf numFmtId="14" fontId="5" fillId="0" borderId="1" xfId="0" applyNumberFormat="1" applyFont="1" applyBorder="1" applyAlignment="1">
      <alignment horizontal="center" vertical="center"/>
    </xf>
    <xf numFmtId="0" fontId="4" fillId="0" borderId="55" xfId="0" applyFont="1" applyBorder="1" applyAlignment="1">
      <alignment horizontal="center" vertical="center" wrapText="1"/>
    </xf>
    <xf numFmtId="0" fontId="4" fillId="0" borderId="56" xfId="0" applyFont="1" applyBorder="1" applyAlignment="1">
      <alignment horizontal="center" vertical="center" wrapText="1"/>
    </xf>
    <xf numFmtId="0" fontId="4" fillId="0" borderId="57" xfId="0" applyFont="1" applyBorder="1" applyAlignment="1">
      <alignment horizontal="center" vertical="center" wrapText="1"/>
    </xf>
    <xf numFmtId="0" fontId="7" fillId="16" borderId="1" xfId="0" applyFont="1" applyFill="1" applyBorder="1" applyAlignment="1">
      <alignment horizontal="center" vertical="center" wrapText="1"/>
    </xf>
    <xf numFmtId="0" fontId="41" fillId="0" borderId="1" xfId="0" applyFont="1" applyBorder="1" applyAlignment="1">
      <alignment horizontal="center" vertical="center"/>
    </xf>
    <xf numFmtId="0" fontId="4" fillId="8" borderId="16" xfId="0" applyFont="1" applyFill="1" applyBorder="1" applyAlignment="1">
      <alignment horizontal="center" vertical="center" wrapText="1"/>
    </xf>
    <xf numFmtId="0" fontId="4" fillId="8" borderId="35" xfId="0" applyFont="1" applyFill="1" applyBorder="1" applyAlignment="1">
      <alignment horizontal="center" vertical="center" wrapText="1"/>
    </xf>
    <xf numFmtId="0" fontId="4" fillId="8" borderId="21" xfId="0" applyFont="1" applyFill="1" applyBorder="1" applyAlignment="1">
      <alignment horizontal="center" vertical="center" wrapText="1"/>
    </xf>
    <xf numFmtId="14" fontId="5" fillId="0" borderId="22" xfId="0" applyNumberFormat="1" applyFont="1" applyBorder="1" applyAlignment="1">
      <alignment horizontal="center" vertical="center"/>
    </xf>
    <xf numFmtId="49" fontId="5" fillId="0" borderId="58" xfId="0" applyNumberFormat="1" applyFont="1" applyBorder="1" applyAlignment="1">
      <alignment horizontal="center" vertical="center"/>
    </xf>
    <xf numFmtId="49" fontId="0" fillId="0" borderId="58" xfId="0" applyNumberFormat="1" applyBorder="1" applyAlignment="1">
      <alignment horizontal="center" vertical="center"/>
    </xf>
    <xf numFmtId="0" fontId="4" fillId="0" borderId="22" xfId="0" applyFont="1" applyBorder="1" applyAlignment="1">
      <alignment horizontal="left" vertical="center"/>
    </xf>
    <xf numFmtId="0" fontId="4" fillId="0" borderId="36" xfId="0" applyFont="1" applyBorder="1" applyAlignment="1">
      <alignment horizontal="left" vertical="center"/>
    </xf>
    <xf numFmtId="49" fontId="5" fillId="0" borderId="1" xfId="0" applyNumberFormat="1" applyFont="1" applyBorder="1" applyAlignment="1">
      <alignment horizontal="center" vertical="center"/>
    </xf>
    <xf numFmtId="49" fontId="5" fillId="0" borderId="16" xfId="0" applyNumberFormat="1" applyFont="1" applyBorder="1" applyAlignment="1">
      <alignment horizontal="center" vertical="center"/>
    </xf>
    <xf numFmtId="0" fontId="4" fillId="0" borderId="22" xfId="0" applyFont="1" applyBorder="1" applyAlignment="1">
      <alignment horizontal="center" vertical="center"/>
    </xf>
    <xf numFmtId="0" fontId="5" fillId="0" borderId="59" xfId="0" applyFont="1" applyBorder="1" applyAlignment="1">
      <alignment horizontal="center" vertical="center"/>
    </xf>
    <xf numFmtId="0" fontId="5" fillId="0" borderId="20" xfId="0" applyFont="1" applyBorder="1" applyAlignment="1">
      <alignment horizontal="center" vertical="center"/>
    </xf>
    <xf numFmtId="0" fontId="18" fillId="3" borderId="12" xfId="0" applyFont="1" applyFill="1" applyBorder="1" applyAlignment="1" applyProtection="1">
      <alignment horizontal="center" vertical="center"/>
    </xf>
    <xf numFmtId="0" fontId="18" fillId="3" borderId="17" xfId="0" applyFont="1" applyFill="1" applyBorder="1" applyAlignment="1" applyProtection="1">
      <alignment horizontal="center" vertical="center"/>
    </xf>
    <xf numFmtId="0" fontId="18" fillId="3" borderId="37" xfId="0" applyFont="1" applyFill="1" applyBorder="1" applyAlignment="1" applyProtection="1">
      <alignment horizontal="center" vertical="center"/>
    </xf>
    <xf numFmtId="49" fontId="5" fillId="0" borderId="60" xfId="0" applyNumberFormat="1" applyFont="1" applyBorder="1" applyAlignment="1" applyProtection="1">
      <alignment horizontal="center" vertical="center"/>
      <protection locked="0"/>
    </xf>
    <xf numFmtId="0" fontId="5" fillId="0" borderId="56" xfId="0" applyNumberFormat="1" applyFont="1" applyBorder="1" applyAlignment="1" applyProtection="1">
      <alignment horizontal="center" vertical="center"/>
      <protection locked="0"/>
    </xf>
    <xf numFmtId="0" fontId="5" fillId="0" borderId="57" xfId="0" applyNumberFormat="1" applyFont="1" applyBorder="1" applyAlignment="1" applyProtection="1">
      <alignment horizontal="center" vertical="center"/>
      <protection locked="0"/>
    </xf>
    <xf numFmtId="49" fontId="42" fillId="0" borderId="61" xfId="0" applyNumberFormat="1" applyFont="1" applyFill="1" applyBorder="1" applyAlignment="1">
      <alignment horizontal="center" vertical="center"/>
    </xf>
    <xf numFmtId="0" fontId="42" fillId="0" borderId="62" xfId="0" applyNumberFormat="1" applyFont="1" applyFill="1" applyBorder="1" applyAlignment="1">
      <alignment horizontal="center" vertical="center"/>
    </xf>
    <xf numFmtId="0" fontId="42" fillId="0" borderId="6" xfId="0" applyNumberFormat="1" applyFont="1" applyFill="1" applyBorder="1" applyAlignment="1">
      <alignment horizontal="center" vertical="center"/>
    </xf>
    <xf numFmtId="0" fontId="4" fillId="0" borderId="12" xfId="0" applyFont="1" applyBorder="1" applyAlignment="1">
      <alignment horizontal="left" vertical="center"/>
    </xf>
    <xf numFmtId="0" fontId="4" fillId="0" borderId="38" xfId="0" applyFont="1" applyBorder="1" applyAlignment="1">
      <alignment horizontal="left" vertical="center"/>
    </xf>
    <xf numFmtId="0" fontId="4" fillId="0" borderId="9" xfId="0" applyFont="1" applyBorder="1" applyAlignment="1">
      <alignment horizontal="left" vertical="center"/>
    </xf>
    <xf numFmtId="49" fontId="5" fillId="0" borderId="12" xfId="0" applyNumberFormat="1" applyFont="1" applyBorder="1" applyAlignment="1">
      <alignment horizontal="center" vertical="center"/>
    </xf>
    <xf numFmtId="49" fontId="5" fillId="0" borderId="17" xfId="0" applyNumberFormat="1" applyFont="1" applyBorder="1" applyAlignment="1">
      <alignment horizontal="center" vertical="center"/>
    </xf>
    <xf numFmtId="49" fontId="5" fillId="0" borderId="37" xfId="0" applyNumberFormat="1" applyFont="1" applyBorder="1" applyAlignment="1">
      <alignment horizontal="center" vertical="center"/>
    </xf>
    <xf numFmtId="49" fontId="5" fillId="0" borderId="38" xfId="0" applyNumberFormat="1" applyFont="1" applyBorder="1" applyAlignment="1">
      <alignment horizontal="center" vertical="center"/>
    </xf>
    <xf numFmtId="49" fontId="5" fillId="0" borderId="0" xfId="0" applyNumberFormat="1" applyFont="1" applyBorder="1" applyAlignment="1">
      <alignment horizontal="center" vertical="center"/>
    </xf>
    <xf numFmtId="49" fontId="5" fillId="0" borderId="13" xfId="0" applyNumberFormat="1" applyFont="1" applyBorder="1" applyAlignment="1">
      <alignment horizontal="center" vertical="center"/>
    </xf>
    <xf numFmtId="49" fontId="5" fillId="0" borderId="9" xfId="0" applyNumberFormat="1" applyFont="1" applyBorder="1" applyAlignment="1">
      <alignment horizontal="center" vertical="center"/>
    </xf>
    <xf numFmtId="49" fontId="5" fillId="0" borderId="14" xfId="0" applyNumberFormat="1" applyFont="1" applyBorder="1" applyAlignment="1">
      <alignment horizontal="center" vertical="center"/>
    </xf>
    <xf numFmtId="49" fontId="5" fillId="0" borderId="11" xfId="0" applyNumberFormat="1" applyFont="1" applyBorder="1" applyAlignment="1">
      <alignment horizontal="center" vertical="center"/>
    </xf>
    <xf numFmtId="0" fontId="1" fillId="0" borderId="61" xfId="1" applyNumberFormat="1" applyFill="1" applyBorder="1" applyAlignment="1" applyProtection="1">
      <alignment horizontal="center" vertical="center"/>
    </xf>
    <xf numFmtId="0" fontId="1" fillId="0" borderId="62" xfId="1" applyNumberFormat="1" applyFill="1" applyBorder="1" applyAlignment="1" applyProtection="1">
      <alignment horizontal="center" vertical="center"/>
    </xf>
    <xf numFmtId="0" fontId="1" fillId="0" borderId="6" xfId="1" applyNumberFormat="1" applyFill="1" applyBorder="1" applyAlignment="1" applyProtection="1">
      <alignment horizontal="center" vertical="center"/>
    </xf>
    <xf numFmtId="14" fontId="42" fillId="0" borderId="63" xfId="0" applyNumberFormat="1" applyFont="1" applyFill="1" applyBorder="1" applyAlignment="1">
      <alignment horizontal="center" vertical="center" wrapText="1"/>
    </xf>
    <xf numFmtId="14" fontId="42" fillId="0" borderId="64" xfId="0" applyNumberFormat="1" applyFont="1" applyFill="1" applyBorder="1" applyAlignment="1">
      <alignment horizontal="center" vertical="center" wrapText="1"/>
    </xf>
    <xf numFmtId="14" fontId="42" fillId="0" borderId="65" xfId="0" applyNumberFormat="1" applyFont="1" applyFill="1" applyBorder="1" applyAlignment="1">
      <alignment horizontal="center" vertical="center" wrapText="1"/>
    </xf>
    <xf numFmtId="0" fontId="18" fillId="3" borderId="38" xfId="0" applyFont="1" applyFill="1" applyBorder="1" applyAlignment="1">
      <alignment horizontal="center" vertical="center"/>
    </xf>
    <xf numFmtId="0" fontId="18" fillId="3" borderId="0" xfId="0" applyFont="1" applyFill="1" applyBorder="1" applyAlignment="1">
      <alignment horizontal="center" vertical="center"/>
    </xf>
    <xf numFmtId="0" fontId="18" fillId="3" borderId="13" xfId="0" applyFont="1" applyFill="1" applyBorder="1" applyAlignment="1">
      <alignment horizontal="center" vertical="center"/>
    </xf>
    <xf numFmtId="0" fontId="5" fillId="0" borderId="66" xfId="0" applyNumberFormat="1" applyFont="1" applyFill="1" applyBorder="1" applyAlignment="1" applyProtection="1">
      <alignment horizontal="center" vertical="center"/>
      <protection locked="0"/>
    </xf>
    <xf numFmtId="0" fontId="5" fillId="0" borderId="17" xfId="0" applyNumberFormat="1" applyFont="1" applyFill="1" applyBorder="1" applyAlignment="1" applyProtection="1">
      <alignment horizontal="center" vertical="center"/>
      <protection locked="0"/>
    </xf>
    <xf numFmtId="0" fontId="5" fillId="0" borderId="37" xfId="0" applyNumberFormat="1" applyFont="1" applyFill="1" applyBorder="1" applyAlignment="1" applyProtection="1">
      <alignment horizontal="center" vertical="center"/>
      <protection locked="0"/>
    </xf>
    <xf numFmtId="0" fontId="4" fillId="0" borderId="22" xfId="0" applyFont="1" applyFill="1" applyBorder="1" applyAlignment="1">
      <alignment horizontal="left" vertical="center"/>
    </xf>
    <xf numFmtId="0" fontId="4" fillId="0" borderId="67" xfId="0" applyFont="1" applyFill="1" applyBorder="1" applyAlignment="1">
      <alignment horizontal="left" vertical="center"/>
    </xf>
    <xf numFmtId="49" fontId="5" fillId="0" borderId="17" xfId="0" applyNumberFormat="1" applyFont="1" applyFill="1" applyBorder="1" applyAlignment="1" applyProtection="1">
      <alignment horizontal="center" vertical="center"/>
      <protection locked="0"/>
    </xf>
    <xf numFmtId="0" fontId="5" fillId="0" borderId="61" xfId="0" applyNumberFormat="1" applyFont="1" applyFill="1" applyBorder="1" applyAlignment="1" applyProtection="1">
      <alignment horizontal="center" vertical="center" wrapText="1"/>
      <protection locked="0"/>
    </xf>
    <xf numFmtId="0" fontId="5" fillId="0" borderId="62" xfId="0" applyNumberFormat="1" applyFont="1" applyFill="1" applyBorder="1" applyAlignment="1" applyProtection="1">
      <alignment horizontal="center" vertical="center"/>
      <protection locked="0"/>
    </xf>
    <xf numFmtId="0" fontId="5" fillId="0" borderId="6" xfId="0" applyNumberFormat="1" applyFont="1" applyFill="1" applyBorder="1" applyAlignment="1" applyProtection="1">
      <alignment horizontal="center" vertical="center"/>
      <protection locked="0"/>
    </xf>
    <xf numFmtId="0" fontId="4" fillId="0" borderId="20" xfId="0" applyFont="1" applyFill="1" applyBorder="1" applyAlignment="1">
      <alignment horizontal="left" vertical="center"/>
    </xf>
    <xf numFmtId="0" fontId="4" fillId="0" borderId="8" xfId="0" applyFont="1" applyFill="1" applyBorder="1" applyAlignment="1">
      <alignment horizontal="left" vertical="center"/>
    </xf>
    <xf numFmtId="49" fontId="5" fillId="0" borderId="68" xfId="0" applyNumberFormat="1" applyFont="1" applyFill="1" applyBorder="1" applyAlignment="1" applyProtection="1">
      <alignment horizontal="center" vertical="center"/>
      <protection locked="0"/>
    </xf>
    <xf numFmtId="0" fontId="5" fillId="0" borderId="19" xfId="0" applyNumberFormat="1" applyFont="1" applyFill="1" applyBorder="1" applyAlignment="1" applyProtection="1">
      <alignment horizontal="center" vertical="center"/>
      <protection locked="0"/>
    </xf>
    <xf numFmtId="49" fontId="5" fillId="0" borderId="61" xfId="0" applyNumberFormat="1" applyFont="1" applyFill="1" applyBorder="1" applyAlignment="1" applyProtection="1">
      <alignment horizontal="center" vertical="center"/>
      <protection locked="0"/>
    </xf>
    <xf numFmtId="49" fontId="5" fillId="0" borderId="62" xfId="0" applyNumberFormat="1" applyFont="1" applyFill="1" applyBorder="1" applyAlignment="1" applyProtection="1">
      <alignment horizontal="center" vertical="center"/>
      <protection locked="0"/>
    </xf>
    <xf numFmtId="49" fontId="5" fillId="0" borderId="6" xfId="0" applyNumberFormat="1" applyFont="1" applyFill="1" applyBorder="1" applyAlignment="1" applyProtection="1">
      <alignment horizontal="center" vertical="center"/>
      <protection locked="0"/>
    </xf>
    <xf numFmtId="0" fontId="5" fillId="0" borderId="19" xfId="0" applyFont="1" applyFill="1" applyBorder="1" applyAlignment="1" applyProtection="1">
      <alignment horizontal="center" vertical="center"/>
      <protection locked="0"/>
    </xf>
    <xf numFmtId="0" fontId="4" fillId="0" borderId="36" xfId="0" applyFont="1" applyFill="1" applyBorder="1" applyAlignment="1">
      <alignment horizontal="left" vertical="center"/>
    </xf>
    <xf numFmtId="0" fontId="4" fillId="0" borderId="69" xfId="0" applyFont="1" applyFill="1" applyBorder="1" applyAlignment="1">
      <alignment horizontal="left" vertical="center"/>
    </xf>
    <xf numFmtId="0" fontId="19" fillId="0" borderId="36" xfId="0" applyFont="1" applyFill="1" applyBorder="1" applyAlignment="1" applyProtection="1">
      <alignment horizontal="center" vertical="center"/>
      <protection locked="0"/>
    </xf>
    <xf numFmtId="0" fontId="5" fillId="0" borderId="61" xfId="0" applyFont="1" applyFill="1" applyBorder="1" applyAlignment="1" applyProtection="1">
      <alignment horizontal="center" vertical="center"/>
      <protection locked="0"/>
    </xf>
    <xf numFmtId="0" fontId="5" fillId="0" borderId="62" xfId="0" applyFont="1" applyFill="1" applyBorder="1" applyAlignment="1" applyProtection="1">
      <alignment horizontal="center" vertical="center"/>
      <protection locked="0"/>
    </xf>
    <xf numFmtId="0" fontId="5" fillId="0" borderId="6" xfId="0" applyFont="1" applyFill="1" applyBorder="1" applyAlignment="1" applyProtection="1">
      <alignment horizontal="center" vertical="center"/>
      <protection locked="0"/>
    </xf>
    <xf numFmtId="0" fontId="5" fillId="0" borderId="70" xfId="0" applyFont="1" applyFill="1" applyBorder="1" applyAlignment="1" applyProtection="1">
      <alignment horizontal="center" vertical="center"/>
      <protection locked="0"/>
    </xf>
    <xf numFmtId="0" fontId="5" fillId="0" borderId="14" xfId="0" applyFont="1" applyFill="1" applyBorder="1" applyAlignment="1" applyProtection="1">
      <alignment horizontal="center" vertical="center"/>
      <protection locked="0"/>
    </xf>
    <xf numFmtId="0" fontId="5" fillId="0" borderId="11" xfId="0" applyFont="1" applyFill="1" applyBorder="1" applyAlignment="1" applyProtection="1">
      <alignment horizontal="center" vertical="center"/>
      <protection locked="0"/>
    </xf>
    <xf numFmtId="0" fontId="18" fillId="3" borderId="9" xfId="0" applyFont="1" applyFill="1" applyBorder="1" applyAlignment="1">
      <alignment horizontal="center" vertical="center"/>
    </xf>
    <xf numFmtId="0" fontId="18" fillId="3" borderId="14" xfId="0" applyFont="1" applyFill="1" applyBorder="1" applyAlignment="1">
      <alignment horizontal="center" vertical="center"/>
    </xf>
    <xf numFmtId="0" fontId="18" fillId="3" borderId="11" xfId="0" applyFont="1" applyFill="1" applyBorder="1" applyAlignment="1">
      <alignment horizontal="center" vertical="center"/>
    </xf>
    <xf numFmtId="0" fontId="5" fillId="7" borderId="12" xfId="0" applyFont="1" applyFill="1" applyBorder="1" applyAlignment="1">
      <alignment horizontal="center" vertical="center" wrapText="1"/>
    </xf>
    <xf numFmtId="0" fontId="5" fillId="7" borderId="17" xfId="0" applyFont="1" applyFill="1" applyBorder="1" applyAlignment="1">
      <alignment horizontal="center" vertical="center" wrapText="1"/>
    </xf>
    <xf numFmtId="0" fontId="5" fillId="7" borderId="37" xfId="0" applyFont="1" applyFill="1" applyBorder="1" applyAlignment="1">
      <alignment horizontal="center" vertical="center" wrapText="1"/>
    </xf>
    <xf numFmtId="49" fontId="5" fillId="0" borderId="12" xfId="0" applyNumberFormat="1" applyFont="1" applyBorder="1" applyAlignment="1">
      <alignment horizontal="center" vertical="center" wrapText="1"/>
    </xf>
    <xf numFmtId="49" fontId="5" fillId="0" borderId="17" xfId="0" applyNumberFormat="1" applyFont="1" applyBorder="1" applyAlignment="1">
      <alignment horizontal="center" vertical="center" wrapText="1"/>
    </xf>
    <xf numFmtId="49" fontId="5" fillId="0" borderId="37" xfId="0" applyNumberFormat="1" applyFont="1" applyBorder="1" applyAlignment="1">
      <alignment horizontal="center" vertical="center" wrapText="1"/>
    </xf>
    <xf numFmtId="0" fontId="0" fillId="0" borderId="1" xfId="0" applyBorder="1" applyAlignment="1">
      <alignment horizontal="center" vertical="center"/>
    </xf>
    <xf numFmtId="49" fontId="5" fillId="0" borderId="7" xfId="0" applyNumberFormat="1" applyFont="1" applyBorder="1" applyAlignment="1">
      <alignment horizontal="center" vertical="center" wrapText="1"/>
    </xf>
    <xf numFmtId="49" fontId="5" fillId="0" borderId="62" xfId="0" applyNumberFormat="1" applyFont="1" applyBorder="1" applyAlignment="1">
      <alignment horizontal="center" vertical="center" wrapText="1"/>
    </xf>
    <xf numFmtId="49" fontId="5" fillId="0" borderId="6" xfId="0" applyNumberFormat="1" applyFont="1" applyBorder="1" applyAlignment="1">
      <alignment horizontal="center" vertical="center" wrapText="1"/>
    </xf>
    <xf numFmtId="0" fontId="5" fillId="0" borderId="22" xfId="0" applyFont="1" applyBorder="1" applyAlignment="1" applyProtection="1">
      <alignment horizontal="center" vertical="center"/>
      <protection locked="0"/>
    </xf>
    <xf numFmtId="0" fontId="5" fillId="0" borderId="36" xfId="0" applyFont="1" applyBorder="1" applyAlignment="1" applyProtection="1">
      <alignment horizontal="center" vertical="center"/>
      <protection locked="0"/>
    </xf>
    <xf numFmtId="49" fontId="5" fillId="0" borderId="38" xfId="0" applyNumberFormat="1" applyFont="1" applyBorder="1" applyAlignment="1">
      <alignment horizontal="center" vertical="center" wrapText="1"/>
    </xf>
    <xf numFmtId="49" fontId="5" fillId="0" borderId="0" xfId="0" applyNumberFormat="1" applyFont="1" applyBorder="1" applyAlignment="1">
      <alignment horizontal="center" vertical="center" wrapText="1"/>
    </xf>
    <xf numFmtId="49" fontId="5" fillId="0" borderId="13" xfId="0" applyNumberFormat="1" applyFont="1" applyBorder="1" applyAlignment="1">
      <alignment horizontal="center" vertical="center" wrapText="1"/>
    </xf>
    <xf numFmtId="0" fontId="18" fillId="8" borderId="12" xfId="0" applyFont="1" applyFill="1" applyBorder="1" applyAlignment="1">
      <alignment horizontal="center" vertical="center"/>
    </xf>
    <xf numFmtId="0" fontId="18" fillId="8" borderId="17" xfId="0" applyFont="1" applyFill="1" applyBorder="1" applyAlignment="1">
      <alignment horizontal="center" vertical="center"/>
    </xf>
    <xf numFmtId="0" fontId="18" fillId="8" borderId="37" xfId="0" applyFont="1" applyFill="1" applyBorder="1" applyAlignment="1">
      <alignment horizontal="center" vertical="center"/>
    </xf>
    <xf numFmtId="0" fontId="18" fillId="8" borderId="16" xfId="0" applyFont="1" applyFill="1" applyBorder="1" applyAlignment="1">
      <alignment horizontal="center" vertical="center"/>
    </xf>
    <xf numFmtId="0" fontId="18" fillId="8" borderId="35" xfId="0" applyFont="1" applyFill="1" applyBorder="1" applyAlignment="1">
      <alignment horizontal="center" vertical="center"/>
    </xf>
    <xf numFmtId="0" fontId="18" fillId="8" borderId="21" xfId="0" applyFont="1" applyFill="1" applyBorder="1" applyAlignment="1">
      <alignment horizontal="center" vertical="center"/>
    </xf>
    <xf numFmtId="0" fontId="4" fillId="0" borderId="1" xfId="0" applyFont="1" applyBorder="1" applyAlignment="1">
      <alignment horizontal="left" vertical="center"/>
    </xf>
    <xf numFmtId="0" fontId="5" fillId="0" borderId="1" xfId="0" applyFont="1" applyBorder="1" applyAlignment="1" applyProtection="1">
      <alignment horizontal="center" vertical="center"/>
      <protection locked="0"/>
    </xf>
    <xf numFmtId="0" fontId="5" fillId="0" borderId="12" xfId="0" applyFont="1" applyBorder="1" applyAlignment="1" applyProtection="1">
      <alignment horizontal="center" vertical="center"/>
      <protection locked="0"/>
    </xf>
    <xf numFmtId="0" fontId="5" fillId="0" borderId="72" xfId="0" applyFont="1" applyBorder="1" applyAlignment="1" applyProtection="1">
      <alignment horizontal="center" vertical="center"/>
      <protection locked="0"/>
    </xf>
    <xf numFmtId="0" fontId="5" fillId="0" borderId="69" xfId="0" applyFont="1" applyBorder="1" applyAlignment="1" applyProtection="1">
      <alignment horizontal="center" vertical="center"/>
      <protection locked="0"/>
    </xf>
    <xf numFmtId="0" fontId="4" fillId="8" borderId="1" xfId="0" applyFont="1" applyFill="1" applyBorder="1" applyAlignment="1">
      <alignment horizontal="center" vertical="center"/>
    </xf>
    <xf numFmtId="0" fontId="0" fillId="8" borderId="1" xfId="0" applyFill="1" applyBorder="1" applyAlignment="1">
      <alignment horizontal="center" vertical="center"/>
    </xf>
    <xf numFmtId="0" fontId="5" fillId="0" borderId="12" xfId="0" applyFont="1" applyBorder="1" applyAlignment="1" applyProtection="1">
      <alignment horizontal="center" vertical="center" wrapText="1"/>
      <protection locked="0"/>
    </xf>
    <xf numFmtId="0" fontId="5" fillId="0" borderId="37"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11" xfId="0" applyFont="1" applyBorder="1" applyAlignment="1" applyProtection="1">
      <alignment horizontal="center" vertical="center" wrapText="1"/>
      <protection locked="0"/>
    </xf>
    <xf numFmtId="0" fontId="5" fillId="8" borderId="22" xfId="0" applyFont="1" applyFill="1" applyBorder="1" applyAlignment="1" applyProtection="1">
      <alignment horizontal="center" vertical="center"/>
      <protection locked="0"/>
    </xf>
    <xf numFmtId="0" fontId="5" fillId="8" borderId="71" xfId="0" applyFont="1" applyFill="1" applyBorder="1" applyAlignment="1" applyProtection="1">
      <alignment horizontal="center" vertical="center"/>
      <protection locked="0"/>
    </xf>
    <xf numFmtId="0" fontId="5" fillId="8" borderId="36" xfId="0" applyFont="1" applyFill="1" applyBorder="1" applyAlignment="1" applyProtection="1">
      <alignment horizontal="center" vertical="center"/>
      <protection locked="0"/>
    </xf>
    <xf numFmtId="0" fontId="0" fillId="0" borderId="12" xfId="0" applyBorder="1" applyAlignment="1">
      <alignment horizontal="center" vertical="center" wrapText="1"/>
    </xf>
    <xf numFmtId="0" fontId="0" fillId="0" borderId="37" xfId="0" applyBorder="1" applyAlignment="1">
      <alignment horizontal="center" vertical="center" wrapText="1"/>
    </xf>
    <xf numFmtId="0" fontId="0" fillId="0" borderId="38" xfId="0" applyBorder="1" applyAlignment="1">
      <alignment horizontal="center" vertical="center" wrapText="1"/>
    </xf>
    <xf numFmtId="0" fontId="0" fillId="0" borderId="13" xfId="0" applyBorder="1" applyAlignment="1">
      <alignment horizontal="center" vertical="center" wrapText="1"/>
    </xf>
    <xf numFmtId="0" fontId="0" fillId="0" borderId="9"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xf>
    <xf numFmtId="0" fontId="0" fillId="0" borderId="17" xfId="0" applyBorder="1" applyAlignment="1">
      <alignment horizontal="center" vertical="center"/>
    </xf>
    <xf numFmtId="0" fontId="0" fillId="0" borderId="38" xfId="0" applyBorder="1" applyAlignment="1">
      <alignment horizontal="center" vertical="center"/>
    </xf>
    <xf numFmtId="0" fontId="0" fillId="0" borderId="0" xfId="0" applyBorder="1" applyAlignment="1">
      <alignment horizontal="center" vertical="center"/>
    </xf>
    <xf numFmtId="0" fontId="0" fillId="0" borderId="9" xfId="0" applyBorder="1" applyAlignment="1">
      <alignment horizontal="center" vertical="center"/>
    </xf>
    <xf numFmtId="0" fontId="0" fillId="0" borderId="14" xfId="0" applyBorder="1" applyAlignment="1">
      <alignment horizontal="center" vertical="center"/>
    </xf>
    <xf numFmtId="0" fontId="0" fillId="0" borderId="22" xfId="0" applyBorder="1" applyAlignment="1">
      <alignment horizontal="center" vertical="center"/>
    </xf>
    <xf numFmtId="0" fontId="0" fillId="0" borderId="71" xfId="0" applyBorder="1" applyAlignment="1">
      <alignment horizontal="center" vertical="center"/>
    </xf>
    <xf numFmtId="0" fontId="0" fillId="0" borderId="36" xfId="0" applyBorder="1" applyAlignment="1">
      <alignment horizontal="center" vertical="center"/>
    </xf>
    <xf numFmtId="0" fontId="4" fillId="3" borderId="1" xfId="0" applyFont="1" applyFill="1" applyBorder="1" applyAlignment="1">
      <alignment horizontal="center" vertical="center" wrapText="1"/>
    </xf>
    <xf numFmtId="0" fontId="5" fillId="0" borderId="1" xfId="0" applyNumberFormat="1" applyFont="1" applyBorder="1" applyAlignment="1">
      <alignment horizontal="center" vertical="center"/>
    </xf>
    <xf numFmtId="0" fontId="0" fillId="0" borderId="1" xfId="0" applyNumberFormat="1" applyBorder="1" applyAlignment="1">
      <alignment horizontal="center" vertical="center"/>
    </xf>
    <xf numFmtId="0" fontId="0" fillId="0" borderId="16" xfId="0" applyNumberFormat="1" applyBorder="1" applyAlignment="1">
      <alignment horizontal="center" vertical="center"/>
    </xf>
    <xf numFmtId="0" fontId="21" fillId="0" borderId="1" xfId="0" applyFont="1" applyFill="1" applyBorder="1" applyAlignment="1">
      <alignment horizontal="center" vertical="center"/>
    </xf>
    <xf numFmtId="0" fontId="21" fillId="0" borderId="1" xfId="0" applyNumberFormat="1" applyFont="1" applyBorder="1" applyAlignment="1">
      <alignment horizontal="center" vertical="center"/>
    </xf>
    <xf numFmtId="0" fontId="7" fillId="8" borderId="1" xfId="0" applyFont="1" applyFill="1" applyBorder="1" applyAlignment="1">
      <alignment horizontal="center" vertical="center"/>
    </xf>
    <xf numFmtId="49" fontId="0" fillId="0" borderId="1" xfId="0" applyNumberFormat="1" applyBorder="1" applyAlignment="1">
      <alignment horizontal="center" vertical="center"/>
    </xf>
    <xf numFmtId="0" fontId="4" fillId="8" borderId="16" xfId="0" applyFont="1" applyFill="1" applyBorder="1" applyAlignment="1">
      <alignment horizontal="center" vertical="center"/>
    </xf>
    <xf numFmtId="0" fontId="4" fillId="8" borderId="35" xfId="0" applyFont="1" applyFill="1" applyBorder="1" applyAlignment="1">
      <alignment horizontal="center" vertical="center"/>
    </xf>
    <xf numFmtId="0" fontId="4" fillId="8" borderId="21" xfId="0" applyFont="1" applyFill="1" applyBorder="1" applyAlignment="1">
      <alignment horizontal="center" vertical="center"/>
    </xf>
    <xf numFmtId="14" fontId="0" fillId="0" borderId="22" xfId="0" applyNumberFormat="1" applyBorder="1" applyAlignment="1">
      <alignment horizontal="center" vertical="center"/>
    </xf>
    <xf numFmtId="14" fontId="0" fillId="0" borderId="1" xfId="0" applyNumberFormat="1" applyBorder="1" applyAlignment="1">
      <alignment horizontal="center" vertical="center"/>
    </xf>
    <xf numFmtId="0" fontId="4" fillId="11" borderId="16" xfId="0" applyFont="1" applyFill="1" applyBorder="1" applyAlignment="1">
      <alignment horizontal="center" vertical="center"/>
    </xf>
    <xf numFmtId="0" fontId="4" fillId="11" borderId="35" xfId="0" applyFont="1" applyFill="1" applyBorder="1" applyAlignment="1">
      <alignment horizontal="center" vertical="center"/>
    </xf>
    <xf numFmtId="0" fontId="0" fillId="0" borderId="37" xfId="0" applyBorder="1" applyAlignment="1">
      <alignment horizontal="center" vertical="center"/>
    </xf>
    <xf numFmtId="0" fontId="0" fillId="0" borderId="1" xfId="0" applyBorder="1" applyAlignment="1">
      <alignment horizontal="center" vertical="center" wrapText="1"/>
    </xf>
    <xf numFmtId="0" fontId="5" fillId="0" borderId="12" xfId="0" applyFont="1" applyBorder="1" applyAlignment="1">
      <alignment horizontal="center" vertical="center" wrapText="1"/>
    </xf>
    <xf numFmtId="0" fontId="19" fillId="8" borderId="22" xfId="0" applyFont="1" applyFill="1" applyBorder="1" applyAlignment="1">
      <alignment horizontal="center" vertical="center" textRotation="180" wrapText="1"/>
    </xf>
    <xf numFmtId="0" fontId="19" fillId="8" borderId="71" xfId="0" applyFont="1" applyFill="1" applyBorder="1" applyAlignment="1">
      <alignment horizontal="center" vertical="center" textRotation="180" wrapText="1"/>
    </xf>
    <xf numFmtId="0" fontId="19" fillId="8" borderId="36" xfId="0" applyFont="1" applyFill="1" applyBorder="1" applyAlignment="1">
      <alignment horizontal="center" vertical="center" textRotation="180" wrapText="1"/>
    </xf>
    <xf numFmtId="0" fontId="0" fillId="8" borderId="16" xfId="0" applyFill="1" applyBorder="1" applyAlignment="1">
      <alignment horizontal="center" vertical="center" wrapText="1"/>
    </xf>
    <xf numFmtId="0" fontId="0" fillId="8" borderId="35" xfId="0" applyFill="1" applyBorder="1" applyAlignment="1">
      <alignment horizontal="center" vertical="center" wrapText="1"/>
    </xf>
    <xf numFmtId="0" fontId="0" fillId="8" borderId="21" xfId="0" applyFill="1" applyBorder="1" applyAlignment="1">
      <alignment horizontal="center" vertical="center" wrapText="1"/>
    </xf>
    <xf numFmtId="0" fontId="5" fillId="0" borderId="12" xfId="0" applyFont="1" applyBorder="1" applyAlignment="1">
      <alignment horizontal="center" vertical="center"/>
    </xf>
    <xf numFmtId="0" fontId="5" fillId="0" borderId="17" xfId="0" applyFont="1" applyBorder="1" applyAlignment="1">
      <alignment horizontal="center" vertical="center"/>
    </xf>
    <xf numFmtId="0" fontId="5" fillId="0" borderId="37" xfId="0" applyFont="1" applyBorder="1" applyAlignment="1">
      <alignment horizontal="center" vertical="center"/>
    </xf>
    <xf numFmtId="0" fontId="5" fillId="0" borderId="38" xfId="0" applyFont="1" applyBorder="1" applyAlignment="1">
      <alignment horizontal="center" vertical="center"/>
    </xf>
    <xf numFmtId="0" fontId="5" fillId="0" borderId="0" xfId="0" applyFont="1" applyBorder="1" applyAlignment="1">
      <alignment horizontal="center" vertical="center"/>
    </xf>
    <xf numFmtId="0" fontId="5" fillId="0" borderId="13" xfId="0" applyFont="1" applyBorder="1" applyAlignment="1">
      <alignment horizontal="center" vertical="center"/>
    </xf>
    <xf numFmtId="0" fontId="5" fillId="0" borderId="9" xfId="0" applyFont="1" applyBorder="1" applyAlignment="1">
      <alignment horizontal="center" vertical="center"/>
    </xf>
    <xf numFmtId="0" fontId="5" fillId="0" borderId="14" xfId="0" applyFont="1" applyBorder="1" applyAlignment="1">
      <alignment horizontal="center" vertical="center"/>
    </xf>
    <xf numFmtId="0" fontId="5" fillId="0" borderId="11" xfId="0" applyFont="1" applyBorder="1" applyAlignment="1">
      <alignment horizontal="center" vertical="center"/>
    </xf>
    <xf numFmtId="0" fontId="5" fillId="0" borderId="22" xfId="0" applyFont="1" applyBorder="1" applyAlignment="1">
      <alignment horizontal="center" vertical="center"/>
    </xf>
    <xf numFmtId="0" fontId="5" fillId="0" borderId="71" xfId="0" applyFont="1" applyBorder="1" applyAlignment="1">
      <alignment horizontal="center" vertical="center"/>
    </xf>
    <xf numFmtId="0" fontId="5" fillId="0" borderId="36" xfId="0" applyFont="1" applyBorder="1" applyAlignment="1">
      <alignment horizontal="center" vertical="center"/>
    </xf>
    <xf numFmtId="0" fontId="25" fillId="8" borderId="73" xfId="0" applyFont="1" applyFill="1" applyBorder="1" applyAlignment="1">
      <alignment horizontal="center" vertical="center" textRotation="90" wrapText="1"/>
    </xf>
    <xf numFmtId="0" fontId="25" fillId="8" borderId="53" xfId="0" applyFont="1" applyFill="1" applyBorder="1" applyAlignment="1">
      <alignment horizontal="center" vertical="center" textRotation="90" wrapText="1"/>
    </xf>
    <xf numFmtId="49" fontId="11" fillId="8" borderId="22" xfId="0" applyNumberFormat="1" applyFont="1" applyFill="1" applyBorder="1" applyAlignment="1">
      <alignment horizontal="center" vertical="center"/>
    </xf>
    <xf numFmtId="0" fontId="20" fillId="8" borderId="1" xfId="0" applyFont="1" applyFill="1" applyBorder="1" applyAlignment="1">
      <alignment horizontal="center" vertical="center"/>
    </xf>
    <xf numFmtId="0" fontId="10" fillId="0" borderId="1" xfId="0" applyFont="1" applyBorder="1" applyAlignment="1">
      <alignment horizontal="center" vertical="center"/>
    </xf>
    <xf numFmtId="0" fontId="11" fillId="8" borderId="1" xfId="0" applyFont="1" applyFill="1" applyBorder="1" applyAlignment="1">
      <alignment horizontal="center" vertical="center" wrapText="1"/>
    </xf>
    <xf numFmtId="0" fontId="24" fillId="8" borderId="74" xfId="0" applyFont="1" applyFill="1" applyBorder="1" applyAlignment="1">
      <alignment horizontal="center" vertical="center" textRotation="90" wrapText="1"/>
    </xf>
    <xf numFmtId="0" fontId="24" fillId="8" borderId="75" xfId="0" applyFont="1" applyFill="1" applyBorder="1" applyAlignment="1">
      <alignment horizontal="center" vertical="center" textRotation="90" wrapText="1"/>
    </xf>
    <xf numFmtId="0" fontId="24" fillId="8" borderId="76" xfId="0" applyFont="1" applyFill="1" applyBorder="1" applyAlignment="1">
      <alignment horizontal="center" vertical="center" textRotation="90" wrapText="1"/>
    </xf>
    <xf numFmtId="0" fontId="10" fillId="6" borderId="21" xfId="0" applyFont="1" applyFill="1" applyBorder="1" applyAlignment="1">
      <alignment horizontal="left" vertical="center"/>
    </xf>
    <xf numFmtId="0" fontId="10" fillId="6" borderId="1" xfId="0" applyFont="1" applyFill="1" applyBorder="1" applyAlignment="1">
      <alignment horizontal="left" vertical="center"/>
    </xf>
    <xf numFmtId="0" fontId="7" fillId="6" borderId="21" xfId="0" applyFont="1" applyFill="1" applyBorder="1" applyAlignment="1">
      <alignment horizontal="left" vertical="center" wrapText="1"/>
    </xf>
    <xf numFmtId="0" fontId="7" fillId="6" borderId="1" xfId="0" applyFont="1" applyFill="1" applyBorder="1" applyAlignment="1">
      <alignment horizontal="left" vertical="center"/>
    </xf>
    <xf numFmtId="49" fontId="11" fillId="4" borderId="31" xfId="0" applyNumberFormat="1" applyFont="1" applyFill="1" applyBorder="1" applyAlignment="1">
      <alignment horizontal="center" vertical="center"/>
    </xf>
    <xf numFmtId="49" fontId="11" fillId="4" borderId="26" xfId="0" applyNumberFormat="1" applyFont="1" applyFill="1" applyBorder="1" applyAlignment="1">
      <alignment horizontal="center" vertical="center"/>
    </xf>
    <xf numFmtId="49" fontId="11" fillId="4" borderId="27" xfId="0" applyNumberFormat="1" applyFont="1" applyFill="1" applyBorder="1" applyAlignment="1">
      <alignment horizontal="center" vertical="center"/>
    </xf>
    <xf numFmtId="49" fontId="11" fillId="5" borderId="32" xfId="0" applyNumberFormat="1" applyFont="1" applyFill="1" applyBorder="1" applyAlignment="1">
      <alignment horizontal="center" vertical="center"/>
    </xf>
    <xf numFmtId="49" fontId="11" fillId="5" borderId="29" xfId="0" applyNumberFormat="1" applyFont="1" applyFill="1" applyBorder="1" applyAlignment="1">
      <alignment horizontal="center" vertical="center"/>
    </xf>
    <xf numFmtId="49" fontId="11" fillId="5" borderId="30" xfId="0" applyNumberFormat="1" applyFont="1" applyFill="1" applyBorder="1" applyAlignment="1">
      <alignment horizontal="center" vertical="center"/>
    </xf>
    <xf numFmtId="49" fontId="8" fillId="9" borderId="32" xfId="0" applyNumberFormat="1" applyFont="1" applyFill="1" applyBorder="1" applyAlignment="1">
      <alignment horizontal="center" vertical="center"/>
    </xf>
    <xf numFmtId="49" fontId="8" fillId="9" borderId="29" xfId="0" applyNumberFormat="1" applyFont="1" applyFill="1" applyBorder="1" applyAlignment="1">
      <alignment horizontal="center" vertical="center"/>
    </xf>
    <xf numFmtId="49" fontId="8" fillId="9" borderId="77" xfId="0" applyNumberFormat="1" applyFont="1" applyFill="1" applyBorder="1" applyAlignment="1">
      <alignment horizontal="center" vertical="center"/>
    </xf>
    <xf numFmtId="49" fontId="8" fillId="9" borderId="31" xfId="0" applyNumberFormat="1" applyFont="1" applyFill="1" applyBorder="1" applyAlignment="1">
      <alignment horizontal="center" vertical="center"/>
    </xf>
    <xf numFmtId="49" fontId="8" fillId="9" borderId="26" xfId="0" applyNumberFormat="1" applyFont="1" applyFill="1" applyBorder="1" applyAlignment="1">
      <alignment horizontal="center" vertical="center"/>
    </xf>
    <xf numFmtId="49" fontId="8" fillId="9" borderId="78" xfId="0" applyNumberFormat="1" applyFont="1" applyFill="1" applyBorder="1" applyAlignment="1">
      <alignment horizontal="center" vertical="center"/>
    </xf>
    <xf numFmtId="49" fontId="11" fillId="6" borderId="22" xfId="0" applyNumberFormat="1" applyFont="1" applyFill="1" applyBorder="1" applyAlignment="1">
      <alignment horizontal="center" vertical="center"/>
    </xf>
    <xf numFmtId="49" fontId="11" fillId="8" borderId="79" xfId="0" applyNumberFormat="1" applyFont="1" applyFill="1" applyBorder="1" applyAlignment="1">
      <alignment horizontal="center" vertical="center"/>
    </xf>
    <xf numFmtId="49" fontId="11" fillId="8" borderId="24" xfId="0" applyNumberFormat="1" applyFont="1" applyFill="1" applyBorder="1" applyAlignment="1">
      <alignment horizontal="center" vertical="center"/>
    </xf>
    <xf numFmtId="49" fontId="11" fillId="8" borderId="25" xfId="0" applyNumberFormat="1" applyFont="1" applyFill="1" applyBorder="1" applyAlignment="1">
      <alignment horizontal="center" vertical="center"/>
    </xf>
    <xf numFmtId="49" fontId="11" fillId="6" borderId="31" xfId="0" applyNumberFormat="1" applyFont="1" applyFill="1" applyBorder="1" applyAlignment="1">
      <alignment horizontal="center" vertical="center"/>
    </xf>
    <xf numFmtId="49" fontId="11" fillId="6" borderId="26" xfId="0" applyNumberFormat="1" applyFont="1" applyFill="1" applyBorder="1" applyAlignment="1">
      <alignment horizontal="center" vertical="center"/>
    </xf>
    <xf numFmtId="49" fontId="15" fillId="0" borderId="80" xfId="0" applyNumberFormat="1" applyFont="1" applyFill="1" applyBorder="1" applyAlignment="1">
      <alignment horizontal="center" vertical="center"/>
    </xf>
    <xf numFmtId="49" fontId="15" fillId="0" borderId="1" xfId="0" applyNumberFormat="1" applyFont="1" applyFill="1" applyBorder="1" applyAlignment="1">
      <alignment horizontal="center" vertical="center"/>
    </xf>
    <xf numFmtId="49" fontId="43" fillId="6" borderId="32" xfId="0" applyNumberFormat="1" applyFont="1" applyFill="1" applyBorder="1" applyAlignment="1">
      <alignment horizontal="center" vertical="center"/>
    </xf>
    <xf numFmtId="49" fontId="43" fillId="6" borderId="29" xfId="0" applyNumberFormat="1" applyFont="1" applyFill="1" applyBorder="1" applyAlignment="1">
      <alignment horizontal="center" vertical="center"/>
    </xf>
    <xf numFmtId="0" fontId="0" fillId="0" borderId="13" xfId="0" applyBorder="1" applyAlignment="1">
      <alignment horizontal="center" vertical="center"/>
    </xf>
    <xf numFmtId="0" fontId="0" fillId="0" borderId="11" xfId="0" applyBorder="1" applyAlignment="1">
      <alignment horizontal="center" vertical="center"/>
    </xf>
    <xf numFmtId="0" fontId="0" fillId="0" borderId="16" xfId="0" applyBorder="1" applyAlignment="1">
      <alignment horizontal="center"/>
    </xf>
    <xf numFmtId="0" fontId="0" fillId="0" borderId="21" xfId="0" applyBorder="1" applyAlignment="1">
      <alignment horizontal="center"/>
    </xf>
    <xf numFmtId="0" fontId="7" fillId="8" borderId="16" xfId="0" applyFont="1" applyFill="1" applyBorder="1" applyAlignment="1">
      <alignment horizontal="center" vertical="center"/>
    </xf>
    <xf numFmtId="0" fontId="7" fillId="8" borderId="35" xfId="0" applyFont="1" applyFill="1" applyBorder="1" applyAlignment="1">
      <alignment horizontal="center" vertical="center"/>
    </xf>
    <xf numFmtId="0" fontId="7" fillId="8" borderId="21"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21" xfId="0" applyFill="1" applyBorder="1" applyAlignment="1">
      <alignment horizontal="center" vertical="center"/>
    </xf>
    <xf numFmtId="0" fontId="2" fillId="2" borderId="16" xfId="0" applyFont="1" applyFill="1" applyBorder="1" applyAlignment="1">
      <alignment horizontal="center" vertical="center" wrapText="1"/>
    </xf>
    <xf numFmtId="0" fontId="2" fillId="2" borderId="21" xfId="0" applyFont="1" applyFill="1" applyBorder="1" applyAlignment="1">
      <alignment horizontal="center" vertical="center" wrapText="1"/>
    </xf>
    <xf numFmtId="0" fontId="5" fillId="0" borderId="12" xfId="0" applyFont="1" applyBorder="1" applyAlignment="1">
      <alignment horizontal="center"/>
    </xf>
    <xf numFmtId="0" fontId="5" fillId="0" borderId="17" xfId="0" applyFont="1" applyBorder="1" applyAlignment="1">
      <alignment horizontal="center"/>
    </xf>
    <xf numFmtId="0" fontId="5" fillId="0" borderId="37" xfId="0" applyFont="1" applyBorder="1" applyAlignment="1">
      <alignment horizontal="center"/>
    </xf>
    <xf numFmtId="0" fontId="5" fillId="0" borderId="16" xfId="0" applyFont="1" applyBorder="1" applyAlignment="1">
      <alignment horizontal="center" vertical="center"/>
    </xf>
    <xf numFmtId="0" fontId="5" fillId="0" borderId="35" xfId="0" applyFont="1" applyBorder="1" applyAlignment="1">
      <alignment horizontal="center" vertical="center"/>
    </xf>
    <xf numFmtId="0" fontId="5" fillId="0" borderId="21" xfId="0" applyFont="1" applyBorder="1" applyAlignment="1">
      <alignment horizontal="center" vertical="center"/>
    </xf>
    <xf numFmtId="0" fontId="2" fillId="7" borderId="1"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0" borderId="12" xfId="0" applyFont="1" applyBorder="1" applyAlignment="1">
      <alignment horizontal="center" vertical="center" wrapText="1"/>
    </xf>
    <xf numFmtId="0" fontId="2" fillId="0" borderId="17" xfId="0" applyFont="1" applyBorder="1" applyAlignment="1">
      <alignment horizontal="center" vertical="center" wrapText="1"/>
    </xf>
    <xf numFmtId="0" fontId="2" fillId="0" borderId="9" xfId="0" applyFont="1" applyBorder="1" applyAlignment="1">
      <alignment horizontal="center" vertical="center" wrapText="1"/>
    </xf>
    <xf numFmtId="0" fontId="2" fillId="0" borderId="14" xfId="0" applyFont="1" applyBorder="1" applyAlignment="1">
      <alignment horizontal="center" vertical="center" wrapText="1"/>
    </xf>
    <xf numFmtId="0" fontId="22" fillId="0" borderId="9" xfId="0" applyFont="1" applyBorder="1" applyAlignment="1">
      <alignment horizontal="center" vertical="center" wrapText="1"/>
    </xf>
    <xf numFmtId="0" fontId="23" fillId="0" borderId="14" xfId="0" applyFont="1" applyBorder="1" applyAlignment="1">
      <alignment horizontal="center" vertical="center" wrapText="1"/>
    </xf>
    <xf numFmtId="168" fontId="44" fillId="0" borderId="14" xfId="0" applyNumberFormat="1" applyFont="1" applyBorder="1" applyAlignment="1">
      <alignment horizontal="center" vertical="center" wrapText="1"/>
    </xf>
    <xf numFmtId="168" fontId="44" fillId="0" borderId="11" xfId="0" applyNumberFormat="1" applyFont="1" applyBorder="1" applyAlignment="1">
      <alignment horizontal="center" vertical="center" wrapText="1"/>
    </xf>
    <xf numFmtId="0" fontId="27" fillId="0" borderId="0" xfId="0" applyFont="1" applyAlignment="1">
      <alignment horizontal="left" vertical="center"/>
    </xf>
    <xf numFmtId="0" fontId="0" fillId="6" borderId="0" xfId="0" applyFill="1" applyBorder="1" applyAlignment="1">
      <alignment horizontal="center" vertical="center"/>
    </xf>
    <xf numFmtId="2" fontId="0" fillId="6" borderId="1" xfId="0" applyNumberFormat="1" applyFill="1" applyBorder="1" applyAlignment="1">
      <alignment horizontal="center" vertical="center"/>
    </xf>
    <xf numFmtId="0" fontId="5"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left" vertical="center"/>
    </xf>
    <xf numFmtId="0" fontId="29" fillId="0" borderId="0" xfId="0" applyFont="1" applyAlignment="1">
      <alignment horizontal="left" vertical="center"/>
    </xf>
    <xf numFmtId="0" fontId="47" fillId="0" borderId="1" xfId="0" applyFont="1" applyBorder="1" applyAlignment="1">
      <alignment horizontal="center" vertical="center"/>
    </xf>
    <xf numFmtId="0" fontId="49" fillId="8" borderId="1" xfId="0" applyFont="1" applyFill="1" applyBorder="1" applyAlignment="1">
      <alignment horizontal="center" vertical="center"/>
    </xf>
    <xf numFmtId="0" fontId="45" fillId="13" borderId="1" xfId="0" applyFont="1" applyFill="1" applyBorder="1" applyAlignment="1">
      <alignment horizontal="center" vertical="center" wrapText="1"/>
    </xf>
    <xf numFmtId="0" fontId="46" fillId="8" borderId="1" xfId="0" applyFont="1" applyFill="1" applyBorder="1" applyAlignment="1">
      <alignment horizontal="left" vertical="center" wrapText="1"/>
    </xf>
    <xf numFmtId="0" fontId="47" fillId="0" borderId="1" xfId="0" applyFont="1" applyBorder="1" applyAlignment="1">
      <alignment horizontal="center" vertical="center" wrapText="1"/>
    </xf>
    <xf numFmtId="14" fontId="47" fillId="0" borderId="1" xfId="0" applyNumberFormat="1" applyFont="1" applyBorder="1" applyAlignment="1">
      <alignment horizontal="center" vertical="center" wrapText="1"/>
    </xf>
    <xf numFmtId="0" fontId="46" fillId="8" borderId="16" xfId="0" applyFont="1" applyFill="1" applyBorder="1" applyAlignment="1">
      <alignment horizontal="left" vertical="center"/>
    </xf>
    <xf numFmtId="0" fontId="46" fillId="8" borderId="35" xfId="0" applyFont="1" applyFill="1" applyBorder="1" applyAlignment="1">
      <alignment horizontal="left" vertical="center"/>
    </xf>
    <xf numFmtId="0" fontId="46" fillId="8" borderId="21" xfId="0" applyFont="1" applyFill="1" applyBorder="1" applyAlignment="1">
      <alignment horizontal="left" vertical="center"/>
    </xf>
    <xf numFmtId="0" fontId="48" fillId="0" borderId="1" xfId="0" applyFont="1" applyBorder="1" applyAlignment="1">
      <alignment horizontal="center" vertical="center"/>
    </xf>
    <xf numFmtId="0" fontId="46" fillId="0" borderId="1" xfId="0" applyFont="1" applyBorder="1" applyAlignment="1">
      <alignment horizontal="center" vertical="center" wrapText="1"/>
    </xf>
    <xf numFmtId="0" fontId="49" fillId="8" borderId="1" xfId="0" applyFont="1" applyFill="1" applyBorder="1" applyAlignment="1">
      <alignment horizontal="center" vertical="center" wrapText="1"/>
    </xf>
    <xf numFmtId="0" fontId="45" fillId="0" borderId="1" xfId="0" applyFont="1" applyBorder="1" applyAlignment="1">
      <alignment horizontal="center" vertical="center" wrapText="1"/>
    </xf>
    <xf numFmtId="0" fontId="46" fillId="0" borderId="1" xfId="0" applyFont="1" applyBorder="1" applyAlignment="1">
      <alignment horizontal="left" vertical="center" wrapText="1"/>
    </xf>
    <xf numFmtId="0" fontId="50" fillId="0" borderId="1" xfId="0" applyFont="1" applyBorder="1" applyAlignment="1">
      <alignment horizontal="left" vertical="top" wrapText="1"/>
    </xf>
    <xf numFmtId="0" fontId="46" fillId="0" borderId="1" xfId="0" applyFont="1" applyBorder="1" applyAlignment="1">
      <alignment horizontal="center" vertical="center"/>
    </xf>
    <xf numFmtId="0" fontId="51" fillId="0" borderId="1" xfId="0" applyFont="1" applyBorder="1" applyAlignment="1">
      <alignment horizontal="center" vertical="center" wrapText="1"/>
    </xf>
    <xf numFmtId="0" fontId="51" fillId="0" borderId="1" xfId="0" applyFont="1" applyBorder="1" applyAlignment="1">
      <alignment horizontal="center" vertical="center"/>
    </xf>
    <xf numFmtId="0" fontId="0" fillId="0" borderId="1" xfId="0" applyBorder="1"/>
    <xf numFmtId="14" fontId="48" fillId="0" borderId="1" xfId="0" applyNumberFormat="1" applyFont="1" applyBorder="1" applyAlignment="1">
      <alignment horizontal="center" vertical="center"/>
    </xf>
    <xf numFmtId="169" fontId="0" fillId="0" borderId="1" xfId="0" applyNumberFormat="1" applyBorder="1" applyAlignment="1">
      <alignment horizontal="center" vertical="center"/>
    </xf>
    <xf numFmtId="0" fontId="46" fillId="0" borderId="1" xfId="0" applyFont="1" applyBorder="1" applyAlignment="1">
      <alignment horizontal="left" vertical="center"/>
    </xf>
    <xf numFmtId="0" fontId="48" fillId="0" borderId="1" xfId="0" applyFont="1" applyBorder="1" applyAlignment="1">
      <alignment horizontal="left" vertical="center"/>
    </xf>
    <xf numFmtId="0" fontId="52" fillId="0" borderId="1" xfId="0" applyFont="1" applyBorder="1" applyAlignment="1">
      <alignment horizontal="center" vertical="center"/>
    </xf>
    <xf numFmtId="0" fontId="49" fillId="17" borderId="1" xfId="0" applyFont="1" applyFill="1" applyBorder="1" applyAlignment="1">
      <alignment horizontal="center" vertical="center" wrapText="1"/>
    </xf>
    <xf numFmtId="0" fontId="49" fillId="17" borderId="1" xfId="0" applyFont="1" applyFill="1" applyBorder="1" applyAlignment="1">
      <alignment horizontal="center" vertical="center"/>
    </xf>
    <xf numFmtId="0" fontId="5" fillId="0" borderId="8" xfId="0" applyNumberFormat="1" applyFont="1" applyBorder="1" applyAlignment="1">
      <alignment horizontal="right" vertical="center"/>
    </xf>
    <xf numFmtId="0" fontId="36" fillId="0" borderId="16" xfId="0" applyNumberFormat="1" applyFont="1" applyFill="1" applyBorder="1" applyAlignment="1">
      <alignment horizontal="center" vertical="center"/>
    </xf>
    <xf numFmtId="14" fontId="36" fillId="0" borderId="16" xfId="0" applyNumberFormat="1" applyFont="1" applyFill="1" applyBorder="1" applyAlignment="1">
      <alignment horizontal="center" vertical="center"/>
    </xf>
    <xf numFmtId="14" fontId="36" fillId="0" borderId="35" xfId="0" applyNumberFormat="1" applyFont="1" applyFill="1" applyBorder="1" applyAlignment="1">
      <alignment horizontal="center" vertical="center"/>
    </xf>
    <xf numFmtId="14" fontId="36" fillId="0" borderId="21" xfId="0" applyNumberFormat="1" applyFont="1" applyFill="1" applyBorder="1" applyAlignment="1">
      <alignment horizontal="center" vertical="center"/>
    </xf>
    <xf numFmtId="0" fontId="5" fillId="0" borderId="1" xfId="0" applyNumberFormat="1" applyFont="1" applyFill="1" applyBorder="1" applyAlignment="1">
      <alignment horizontal="center" vertical="center" wrapText="1"/>
    </xf>
    <xf numFmtId="0" fontId="5" fillId="0" borderId="1" xfId="0" applyNumberFormat="1" applyFont="1" applyBorder="1" applyAlignment="1">
      <alignment horizontal="center" vertical="top" wrapText="1"/>
    </xf>
    <xf numFmtId="0" fontId="5" fillId="0" borderId="28" xfId="0" applyNumberFormat="1" applyFont="1" applyBorder="1" applyAlignment="1">
      <alignment horizontal="center" vertical="top" wrapText="1"/>
    </xf>
    <xf numFmtId="14" fontId="5" fillId="0" borderId="1" xfId="0" applyNumberFormat="1" applyFont="1" applyBorder="1" applyAlignment="1">
      <alignment horizontal="center" vertical="top" wrapText="1"/>
    </xf>
    <xf numFmtId="14" fontId="5" fillId="0" borderId="28" xfId="0" applyNumberFormat="1" applyFont="1" applyBorder="1" applyAlignment="1">
      <alignment horizontal="center" vertical="top" wrapText="1"/>
    </xf>
    <xf numFmtId="0" fontId="1" fillId="0" borderId="11" xfId="1" applyFill="1" applyBorder="1" applyAlignment="1" applyProtection="1">
      <alignment horizontal="center" vertical="center"/>
      <protection locked="0"/>
    </xf>
    <xf numFmtId="0" fontId="5" fillId="0" borderId="15" xfId="0" applyNumberFormat="1" applyFont="1" applyBorder="1" applyAlignment="1">
      <alignment horizontal="center" vertical="center" wrapText="1"/>
    </xf>
    <xf numFmtId="0" fontId="5" fillId="6" borderId="0" xfId="0" applyFont="1" applyFill="1"/>
    <xf numFmtId="14" fontId="5" fillId="6" borderId="0" xfId="0" applyNumberFormat="1" applyFont="1" applyFill="1"/>
    <xf numFmtId="0" fontId="5" fillId="6" borderId="0" xfId="0" applyFont="1" applyFill="1" applyAlignment="1">
      <alignment wrapText="1"/>
    </xf>
    <xf numFmtId="0" fontId="5" fillId="6" borderId="0" xfId="0" applyFont="1" applyFill="1" applyAlignment="1">
      <alignment wrapText="1" shrinkToFit="1"/>
    </xf>
    <xf numFmtId="0" fontId="4" fillId="0" borderId="1" xfId="0" applyNumberFormat="1" applyFont="1" applyFill="1" applyBorder="1" applyAlignment="1">
      <alignment horizontal="center" vertical="center"/>
    </xf>
    <xf numFmtId="0" fontId="0" fillId="6" borderId="0" xfId="0" applyFill="1"/>
    <xf numFmtId="0" fontId="0" fillId="6" borderId="0" xfId="0" applyFill="1" applyAlignment="1">
      <alignment vertical="center"/>
    </xf>
    <xf numFmtId="0" fontId="49" fillId="6" borderId="0" xfId="0" applyFont="1" applyFill="1" applyAlignment="1">
      <alignment horizontal="left" vertical="center"/>
    </xf>
    <xf numFmtId="0" fontId="0" fillId="6" borderId="0" xfId="0" applyFill="1" applyAlignment="1">
      <alignment horizontal="left" vertical="center"/>
    </xf>
    <xf numFmtId="0" fontId="0" fillId="6" borderId="0" xfId="0" applyFill="1" applyAlignment="1">
      <alignment horizontal="center" vertical="center"/>
    </xf>
    <xf numFmtId="0" fontId="0" fillId="6" borderId="0" xfId="0" applyFill="1" applyAlignment="1">
      <alignment horizontal="left" vertical="center"/>
    </xf>
  </cellXfs>
  <cellStyles count="3">
    <cellStyle name="Hipervínculo" xfId="1" builtinId="8"/>
    <cellStyle name="Normal" xfId="0" builtinId="0"/>
    <cellStyle name="Normal 2" xfId="2"/>
  </cellStyles>
  <dxfs count="5">
    <dxf>
      <font>
        <condense val="0"/>
        <extend val="0"/>
        <color indexed="11"/>
      </font>
    </dxf>
    <dxf>
      <font>
        <condense val="0"/>
        <extend val="0"/>
        <color indexed="47"/>
      </font>
    </dxf>
    <dxf>
      <font>
        <condense val="0"/>
        <extend val="0"/>
        <color indexed="9"/>
      </font>
    </dxf>
    <dxf>
      <font>
        <condense val="0"/>
        <extend val="0"/>
        <color auto="1"/>
      </font>
      <fill>
        <patternFill>
          <bgColor indexed="10"/>
        </patternFill>
      </fill>
    </dxf>
    <dxf>
      <font>
        <condense val="0"/>
        <extend val="0"/>
        <color auto="1"/>
      </font>
      <fill>
        <patternFill>
          <bgColor indexed="47"/>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piezas OK</c:v>
          </c:tx>
          <c:spPr>
            <a:solidFill>
              <a:srgbClr val="15F740"/>
            </a:solidFill>
          </c:spPr>
          <c:invertIfNegative val="0"/>
          <c:cat>
            <c:numRef>
              <c:f>Información!$H$2:$AL$2</c:f>
              <c:numCache>
                <c:formatCode>[$-C0A]d\-mmm;@</c:formatCode>
                <c:ptCount val="31"/>
              </c:numCache>
            </c:numRef>
          </c:cat>
          <c:val>
            <c:numRef>
              <c:f>Información!$I$11:$AL$11</c:f>
              <c:numCache>
                <c:formatCode>0</c:formatCode>
                <c:ptCount val="30"/>
              </c:numCache>
            </c:numRef>
          </c:val>
        </c:ser>
        <c:ser>
          <c:idx val="1"/>
          <c:order val="1"/>
          <c:tx>
            <c:v>piezas NOK</c:v>
          </c:tx>
          <c:spPr>
            <a:solidFill>
              <a:srgbClr val="FF0000"/>
            </a:solidFill>
          </c:spPr>
          <c:invertIfNegative val="0"/>
          <c:cat>
            <c:numRef>
              <c:f>Información!$H$2:$AL$2</c:f>
              <c:numCache>
                <c:formatCode>[$-C0A]d\-mmm;@</c:formatCode>
                <c:ptCount val="31"/>
              </c:numCache>
            </c:numRef>
          </c:cat>
          <c:val>
            <c:numRef>
              <c:f>Información!$I$12:$AL$12</c:f>
              <c:numCache>
                <c:formatCode>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ser>
          <c:idx val="2"/>
          <c:order val="2"/>
          <c:tx>
            <c:v>piezas RECUPERADAS</c:v>
          </c:tx>
          <c:spPr>
            <a:solidFill>
              <a:srgbClr val="FFC000"/>
            </a:solidFill>
          </c:spPr>
          <c:invertIfNegative val="0"/>
          <c:cat>
            <c:numRef>
              <c:f>Información!$H$2:$AL$2</c:f>
              <c:numCache>
                <c:formatCode>[$-C0A]d\-mmm;@</c:formatCode>
                <c:ptCount val="31"/>
              </c:numCache>
            </c:numRef>
          </c:cat>
          <c:val>
            <c:numRef>
              <c:f>Información!$I$15:$AL$15</c:f>
              <c:numCache>
                <c:formatCode>0</c:formatCode>
                <c:ptCount val="30"/>
              </c:numCache>
            </c:numRef>
          </c:val>
        </c:ser>
        <c:dLbls>
          <c:showLegendKey val="0"/>
          <c:showVal val="0"/>
          <c:showCatName val="0"/>
          <c:showSerName val="0"/>
          <c:showPercent val="0"/>
          <c:showBubbleSize val="0"/>
        </c:dLbls>
        <c:gapWidth val="150"/>
        <c:axId val="87705088"/>
        <c:axId val="87706624"/>
      </c:barChart>
      <c:catAx>
        <c:axId val="87705088"/>
        <c:scaling>
          <c:orientation val="minMax"/>
        </c:scaling>
        <c:delete val="0"/>
        <c:axPos val="b"/>
        <c:numFmt formatCode="[$-C0A]d\-mmm;@" sourceLinked="0"/>
        <c:majorTickMark val="out"/>
        <c:minorTickMark val="none"/>
        <c:tickLblPos val="nextTo"/>
        <c:txPr>
          <a:bodyPr rot="-2700000" vert="horz"/>
          <a:lstStyle/>
          <a:p>
            <a:pPr>
              <a:defRPr sz="1000" b="0" i="0" u="none" strike="noStrike" baseline="0">
                <a:solidFill>
                  <a:srgbClr val="000000"/>
                </a:solidFill>
                <a:latin typeface="Calibri"/>
                <a:ea typeface="Calibri"/>
                <a:cs typeface="Calibri"/>
              </a:defRPr>
            </a:pPr>
            <a:endParaRPr lang="es-ES"/>
          </a:p>
        </c:txPr>
        <c:crossAx val="87706624"/>
        <c:crosses val="autoZero"/>
        <c:auto val="1"/>
        <c:lblAlgn val="ctr"/>
        <c:lblOffset val="100"/>
        <c:tickLblSkip val="2"/>
        <c:tickMarkSkip val="1"/>
        <c:noMultiLvlLbl val="1"/>
      </c:catAx>
      <c:valAx>
        <c:axId val="87706624"/>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87705088"/>
        <c:crosses val="autoZero"/>
        <c:crossBetween val="between"/>
      </c:valAx>
    </c:plotArea>
    <c:legend>
      <c:legendPos val="r"/>
      <c:layout/>
      <c:overlay val="0"/>
      <c:txPr>
        <a:bodyPr/>
        <a:lstStyle/>
        <a:p>
          <a:pPr>
            <a:defRPr sz="845" b="0" i="0" u="none" strike="noStrike" baseline="0">
              <a:solidFill>
                <a:srgbClr val="000000"/>
              </a:solidFill>
              <a:latin typeface="Calibri"/>
              <a:ea typeface="Calibri"/>
              <a:cs typeface="Calibri"/>
            </a:defRPr>
          </a:pPr>
          <a:endParaRPr lang="es-E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s-ES"/>
    </a:p>
  </c:txPr>
  <c:printSettings>
    <c:headerFooter/>
    <c:pageMargins b="0.75" l="0.7" r="0.7" t="0.75" header="0.3" footer="0.3"/>
    <c:pageSetup paperSize="9" orientation="landscape"/>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1" Type="http://schemas.openxmlformats.org/officeDocument/2006/relationships/image" Target="../media/image4.jpeg"/></Relationships>
</file>

<file path=xl/drawings/_rels/drawing8.xml.rels><?xml version="1.0" encoding="UTF-8" standalone="yes"?>
<Relationships xmlns="http://schemas.openxmlformats.org/package/2006/relationships"><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6.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editAs="oneCell">
    <xdr:from>
      <xdr:col>0</xdr:col>
      <xdr:colOff>381000</xdr:colOff>
      <xdr:row>42</xdr:row>
      <xdr:rowOff>123825</xdr:rowOff>
    </xdr:from>
    <xdr:to>
      <xdr:col>2</xdr:col>
      <xdr:colOff>342900</xdr:colOff>
      <xdr:row>49</xdr:row>
      <xdr:rowOff>152400</xdr:rowOff>
    </xdr:to>
    <xdr:pic>
      <xdr:nvPicPr>
        <xdr:cNvPr id="744592" name="Picture 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934" t="5084" r="5383" b="4237"/>
        <a:stretch>
          <a:fillRect/>
        </a:stretch>
      </xdr:blipFill>
      <xdr:spPr bwMode="auto">
        <a:xfrm>
          <a:off x="381000" y="8572500"/>
          <a:ext cx="204787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447675</xdr:colOff>
      <xdr:row>43</xdr:row>
      <xdr:rowOff>19050</xdr:rowOff>
    </xdr:from>
    <xdr:to>
      <xdr:col>3</xdr:col>
      <xdr:colOff>85725</xdr:colOff>
      <xdr:row>50</xdr:row>
      <xdr:rowOff>47625</xdr:rowOff>
    </xdr:to>
    <xdr:pic>
      <xdr:nvPicPr>
        <xdr:cNvPr id="744593" name="Picture 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934" t="5084" r="5383" b="4237"/>
        <a:stretch>
          <a:fillRect/>
        </a:stretch>
      </xdr:blipFill>
      <xdr:spPr bwMode="auto">
        <a:xfrm>
          <a:off x="447675" y="8629650"/>
          <a:ext cx="221932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114300</xdr:colOff>
      <xdr:row>0</xdr:row>
      <xdr:rowOff>19050</xdr:rowOff>
    </xdr:from>
    <xdr:to>
      <xdr:col>0</xdr:col>
      <xdr:colOff>1428750</xdr:colOff>
      <xdr:row>0</xdr:row>
      <xdr:rowOff>800100</xdr:rowOff>
    </xdr:to>
    <xdr:pic>
      <xdr:nvPicPr>
        <xdr:cNvPr id="744594" name="1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4300" y="19050"/>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45720</xdr:colOff>
      <xdr:row>6</xdr:row>
      <xdr:rowOff>30480</xdr:rowOff>
    </xdr:from>
    <xdr:to>
      <xdr:col>6</xdr:col>
      <xdr:colOff>310581</xdr:colOff>
      <xdr:row>6</xdr:row>
      <xdr:rowOff>114300</xdr:rowOff>
    </xdr:to>
    <xdr:sp macro="" textlink="">
      <xdr:nvSpPr>
        <xdr:cNvPr id="3" name="2 Rectángulo redondeado"/>
        <xdr:cNvSpPr/>
      </xdr:nvSpPr>
      <xdr:spPr>
        <a:xfrm>
          <a:off x="5882640" y="2026920"/>
          <a:ext cx="274320"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38100</xdr:colOff>
      <xdr:row>7</xdr:row>
      <xdr:rowOff>38100</xdr:rowOff>
    </xdr:from>
    <xdr:to>
      <xdr:col>6</xdr:col>
      <xdr:colOff>302961</xdr:colOff>
      <xdr:row>7</xdr:row>
      <xdr:rowOff>121920</xdr:rowOff>
    </xdr:to>
    <xdr:sp macro="" textlink="">
      <xdr:nvSpPr>
        <xdr:cNvPr id="4" name="3 Rectángulo redondeado"/>
        <xdr:cNvSpPr/>
      </xdr:nvSpPr>
      <xdr:spPr>
        <a:xfrm>
          <a:off x="5875020" y="2217420"/>
          <a:ext cx="274320"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45720</xdr:colOff>
      <xdr:row>8</xdr:row>
      <xdr:rowOff>43815</xdr:rowOff>
    </xdr:from>
    <xdr:to>
      <xdr:col>6</xdr:col>
      <xdr:colOff>196327</xdr:colOff>
      <xdr:row>8</xdr:row>
      <xdr:rowOff>112395</xdr:rowOff>
    </xdr:to>
    <xdr:sp macro="" textlink="">
      <xdr:nvSpPr>
        <xdr:cNvPr id="5" name="4 Rectángulo redondeado"/>
        <xdr:cNvSpPr/>
      </xdr:nvSpPr>
      <xdr:spPr>
        <a:xfrm>
          <a:off x="5882640" y="2415540"/>
          <a:ext cx="160020"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289560</xdr:colOff>
      <xdr:row>8</xdr:row>
      <xdr:rowOff>43815</xdr:rowOff>
    </xdr:from>
    <xdr:to>
      <xdr:col>6</xdr:col>
      <xdr:colOff>440167</xdr:colOff>
      <xdr:row>8</xdr:row>
      <xdr:rowOff>112395</xdr:rowOff>
    </xdr:to>
    <xdr:sp macro="" textlink="">
      <xdr:nvSpPr>
        <xdr:cNvPr id="6" name="5 Rectángulo redondeado"/>
        <xdr:cNvSpPr/>
      </xdr:nvSpPr>
      <xdr:spPr>
        <a:xfrm>
          <a:off x="6126480" y="2415540"/>
          <a:ext cx="160020"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516255</xdr:colOff>
      <xdr:row>8</xdr:row>
      <xdr:rowOff>43815</xdr:rowOff>
    </xdr:from>
    <xdr:to>
      <xdr:col>6</xdr:col>
      <xdr:colOff>666862</xdr:colOff>
      <xdr:row>8</xdr:row>
      <xdr:rowOff>112395</xdr:rowOff>
    </xdr:to>
    <xdr:sp macro="" textlink="">
      <xdr:nvSpPr>
        <xdr:cNvPr id="7" name="6 Rectángulo redondeado"/>
        <xdr:cNvSpPr/>
      </xdr:nvSpPr>
      <xdr:spPr>
        <a:xfrm>
          <a:off x="6362700" y="2415540"/>
          <a:ext cx="160020"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38100</xdr:colOff>
      <xdr:row>9</xdr:row>
      <xdr:rowOff>38100</xdr:rowOff>
    </xdr:from>
    <xdr:to>
      <xdr:col>6</xdr:col>
      <xdr:colOff>302961</xdr:colOff>
      <xdr:row>9</xdr:row>
      <xdr:rowOff>121920</xdr:rowOff>
    </xdr:to>
    <xdr:sp macro="" textlink="">
      <xdr:nvSpPr>
        <xdr:cNvPr id="8" name="7 Rectángulo redondeado"/>
        <xdr:cNvSpPr/>
      </xdr:nvSpPr>
      <xdr:spPr>
        <a:xfrm>
          <a:off x="5875020" y="2583180"/>
          <a:ext cx="274320"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219075</xdr:colOff>
      <xdr:row>6</xdr:row>
      <xdr:rowOff>30480</xdr:rowOff>
    </xdr:from>
    <xdr:to>
      <xdr:col>7</xdr:col>
      <xdr:colOff>483936</xdr:colOff>
      <xdr:row>6</xdr:row>
      <xdr:rowOff>114300</xdr:rowOff>
    </xdr:to>
    <xdr:sp macro="" textlink="">
      <xdr:nvSpPr>
        <xdr:cNvPr id="9" name="8 Rectángulo redondeado"/>
        <xdr:cNvSpPr/>
      </xdr:nvSpPr>
      <xdr:spPr>
        <a:xfrm>
          <a:off x="6835140" y="2026920"/>
          <a:ext cx="274320"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7</xdr:col>
      <xdr:colOff>226695</xdr:colOff>
      <xdr:row>9</xdr:row>
      <xdr:rowOff>38100</xdr:rowOff>
    </xdr:from>
    <xdr:to>
      <xdr:col>7</xdr:col>
      <xdr:colOff>491556</xdr:colOff>
      <xdr:row>9</xdr:row>
      <xdr:rowOff>121920</xdr:rowOff>
    </xdr:to>
    <xdr:sp macro="" textlink="">
      <xdr:nvSpPr>
        <xdr:cNvPr id="10" name="9 Rectángulo redondeado"/>
        <xdr:cNvSpPr/>
      </xdr:nvSpPr>
      <xdr:spPr>
        <a:xfrm>
          <a:off x="6842760" y="2583180"/>
          <a:ext cx="274320"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editAs="oneCell">
    <xdr:from>
      <xdr:col>0</xdr:col>
      <xdr:colOff>95250</xdr:colOff>
      <xdr:row>0</xdr:row>
      <xdr:rowOff>66675</xdr:rowOff>
    </xdr:from>
    <xdr:to>
      <xdr:col>0</xdr:col>
      <xdr:colOff>1409700</xdr:colOff>
      <xdr:row>0</xdr:row>
      <xdr:rowOff>847725</xdr:rowOff>
    </xdr:to>
    <xdr:pic>
      <xdr:nvPicPr>
        <xdr:cNvPr id="731775" name="10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666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7</xdr:col>
      <xdr:colOff>45720</xdr:colOff>
      <xdr:row>6</xdr:row>
      <xdr:rowOff>30480</xdr:rowOff>
    </xdr:from>
    <xdr:to>
      <xdr:col>7</xdr:col>
      <xdr:colOff>310581</xdr:colOff>
      <xdr:row>6</xdr:row>
      <xdr:rowOff>114300</xdr:rowOff>
    </xdr:to>
    <xdr:sp macro="" textlink="">
      <xdr:nvSpPr>
        <xdr:cNvPr id="3" name="2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4" name="3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5" name="4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6" name="5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7" name="6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8" name="7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9" name="8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10" name="9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11" name="10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12" name="11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13" name="12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14" name="13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15" name="14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16" name="15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17" name="16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18" name="17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19" name="18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20" name="19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21" name="20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22" name="21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23" name="22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24" name="23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25" name="24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26" name="25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27" name="26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28" name="27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29" name="28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30" name="29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31" name="30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32" name="31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33" name="32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34" name="33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36" name="35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37" name="36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38" name="37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39" name="38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40" name="39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41" name="40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42" name="41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43" name="42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44" name="43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45" name="44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46" name="45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47" name="46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48" name="47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49" name="48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50" name="49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51" name="50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52" name="51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53" name="52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54" name="53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55" name="54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56" name="55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57" name="56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58" name="57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59" name="58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60" name="59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61" name="60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62" name="61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63" name="62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64" name="63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65" name="64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66" name="65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67" name="66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editAs="oneCell">
    <xdr:from>
      <xdr:col>1</xdr:col>
      <xdr:colOff>114300</xdr:colOff>
      <xdr:row>0</xdr:row>
      <xdr:rowOff>95250</xdr:rowOff>
    </xdr:from>
    <xdr:to>
      <xdr:col>1</xdr:col>
      <xdr:colOff>1428750</xdr:colOff>
      <xdr:row>0</xdr:row>
      <xdr:rowOff>876300</xdr:rowOff>
    </xdr:to>
    <xdr:pic>
      <xdr:nvPicPr>
        <xdr:cNvPr id="799660"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4325" y="95250"/>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304800</xdr:colOff>
      <xdr:row>0</xdr:row>
      <xdr:rowOff>28575</xdr:rowOff>
    </xdr:from>
    <xdr:to>
      <xdr:col>7</xdr:col>
      <xdr:colOff>257175</xdr:colOff>
      <xdr:row>0</xdr:row>
      <xdr:rowOff>2238375</xdr:rowOff>
    </xdr:to>
    <xdr:pic>
      <xdr:nvPicPr>
        <xdr:cNvPr id="799766" name="5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24075" y="28575"/>
          <a:ext cx="3752850" cy="2209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85725</xdr:colOff>
      <xdr:row>1</xdr:row>
      <xdr:rowOff>85725</xdr:rowOff>
    </xdr:from>
    <xdr:to>
      <xdr:col>10</xdr:col>
      <xdr:colOff>647700</xdr:colOff>
      <xdr:row>23</xdr:row>
      <xdr:rowOff>85725</xdr:rowOff>
    </xdr:to>
    <xdr:graphicFrame macro="">
      <xdr:nvGraphicFramePr>
        <xdr:cNvPr id="711852" name="1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152400</xdr:colOff>
      <xdr:row>0</xdr:row>
      <xdr:rowOff>142875</xdr:rowOff>
    </xdr:from>
    <xdr:to>
      <xdr:col>1</xdr:col>
      <xdr:colOff>704850</xdr:colOff>
      <xdr:row>0</xdr:row>
      <xdr:rowOff>923925</xdr:rowOff>
    </xdr:to>
    <xdr:pic>
      <xdr:nvPicPr>
        <xdr:cNvPr id="711853" name="3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2400" y="1428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161925</xdr:colOff>
      <xdr:row>0</xdr:row>
      <xdr:rowOff>47625</xdr:rowOff>
    </xdr:from>
    <xdr:to>
      <xdr:col>1</xdr:col>
      <xdr:colOff>714375</xdr:colOff>
      <xdr:row>0</xdr:row>
      <xdr:rowOff>828675</xdr:rowOff>
    </xdr:to>
    <xdr:pic>
      <xdr:nvPicPr>
        <xdr:cNvPr id="789524" name="2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1925" y="4762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104775</xdr:colOff>
      <xdr:row>0</xdr:row>
      <xdr:rowOff>0</xdr:rowOff>
    </xdr:from>
    <xdr:to>
      <xdr:col>2</xdr:col>
      <xdr:colOff>133350</xdr:colOff>
      <xdr:row>0</xdr:row>
      <xdr:rowOff>762000</xdr:rowOff>
    </xdr:to>
    <xdr:pic>
      <xdr:nvPicPr>
        <xdr:cNvPr id="713836" name="4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0"/>
          <a:ext cx="1276350" cy="762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1504950</xdr:colOff>
      <xdr:row>0</xdr:row>
      <xdr:rowOff>885825</xdr:rowOff>
    </xdr:to>
    <xdr:pic>
      <xdr:nvPicPr>
        <xdr:cNvPr id="797710" name="3 Imagen"/>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 y="38100"/>
          <a:ext cx="146685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161925</xdr:colOff>
      <xdr:row>0</xdr:row>
      <xdr:rowOff>57150</xdr:rowOff>
    </xdr:from>
    <xdr:to>
      <xdr:col>3</xdr:col>
      <xdr:colOff>152400</xdr:colOff>
      <xdr:row>0</xdr:row>
      <xdr:rowOff>323850</xdr:rowOff>
    </xdr:to>
    <xdr:pic>
      <xdr:nvPicPr>
        <xdr:cNvPr id="2" name="1 Imagen"/>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1925" y="57150"/>
          <a:ext cx="1666875"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38100</xdr:rowOff>
    </xdr:from>
    <xdr:to>
      <xdr:col>2</xdr:col>
      <xdr:colOff>419100</xdr:colOff>
      <xdr:row>1</xdr:row>
      <xdr:rowOff>419100</xdr:rowOff>
    </xdr:to>
    <xdr:pic>
      <xdr:nvPicPr>
        <xdr:cNvPr id="4" name="1 Imagen"/>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
          <a:ext cx="1666875" cy="838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352425</xdr:colOff>
      <xdr:row>0</xdr:row>
      <xdr:rowOff>161924</xdr:rowOff>
    </xdr:from>
    <xdr:to>
      <xdr:col>4</xdr:col>
      <xdr:colOff>352425</xdr:colOff>
      <xdr:row>1</xdr:row>
      <xdr:rowOff>304799</xdr:rowOff>
    </xdr:to>
    <xdr:pic>
      <xdr:nvPicPr>
        <xdr:cNvPr id="5" name="2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028825" y="161924"/>
          <a:ext cx="676275" cy="600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114300</xdr:colOff>
      <xdr:row>1</xdr:row>
      <xdr:rowOff>47625</xdr:rowOff>
    </xdr:from>
    <xdr:to>
      <xdr:col>4</xdr:col>
      <xdr:colOff>428625</xdr:colOff>
      <xdr:row>2</xdr:row>
      <xdr:rowOff>346407</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 y="352425"/>
          <a:ext cx="2676525" cy="4988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BO632"/>
  <sheetViews>
    <sheetView zoomScaleNormal="100" workbookViewId="0">
      <selection activeCell="A14" sqref="A14:I14"/>
    </sheetView>
  </sheetViews>
  <sheetFormatPr baseColWidth="10" defaultRowHeight="12.75" x14ac:dyDescent="0.2"/>
  <cols>
    <col min="1" max="1" width="23.85546875" style="52" customWidth="1"/>
    <col min="2" max="8" width="7.42578125" style="52" customWidth="1"/>
    <col min="9" max="9" width="11.5703125" style="52" customWidth="1"/>
    <col min="10" max="11" width="11.42578125" style="485"/>
    <col min="12" max="12" width="10.42578125" style="485" customWidth="1"/>
    <col min="13" max="67" width="11.42578125" style="485"/>
    <col min="68" max="16384" width="11.42578125" style="52"/>
  </cols>
  <sheetData>
    <row r="1" spans="1:12" ht="63.75" customHeight="1" x14ac:dyDescent="0.2">
      <c r="A1" s="51"/>
      <c r="B1" s="149" t="s">
        <v>83</v>
      </c>
      <c r="C1" s="149"/>
      <c r="D1" s="149"/>
      <c r="E1" s="149"/>
      <c r="F1" s="149"/>
      <c r="G1" s="149"/>
      <c r="H1" s="150" t="s">
        <v>96</v>
      </c>
      <c r="I1" s="150"/>
    </row>
    <row r="2" spans="1:12" x14ac:dyDescent="0.2">
      <c r="A2" s="151" t="s">
        <v>82</v>
      </c>
      <c r="B2" s="151"/>
      <c r="C2" s="151"/>
      <c r="D2" s="151"/>
      <c r="E2" s="151"/>
      <c r="F2" s="151"/>
      <c r="G2" s="151"/>
      <c r="H2" s="151"/>
      <c r="I2" s="151"/>
    </row>
    <row r="3" spans="1:12" ht="14.25" x14ac:dyDescent="0.2">
      <c r="A3" s="8" t="s">
        <v>14</v>
      </c>
      <c r="B3" s="474" t="str">
        <f>IF(AND(ISBLANK('Orden de Pedido'!B12)),"",'Orden de Pedido'!B12)</f>
        <v/>
      </c>
      <c r="C3" s="152"/>
      <c r="D3" s="152"/>
      <c r="E3" s="152"/>
      <c r="F3" s="152"/>
      <c r="G3" s="152"/>
      <c r="H3" s="152"/>
      <c r="I3" s="153"/>
    </row>
    <row r="4" spans="1:12" ht="14.25" x14ac:dyDescent="0.2">
      <c r="A4" s="8" t="s">
        <v>15</v>
      </c>
      <c r="B4" s="474" t="str">
        <f>IF(AND(ISBLANK('Orden de Pedido'!B13)),"",'Orden de Pedido'!B13)</f>
        <v/>
      </c>
      <c r="C4" s="152"/>
      <c r="D4" s="152"/>
      <c r="E4" s="152"/>
      <c r="F4" s="152"/>
      <c r="G4" s="152"/>
      <c r="H4" s="152"/>
      <c r="I4" s="153"/>
    </row>
    <row r="5" spans="1:12" ht="14.25" x14ac:dyDescent="0.2">
      <c r="A5" s="8" t="s">
        <v>16</v>
      </c>
      <c r="B5" s="474" t="str">
        <f>IF(AND(ISBLANK('Orden de Pedido'!B14)),"",'Orden de Pedido'!B14)</f>
        <v/>
      </c>
      <c r="C5" s="152"/>
      <c r="D5" s="152"/>
      <c r="E5" s="152"/>
      <c r="F5" s="152"/>
      <c r="G5" s="152"/>
      <c r="H5" s="152"/>
      <c r="I5" s="153"/>
    </row>
    <row r="6" spans="1:12" ht="14.25" x14ac:dyDescent="0.2">
      <c r="A6" s="8" t="s">
        <v>17</v>
      </c>
      <c r="B6" s="474" t="str">
        <f>IF(AND(ISBLANK('Orden de Pedido'!B15)),"",'Orden de Pedido'!B15)</f>
        <v/>
      </c>
      <c r="C6" s="152"/>
      <c r="D6" s="152"/>
      <c r="E6" s="152"/>
      <c r="F6" s="152"/>
      <c r="G6" s="152"/>
      <c r="H6" s="152"/>
      <c r="I6" s="153"/>
    </row>
    <row r="7" spans="1:12" ht="14.25" x14ac:dyDescent="0.2">
      <c r="A7" s="41" t="s">
        <v>18</v>
      </c>
      <c r="B7" s="475" t="str">
        <f>IF(AND(ISBLANK('Orden de Pedido'!B16)),"",'Orden de Pedido'!B16)</f>
        <v/>
      </c>
      <c r="C7" s="476"/>
      <c r="D7" s="476"/>
      <c r="E7" s="476"/>
      <c r="F7" s="476"/>
      <c r="G7" s="476"/>
      <c r="H7" s="476"/>
      <c r="I7" s="477"/>
      <c r="L7" s="486"/>
    </row>
    <row r="8" spans="1:12" x14ac:dyDescent="0.2">
      <c r="A8" s="151" t="s">
        <v>19</v>
      </c>
      <c r="B8" s="151"/>
      <c r="C8" s="151"/>
      <c r="D8" s="151"/>
      <c r="E8" s="151"/>
      <c r="F8" s="151"/>
      <c r="G8" s="151"/>
      <c r="H8" s="151"/>
      <c r="I8" s="151"/>
    </row>
    <row r="9" spans="1:12" ht="14.25" x14ac:dyDescent="0.2">
      <c r="A9" s="8" t="s">
        <v>14</v>
      </c>
      <c r="B9" s="474" t="str">
        <f>IF(AND(ISBLANK('Orden de Pedido'!G18)),"",'Orden de Pedido'!G18)</f>
        <v/>
      </c>
      <c r="C9" s="152"/>
      <c r="D9" s="152"/>
      <c r="E9" s="152"/>
      <c r="F9" s="152"/>
      <c r="G9" s="152"/>
      <c r="H9" s="152"/>
      <c r="I9" s="153"/>
    </row>
    <row r="10" spans="1:12" ht="14.25" x14ac:dyDescent="0.2">
      <c r="A10" s="8" t="s">
        <v>15</v>
      </c>
      <c r="B10" s="474" t="str">
        <f>IF(AND(ISBLANK('Orden de Pedido'!G19)),"",'Orden de Pedido'!G19)</f>
        <v/>
      </c>
      <c r="C10" s="152"/>
      <c r="D10" s="152"/>
      <c r="E10" s="152"/>
      <c r="F10" s="152"/>
      <c r="G10" s="152"/>
      <c r="H10" s="152"/>
      <c r="I10" s="153"/>
    </row>
    <row r="11" spans="1:12" ht="14.25" x14ac:dyDescent="0.2">
      <c r="A11" s="8" t="s">
        <v>16</v>
      </c>
      <c r="B11" s="474" t="str">
        <f>IF(AND(ISBLANK('Orden de Pedido'!G20)),"",'Orden de Pedido'!G20)</f>
        <v/>
      </c>
      <c r="C11" s="152"/>
      <c r="D11" s="152"/>
      <c r="E11" s="152"/>
      <c r="F11" s="152"/>
      <c r="G11" s="152"/>
      <c r="H11" s="152"/>
      <c r="I11" s="153"/>
    </row>
    <row r="12" spans="1:12" ht="14.25" x14ac:dyDescent="0.2">
      <c r="A12" s="8" t="s">
        <v>17</v>
      </c>
      <c r="B12" s="474" t="str">
        <f>IF(AND(ISBLANK('Orden de Pedido'!G21)),"",'Orden de Pedido'!G21)</f>
        <v/>
      </c>
      <c r="C12" s="152"/>
      <c r="D12" s="152"/>
      <c r="E12" s="152"/>
      <c r="F12" s="152"/>
      <c r="G12" s="152"/>
      <c r="H12" s="152"/>
      <c r="I12" s="153"/>
    </row>
    <row r="13" spans="1:12" x14ac:dyDescent="0.2">
      <c r="A13" s="155" t="s">
        <v>20</v>
      </c>
      <c r="B13" s="155"/>
      <c r="C13" s="155"/>
      <c r="D13" s="155"/>
      <c r="E13" s="155"/>
      <c r="F13" s="155"/>
      <c r="G13" s="155"/>
      <c r="H13" s="155"/>
      <c r="I13" s="155"/>
    </row>
    <row r="14" spans="1:12" ht="50.25" customHeight="1" x14ac:dyDescent="0.2">
      <c r="A14" s="478" t="str">
        <f>IF(AND(ISBLANK('Orden de Pedido'!A28)),"",'Orden de Pedido'!A28)</f>
        <v/>
      </c>
      <c r="B14" s="478"/>
      <c r="C14" s="478"/>
      <c r="D14" s="478"/>
      <c r="E14" s="478"/>
      <c r="F14" s="478"/>
      <c r="G14" s="478"/>
      <c r="H14" s="478"/>
      <c r="I14" s="478"/>
    </row>
    <row r="15" spans="1:12" x14ac:dyDescent="0.2">
      <c r="A15" s="156" t="s">
        <v>21</v>
      </c>
      <c r="B15" s="156"/>
      <c r="C15" s="156"/>
      <c r="D15" s="156"/>
      <c r="E15" s="156"/>
      <c r="F15" s="156"/>
      <c r="G15" s="156"/>
      <c r="H15" s="156"/>
      <c r="I15" s="156"/>
    </row>
    <row r="16" spans="1:12" x14ac:dyDescent="0.2">
      <c r="A16" s="8" t="s">
        <v>22</v>
      </c>
      <c r="B16" s="157"/>
      <c r="C16" s="157"/>
      <c r="D16" s="157"/>
      <c r="E16" s="157"/>
      <c r="F16" s="157"/>
      <c r="G16" s="157"/>
      <c r="H16" s="157"/>
      <c r="I16" s="157"/>
    </row>
    <row r="17" spans="1:9" x14ac:dyDescent="0.2">
      <c r="A17" s="8" t="s">
        <v>23</v>
      </c>
      <c r="B17" s="157"/>
      <c r="C17" s="157"/>
      <c r="D17" s="157"/>
      <c r="E17" s="157"/>
      <c r="F17" s="157"/>
      <c r="G17" s="157"/>
      <c r="H17" s="157"/>
      <c r="I17" s="157"/>
    </row>
    <row r="18" spans="1:9" x14ac:dyDescent="0.2">
      <c r="A18" s="8" t="s">
        <v>24</v>
      </c>
      <c r="B18" s="157"/>
      <c r="C18" s="157"/>
      <c r="D18" s="157"/>
      <c r="E18" s="157"/>
      <c r="F18" s="157"/>
      <c r="G18" s="157"/>
      <c r="H18" s="157"/>
      <c r="I18" s="157"/>
    </row>
    <row r="19" spans="1:9" x14ac:dyDescent="0.2">
      <c r="A19" s="8" t="s">
        <v>25</v>
      </c>
      <c r="B19" s="158"/>
      <c r="C19" s="159"/>
      <c r="D19" s="159"/>
      <c r="E19" s="159"/>
      <c r="F19" s="159"/>
      <c r="G19" s="159"/>
      <c r="H19" s="159"/>
      <c r="I19" s="159"/>
    </row>
    <row r="20" spans="1:9" x14ac:dyDescent="0.2">
      <c r="A20" s="8" t="s">
        <v>14</v>
      </c>
      <c r="B20" s="157"/>
      <c r="C20" s="157"/>
      <c r="D20" s="157"/>
      <c r="E20" s="157"/>
      <c r="F20" s="157"/>
      <c r="G20" s="157"/>
      <c r="H20" s="157"/>
      <c r="I20" s="157"/>
    </row>
    <row r="21" spans="1:9" x14ac:dyDescent="0.2">
      <c r="A21" s="8" t="s">
        <v>15</v>
      </c>
      <c r="B21" s="157"/>
      <c r="C21" s="157"/>
      <c r="D21" s="157"/>
      <c r="E21" s="157"/>
      <c r="F21" s="157"/>
      <c r="G21" s="157"/>
      <c r="H21" s="157"/>
      <c r="I21" s="157"/>
    </row>
    <row r="22" spans="1:9" x14ac:dyDescent="0.2">
      <c r="A22" s="39" t="s">
        <v>16</v>
      </c>
      <c r="B22" s="157"/>
      <c r="C22" s="157"/>
      <c r="D22" s="157"/>
      <c r="E22" s="157"/>
      <c r="F22" s="157"/>
      <c r="G22" s="157"/>
      <c r="H22" s="157"/>
      <c r="I22" s="157"/>
    </row>
    <row r="23" spans="1:9" x14ac:dyDescent="0.2">
      <c r="A23" s="39" t="s">
        <v>17</v>
      </c>
      <c r="B23" s="154"/>
      <c r="C23" s="154"/>
      <c r="D23" s="154"/>
      <c r="E23" s="154"/>
      <c r="F23" s="154"/>
      <c r="G23" s="154"/>
      <c r="H23" s="154"/>
      <c r="I23" s="154"/>
    </row>
    <row r="24" spans="1:9" x14ac:dyDescent="0.2">
      <c r="A24" s="8" t="s">
        <v>26</v>
      </c>
      <c r="B24" s="160"/>
      <c r="C24" s="160"/>
      <c r="D24" s="160"/>
      <c r="E24" s="160"/>
      <c r="F24" s="160"/>
      <c r="G24" s="160"/>
      <c r="H24" s="160"/>
      <c r="I24" s="160"/>
    </row>
    <row r="25" spans="1:9" x14ac:dyDescent="0.2">
      <c r="A25" s="8" t="s">
        <v>27</v>
      </c>
      <c r="B25" s="161"/>
      <c r="C25" s="162"/>
      <c r="D25" s="162"/>
      <c r="E25" s="162"/>
      <c r="F25" s="162"/>
      <c r="G25" s="162"/>
      <c r="H25" s="162"/>
      <c r="I25" s="163"/>
    </row>
    <row r="26" spans="1:9" x14ac:dyDescent="0.2">
      <c r="A26" s="39" t="s">
        <v>28</v>
      </c>
      <c r="B26" s="154"/>
      <c r="C26" s="154"/>
      <c r="D26" s="154"/>
      <c r="E26" s="154"/>
      <c r="F26" s="154"/>
      <c r="G26" s="154"/>
      <c r="H26" s="154"/>
      <c r="I26" s="154"/>
    </row>
    <row r="27" spans="1:9" x14ac:dyDescent="0.2">
      <c r="A27" s="39" t="s">
        <v>29</v>
      </c>
      <c r="B27" s="157"/>
      <c r="C27" s="157"/>
      <c r="D27" s="157"/>
      <c r="E27" s="157"/>
      <c r="F27" s="157"/>
      <c r="G27" s="157"/>
      <c r="H27" s="157"/>
      <c r="I27" s="157"/>
    </row>
    <row r="28" spans="1:9" ht="36.75" customHeight="1" x14ac:dyDescent="0.2">
      <c r="A28" s="40" t="s">
        <v>30</v>
      </c>
      <c r="B28" s="164"/>
      <c r="C28" s="165"/>
      <c r="D28" s="165"/>
      <c r="E28" s="165"/>
      <c r="F28" s="165"/>
      <c r="G28" s="165"/>
      <c r="H28" s="165"/>
      <c r="I28" s="166"/>
    </row>
    <row r="29" spans="1:9" x14ac:dyDescent="0.2">
      <c r="A29" s="39" t="s">
        <v>31</v>
      </c>
      <c r="B29" s="167" t="s">
        <v>32</v>
      </c>
      <c r="C29" s="168"/>
      <c r="D29" s="168"/>
      <c r="E29" s="168"/>
      <c r="F29" s="168"/>
      <c r="G29" s="168"/>
      <c r="H29" s="168"/>
      <c r="I29" s="169"/>
    </row>
    <row r="30" spans="1:9" x14ac:dyDescent="0.2">
      <c r="A30" s="40" t="s">
        <v>33</v>
      </c>
      <c r="B30" s="170" t="s">
        <v>34</v>
      </c>
      <c r="C30" s="170"/>
      <c r="D30" s="170"/>
      <c r="E30" s="170"/>
      <c r="F30" s="170"/>
      <c r="G30" s="170"/>
      <c r="H30" s="170"/>
      <c r="I30" s="170"/>
    </row>
    <row r="31" spans="1:9" ht="15" customHeight="1" x14ac:dyDescent="0.2">
      <c r="A31" s="171" t="s">
        <v>35</v>
      </c>
      <c r="B31" s="172"/>
      <c r="C31" s="172"/>
      <c r="D31" s="172"/>
      <c r="E31" s="172"/>
      <c r="F31" s="172"/>
      <c r="G31" s="172"/>
      <c r="H31" s="172"/>
      <c r="I31" s="173"/>
    </row>
    <row r="32" spans="1:9" x14ac:dyDescent="0.2">
      <c r="A32" s="174"/>
      <c r="B32" s="175"/>
      <c r="C32" s="175"/>
      <c r="D32" s="175"/>
      <c r="E32" s="175"/>
      <c r="F32" s="175"/>
      <c r="G32" s="175"/>
      <c r="H32" s="175"/>
      <c r="I32" s="176"/>
    </row>
    <row r="33" spans="1:9" x14ac:dyDescent="0.2">
      <c r="A33" s="174"/>
      <c r="B33" s="175"/>
      <c r="C33" s="175"/>
      <c r="D33" s="175"/>
      <c r="E33" s="175"/>
      <c r="F33" s="175"/>
      <c r="G33" s="175"/>
      <c r="H33" s="175"/>
      <c r="I33" s="176"/>
    </row>
    <row r="34" spans="1:9" x14ac:dyDescent="0.2">
      <c r="A34" s="174"/>
      <c r="B34" s="175"/>
      <c r="C34" s="175"/>
      <c r="D34" s="175"/>
      <c r="E34" s="175"/>
      <c r="F34" s="175"/>
      <c r="G34" s="175"/>
      <c r="H34" s="175"/>
      <c r="I34" s="176"/>
    </row>
    <row r="35" spans="1:9" x14ac:dyDescent="0.2">
      <c r="A35" s="174"/>
      <c r="B35" s="175"/>
      <c r="C35" s="175"/>
      <c r="D35" s="175"/>
      <c r="E35" s="175"/>
      <c r="F35" s="175"/>
      <c r="G35" s="175"/>
      <c r="H35" s="175"/>
      <c r="I35" s="176"/>
    </row>
    <row r="36" spans="1:9" x14ac:dyDescent="0.2">
      <c r="A36" s="174"/>
      <c r="B36" s="175"/>
      <c r="C36" s="175"/>
      <c r="D36" s="175"/>
      <c r="E36" s="175"/>
      <c r="F36" s="175"/>
      <c r="G36" s="175"/>
      <c r="H36" s="175"/>
      <c r="I36" s="176"/>
    </row>
    <row r="37" spans="1:9" x14ac:dyDescent="0.2">
      <c r="A37" s="174"/>
      <c r="B37" s="175"/>
      <c r="C37" s="175"/>
      <c r="D37" s="175"/>
      <c r="E37" s="175"/>
      <c r="F37" s="175"/>
      <c r="G37" s="175"/>
      <c r="H37" s="175"/>
      <c r="I37" s="176"/>
    </row>
    <row r="38" spans="1:9" x14ac:dyDescent="0.2">
      <c r="A38" s="174"/>
      <c r="B38" s="175"/>
      <c r="C38" s="175"/>
      <c r="D38" s="175"/>
      <c r="E38" s="175"/>
      <c r="F38" s="175"/>
      <c r="G38" s="175"/>
      <c r="H38" s="175"/>
      <c r="I38" s="176"/>
    </row>
    <row r="39" spans="1:9" x14ac:dyDescent="0.2">
      <c r="A39" s="174"/>
      <c r="B39" s="175"/>
      <c r="C39" s="175"/>
      <c r="D39" s="175"/>
      <c r="E39" s="175"/>
      <c r="F39" s="175"/>
      <c r="G39" s="175"/>
      <c r="H39" s="175"/>
      <c r="I39" s="176"/>
    </row>
    <row r="40" spans="1:9" x14ac:dyDescent="0.2">
      <c r="A40" s="174"/>
      <c r="B40" s="175"/>
      <c r="C40" s="175"/>
      <c r="D40" s="175"/>
      <c r="E40" s="175"/>
      <c r="F40" s="175"/>
      <c r="G40" s="175"/>
      <c r="H40" s="175"/>
      <c r="I40" s="176"/>
    </row>
    <row r="41" spans="1:9" x14ac:dyDescent="0.2">
      <c r="A41" s="174"/>
      <c r="B41" s="175"/>
      <c r="C41" s="175"/>
      <c r="D41" s="175"/>
      <c r="E41" s="175"/>
      <c r="F41" s="175"/>
      <c r="G41" s="175"/>
      <c r="H41" s="175"/>
      <c r="I41" s="176"/>
    </row>
    <row r="42" spans="1:9" ht="24.75" customHeight="1" thickBot="1" x14ac:dyDescent="0.25">
      <c r="A42" s="177"/>
      <c r="B42" s="178"/>
      <c r="C42" s="178"/>
      <c r="D42" s="178"/>
      <c r="E42" s="178"/>
      <c r="F42" s="178"/>
      <c r="G42" s="178"/>
      <c r="H42" s="178"/>
      <c r="I42" s="179"/>
    </row>
    <row r="43" spans="1:9" x14ac:dyDescent="0.2">
      <c r="A43" s="180"/>
      <c r="B43" s="181"/>
      <c r="C43" s="181"/>
      <c r="D43" s="182"/>
      <c r="E43" s="180"/>
      <c r="F43" s="181"/>
      <c r="G43" s="181"/>
      <c r="H43" s="181"/>
      <c r="I43" s="182"/>
    </row>
    <row r="44" spans="1:9" x14ac:dyDescent="0.2">
      <c r="A44" s="183"/>
      <c r="B44" s="184"/>
      <c r="C44" s="184"/>
      <c r="D44" s="185"/>
      <c r="E44" s="183"/>
      <c r="F44" s="184"/>
      <c r="G44" s="184"/>
      <c r="H44" s="184"/>
      <c r="I44" s="185"/>
    </row>
    <row r="45" spans="1:9" x14ac:dyDescent="0.2">
      <c r="A45" s="183"/>
      <c r="B45" s="184"/>
      <c r="C45" s="184"/>
      <c r="D45" s="185"/>
      <c r="E45" s="183"/>
      <c r="F45" s="184"/>
      <c r="G45" s="184"/>
      <c r="H45" s="184"/>
      <c r="I45" s="185"/>
    </row>
    <row r="46" spans="1:9" x14ac:dyDescent="0.2">
      <c r="A46" s="183"/>
      <c r="B46" s="184"/>
      <c r="C46" s="184"/>
      <c r="D46" s="185"/>
      <c r="E46" s="183"/>
      <c r="F46" s="184"/>
      <c r="G46" s="184"/>
      <c r="H46" s="184"/>
      <c r="I46" s="185"/>
    </row>
    <row r="47" spans="1:9" x14ac:dyDescent="0.2">
      <c r="A47" s="183"/>
      <c r="B47" s="184"/>
      <c r="C47" s="184"/>
      <c r="D47" s="185"/>
      <c r="E47" s="183"/>
      <c r="F47" s="184"/>
      <c r="G47" s="184"/>
      <c r="H47" s="184"/>
      <c r="I47" s="185"/>
    </row>
    <row r="48" spans="1:9" x14ac:dyDescent="0.2">
      <c r="A48" s="183"/>
      <c r="B48" s="184"/>
      <c r="C48" s="184"/>
      <c r="D48" s="185"/>
      <c r="E48" s="183"/>
      <c r="F48" s="184"/>
      <c r="G48" s="184"/>
      <c r="H48" s="184"/>
      <c r="I48" s="185"/>
    </row>
    <row r="49" spans="1:9" x14ac:dyDescent="0.2">
      <c r="A49" s="183"/>
      <c r="B49" s="184"/>
      <c r="C49" s="184"/>
      <c r="D49" s="185"/>
      <c r="E49" s="183"/>
      <c r="F49" s="184"/>
      <c r="G49" s="184"/>
      <c r="H49" s="184"/>
      <c r="I49" s="185"/>
    </row>
    <row r="50" spans="1:9" x14ac:dyDescent="0.2">
      <c r="A50" s="183"/>
      <c r="B50" s="184"/>
      <c r="C50" s="184"/>
      <c r="D50" s="185"/>
      <c r="E50" s="194" t="s">
        <v>97</v>
      </c>
      <c r="F50" s="195"/>
      <c r="G50" s="195"/>
      <c r="H50" s="195"/>
      <c r="I50" s="196"/>
    </row>
    <row r="51" spans="1:9" x14ac:dyDescent="0.2">
      <c r="A51" s="186"/>
      <c r="B51" s="187"/>
      <c r="C51" s="187"/>
      <c r="D51" s="188"/>
      <c r="E51" s="197"/>
      <c r="F51" s="198"/>
      <c r="G51" s="198"/>
      <c r="H51" s="198"/>
      <c r="I51" s="199"/>
    </row>
    <row r="52" spans="1:9" ht="12.75" customHeight="1" x14ac:dyDescent="0.2">
      <c r="A52" s="189" t="s">
        <v>36</v>
      </c>
      <c r="B52" s="190"/>
      <c r="C52" s="190"/>
      <c r="D52" s="191"/>
      <c r="E52" s="192" t="s">
        <v>84</v>
      </c>
      <c r="F52" s="193"/>
      <c r="G52" s="479" t="str">
        <f>IF(AND(ISBLANK('Orden de Pedido'!G18)),"",'Orden de Pedido'!G18)</f>
        <v/>
      </c>
      <c r="H52" s="479"/>
      <c r="I52" s="480"/>
    </row>
    <row r="53" spans="1:9" ht="12.75" customHeight="1" x14ac:dyDescent="0.2">
      <c r="A53" s="200" t="s">
        <v>37</v>
      </c>
      <c r="B53" s="201"/>
      <c r="C53" s="201"/>
      <c r="D53" s="202"/>
      <c r="E53" s="206" t="s">
        <v>38</v>
      </c>
      <c r="F53" s="207"/>
      <c r="G53" s="479" t="str">
        <f>IF(AND(ISBLANK('Orden de Pedido'!G19)),"",'Orden de Pedido'!G19)</f>
        <v/>
      </c>
      <c r="H53" s="479"/>
      <c r="I53" s="480"/>
    </row>
    <row r="54" spans="1:9" ht="13.5" thickBot="1" x14ac:dyDescent="0.25">
      <c r="A54" s="203"/>
      <c r="B54" s="204"/>
      <c r="C54" s="204"/>
      <c r="D54" s="205"/>
      <c r="E54" s="208" t="s">
        <v>39</v>
      </c>
      <c r="F54" s="209"/>
      <c r="G54" s="481" t="str">
        <f>IF(AND(ISBLANK('Orden de Pedido'!B16)),"",'Orden de Pedido'!B16)</f>
        <v/>
      </c>
      <c r="H54" s="481"/>
      <c r="I54" s="482"/>
    </row>
    <row r="55" spans="1:9" s="485" customFormat="1" x14ac:dyDescent="0.2"/>
    <row r="56" spans="1:9" s="485" customFormat="1" x14ac:dyDescent="0.2"/>
    <row r="57" spans="1:9" s="485" customFormat="1" x14ac:dyDescent="0.2"/>
    <row r="58" spans="1:9" s="485" customFormat="1" x14ac:dyDescent="0.2"/>
    <row r="59" spans="1:9" s="485" customFormat="1" x14ac:dyDescent="0.2"/>
    <row r="60" spans="1:9" s="485" customFormat="1" x14ac:dyDescent="0.2">
      <c r="A60" s="487"/>
      <c r="B60" s="487"/>
      <c r="C60" s="487"/>
      <c r="D60" s="487"/>
      <c r="E60" s="487"/>
      <c r="F60" s="487"/>
    </row>
    <row r="61" spans="1:9" s="485" customFormat="1" x14ac:dyDescent="0.2">
      <c r="A61" s="488"/>
      <c r="B61" s="488"/>
      <c r="C61" s="488"/>
      <c r="D61" s="488"/>
      <c r="E61" s="488"/>
      <c r="F61" s="488"/>
    </row>
    <row r="62" spans="1:9" s="485" customFormat="1" x14ac:dyDescent="0.2">
      <c r="A62" s="487"/>
      <c r="B62" s="487"/>
      <c r="C62" s="487"/>
      <c r="D62" s="487"/>
      <c r="E62" s="487"/>
      <c r="F62" s="487"/>
    </row>
    <row r="63" spans="1:9" s="485" customFormat="1" x14ac:dyDescent="0.2"/>
    <row r="64" spans="1:9" s="485" customFormat="1" x14ac:dyDescent="0.2"/>
    <row r="65" s="485" customFormat="1" x14ac:dyDescent="0.2"/>
    <row r="66" s="485" customFormat="1" x14ac:dyDescent="0.2"/>
    <row r="67" s="485" customFormat="1" x14ac:dyDescent="0.2"/>
    <row r="68" s="485" customFormat="1" x14ac:dyDescent="0.2"/>
    <row r="69" s="485" customFormat="1" x14ac:dyDescent="0.2"/>
    <row r="70" s="485" customFormat="1" x14ac:dyDescent="0.2"/>
    <row r="71" s="485" customFormat="1" x14ac:dyDescent="0.2"/>
    <row r="72" s="485" customFormat="1" x14ac:dyDescent="0.2"/>
    <row r="73" s="485" customFormat="1" x14ac:dyDescent="0.2"/>
    <row r="74" s="485" customFormat="1" x14ac:dyDescent="0.2"/>
    <row r="75" s="485" customFormat="1" x14ac:dyDescent="0.2"/>
    <row r="76" s="485" customFormat="1" x14ac:dyDescent="0.2"/>
    <row r="77" s="485" customFormat="1" x14ac:dyDescent="0.2"/>
    <row r="78" s="485" customFormat="1" x14ac:dyDescent="0.2"/>
    <row r="79" s="485" customFormat="1" x14ac:dyDescent="0.2"/>
    <row r="80" s="485" customFormat="1" x14ac:dyDescent="0.2"/>
    <row r="81" s="485" customFormat="1" x14ac:dyDescent="0.2"/>
    <row r="82" s="485" customFormat="1" x14ac:dyDescent="0.2"/>
    <row r="83" s="485" customFormat="1" x14ac:dyDescent="0.2"/>
    <row r="84" s="485" customFormat="1" x14ac:dyDescent="0.2"/>
    <row r="85" s="485" customFormat="1" x14ac:dyDescent="0.2"/>
    <row r="86" s="485" customFormat="1" x14ac:dyDescent="0.2"/>
    <row r="87" s="485" customFormat="1" x14ac:dyDescent="0.2"/>
    <row r="88" s="485" customFormat="1" x14ac:dyDescent="0.2"/>
    <row r="89" s="485" customFormat="1" x14ac:dyDescent="0.2"/>
    <row r="90" s="485" customFormat="1" x14ac:dyDescent="0.2"/>
    <row r="91" s="485" customFormat="1" x14ac:dyDescent="0.2"/>
    <row r="92" s="485" customFormat="1" x14ac:dyDescent="0.2"/>
    <row r="93" s="485" customFormat="1" x14ac:dyDescent="0.2"/>
    <row r="94" s="485" customFormat="1" x14ac:dyDescent="0.2"/>
    <row r="95" s="485" customFormat="1" x14ac:dyDescent="0.2"/>
    <row r="96" s="485" customFormat="1" x14ac:dyDescent="0.2"/>
    <row r="97" s="485" customFormat="1" x14ac:dyDescent="0.2"/>
    <row r="98" s="485" customFormat="1" x14ac:dyDescent="0.2"/>
    <row r="99" s="485" customFormat="1" x14ac:dyDescent="0.2"/>
    <row r="100" s="485" customFormat="1" x14ac:dyDescent="0.2"/>
    <row r="101" s="485" customFormat="1" x14ac:dyDescent="0.2"/>
    <row r="102" s="485" customFormat="1" x14ac:dyDescent="0.2"/>
    <row r="103" s="485" customFormat="1" x14ac:dyDescent="0.2"/>
    <row r="104" s="485" customFormat="1" x14ac:dyDescent="0.2"/>
    <row r="105" s="485" customFormat="1" x14ac:dyDescent="0.2"/>
    <row r="106" s="485" customFormat="1" x14ac:dyDescent="0.2"/>
    <row r="107" s="485" customFormat="1" x14ac:dyDescent="0.2"/>
    <row r="108" s="485" customFormat="1" x14ac:dyDescent="0.2"/>
    <row r="109" s="485" customFormat="1" x14ac:dyDescent="0.2"/>
    <row r="110" s="485" customFormat="1" x14ac:dyDescent="0.2"/>
    <row r="111" s="485" customFormat="1" x14ac:dyDescent="0.2"/>
    <row r="112" s="485" customFormat="1" x14ac:dyDescent="0.2"/>
    <row r="113" s="485" customFormat="1" x14ac:dyDescent="0.2"/>
    <row r="114" s="485" customFormat="1" x14ac:dyDescent="0.2"/>
    <row r="115" s="485" customFormat="1" x14ac:dyDescent="0.2"/>
    <row r="116" s="485" customFormat="1" x14ac:dyDescent="0.2"/>
    <row r="117" s="485" customFormat="1" x14ac:dyDescent="0.2"/>
    <row r="118" s="485" customFormat="1" x14ac:dyDescent="0.2"/>
    <row r="119" s="485" customFormat="1" x14ac:dyDescent="0.2"/>
    <row r="120" s="485" customFormat="1" x14ac:dyDescent="0.2"/>
    <row r="121" s="485" customFormat="1" x14ac:dyDescent="0.2"/>
    <row r="122" s="485" customFormat="1" x14ac:dyDescent="0.2"/>
    <row r="123" s="485" customFormat="1" x14ac:dyDescent="0.2"/>
    <row r="124" s="485" customFormat="1" x14ac:dyDescent="0.2"/>
    <row r="125" s="485" customFormat="1" x14ac:dyDescent="0.2"/>
    <row r="126" s="485" customFormat="1" x14ac:dyDescent="0.2"/>
    <row r="127" s="485" customFormat="1" x14ac:dyDescent="0.2"/>
    <row r="128" s="485" customFormat="1" x14ac:dyDescent="0.2"/>
    <row r="129" s="485" customFormat="1" x14ac:dyDescent="0.2"/>
    <row r="130" s="485" customFormat="1" x14ac:dyDescent="0.2"/>
    <row r="131" s="485" customFormat="1" x14ac:dyDescent="0.2"/>
    <row r="132" s="485" customFormat="1" x14ac:dyDescent="0.2"/>
    <row r="133" s="485" customFormat="1" x14ac:dyDescent="0.2"/>
    <row r="134" s="485" customFormat="1" x14ac:dyDescent="0.2"/>
    <row r="135" s="485" customFormat="1" x14ac:dyDescent="0.2"/>
    <row r="136" s="485" customFormat="1" x14ac:dyDescent="0.2"/>
    <row r="137" s="485" customFormat="1" x14ac:dyDescent="0.2"/>
    <row r="138" s="485" customFormat="1" x14ac:dyDescent="0.2"/>
    <row r="139" s="485" customFormat="1" x14ac:dyDescent="0.2"/>
    <row r="140" s="485" customFormat="1" x14ac:dyDescent="0.2"/>
    <row r="141" s="485" customFormat="1" x14ac:dyDescent="0.2"/>
    <row r="142" s="485" customFormat="1" x14ac:dyDescent="0.2"/>
    <row r="143" s="485" customFormat="1" x14ac:dyDescent="0.2"/>
    <row r="144" s="485" customFormat="1" x14ac:dyDescent="0.2"/>
    <row r="145" s="485" customFormat="1" x14ac:dyDescent="0.2"/>
    <row r="146" s="485" customFormat="1" x14ac:dyDescent="0.2"/>
    <row r="147" s="485" customFormat="1" x14ac:dyDescent="0.2"/>
    <row r="148" s="485" customFormat="1" x14ac:dyDescent="0.2"/>
    <row r="149" s="485" customFormat="1" x14ac:dyDescent="0.2"/>
    <row r="150" s="485" customFormat="1" x14ac:dyDescent="0.2"/>
    <row r="151" s="485" customFormat="1" x14ac:dyDescent="0.2"/>
    <row r="152" s="485" customFormat="1" x14ac:dyDescent="0.2"/>
    <row r="153" s="485" customFormat="1" x14ac:dyDescent="0.2"/>
    <row r="154" s="485" customFormat="1" x14ac:dyDescent="0.2"/>
    <row r="155" s="485" customFormat="1" x14ac:dyDescent="0.2"/>
    <row r="156" s="485" customFormat="1" x14ac:dyDescent="0.2"/>
    <row r="157" s="485" customFormat="1" x14ac:dyDescent="0.2"/>
    <row r="158" s="485" customFormat="1" x14ac:dyDescent="0.2"/>
    <row r="159" s="485" customFormat="1" x14ac:dyDescent="0.2"/>
    <row r="160" s="485" customFormat="1" x14ac:dyDescent="0.2"/>
    <row r="161" s="485" customFormat="1" x14ac:dyDescent="0.2"/>
    <row r="162" s="485" customFormat="1" x14ac:dyDescent="0.2"/>
    <row r="163" s="485" customFormat="1" x14ac:dyDescent="0.2"/>
    <row r="164" s="485" customFormat="1" x14ac:dyDescent="0.2"/>
    <row r="165" s="485" customFormat="1" x14ac:dyDescent="0.2"/>
    <row r="166" s="485" customFormat="1" x14ac:dyDescent="0.2"/>
    <row r="167" s="485" customFormat="1" x14ac:dyDescent="0.2"/>
    <row r="168" s="485" customFormat="1" x14ac:dyDescent="0.2"/>
    <row r="169" s="485" customFormat="1" x14ac:dyDescent="0.2"/>
    <row r="170" s="485" customFormat="1" x14ac:dyDescent="0.2"/>
    <row r="171" s="485" customFormat="1" x14ac:dyDescent="0.2"/>
    <row r="172" s="485" customFormat="1" x14ac:dyDescent="0.2"/>
    <row r="173" s="485" customFormat="1" x14ac:dyDescent="0.2"/>
    <row r="174" s="485" customFormat="1" x14ac:dyDescent="0.2"/>
    <row r="175" s="485" customFormat="1" x14ac:dyDescent="0.2"/>
    <row r="176" s="485" customFormat="1" x14ac:dyDescent="0.2"/>
    <row r="177" s="485" customFormat="1" x14ac:dyDescent="0.2"/>
    <row r="178" s="485" customFormat="1" x14ac:dyDescent="0.2"/>
    <row r="179" s="485" customFormat="1" x14ac:dyDescent="0.2"/>
    <row r="180" s="485" customFormat="1" x14ac:dyDescent="0.2"/>
    <row r="181" s="485" customFormat="1" x14ac:dyDescent="0.2"/>
    <row r="182" s="485" customFormat="1" x14ac:dyDescent="0.2"/>
    <row r="183" s="485" customFormat="1" x14ac:dyDescent="0.2"/>
    <row r="184" s="485" customFormat="1" x14ac:dyDescent="0.2"/>
    <row r="185" s="485" customFormat="1" x14ac:dyDescent="0.2"/>
    <row r="186" s="485" customFormat="1" x14ac:dyDescent="0.2"/>
    <row r="187" s="485" customFormat="1" x14ac:dyDescent="0.2"/>
    <row r="188" s="485" customFormat="1" x14ac:dyDescent="0.2"/>
    <row r="189" s="485" customFormat="1" x14ac:dyDescent="0.2"/>
    <row r="190" s="485" customFormat="1" x14ac:dyDescent="0.2"/>
    <row r="191" s="485" customFormat="1" x14ac:dyDescent="0.2"/>
    <row r="192" s="485" customFormat="1" x14ac:dyDescent="0.2"/>
    <row r="193" s="485" customFormat="1" x14ac:dyDescent="0.2"/>
    <row r="194" s="485" customFormat="1" x14ac:dyDescent="0.2"/>
    <row r="195" s="485" customFormat="1" x14ac:dyDescent="0.2"/>
    <row r="196" s="485" customFormat="1" x14ac:dyDescent="0.2"/>
    <row r="197" s="485" customFormat="1" x14ac:dyDescent="0.2"/>
    <row r="198" s="485" customFormat="1" x14ac:dyDescent="0.2"/>
    <row r="199" s="485" customFormat="1" x14ac:dyDescent="0.2"/>
    <row r="200" s="485" customFormat="1" x14ac:dyDescent="0.2"/>
    <row r="201" s="485" customFormat="1" x14ac:dyDescent="0.2"/>
    <row r="202" s="485" customFormat="1" x14ac:dyDescent="0.2"/>
    <row r="203" s="485" customFormat="1" x14ac:dyDescent="0.2"/>
    <row r="204" s="485" customFormat="1" x14ac:dyDescent="0.2"/>
    <row r="205" s="485" customFormat="1" x14ac:dyDescent="0.2"/>
    <row r="206" s="485" customFormat="1" x14ac:dyDescent="0.2"/>
    <row r="207" s="485" customFormat="1" x14ac:dyDescent="0.2"/>
    <row r="208" s="485" customFormat="1" x14ac:dyDescent="0.2"/>
    <row r="209" s="485" customFormat="1" x14ac:dyDescent="0.2"/>
    <row r="210" s="485" customFormat="1" x14ac:dyDescent="0.2"/>
    <row r="211" s="485" customFormat="1" x14ac:dyDescent="0.2"/>
    <row r="212" s="485" customFormat="1" x14ac:dyDescent="0.2"/>
    <row r="213" s="485" customFormat="1" x14ac:dyDescent="0.2"/>
    <row r="214" s="485" customFormat="1" x14ac:dyDescent="0.2"/>
    <row r="215" s="485" customFormat="1" x14ac:dyDescent="0.2"/>
    <row r="216" s="485" customFormat="1" x14ac:dyDescent="0.2"/>
    <row r="217" s="485" customFormat="1" x14ac:dyDescent="0.2"/>
    <row r="218" s="485" customFormat="1" x14ac:dyDescent="0.2"/>
    <row r="219" s="485" customFormat="1" x14ac:dyDescent="0.2"/>
    <row r="220" s="485" customFormat="1" x14ac:dyDescent="0.2"/>
    <row r="221" s="485" customFormat="1" x14ac:dyDescent="0.2"/>
    <row r="222" s="485" customFormat="1" x14ac:dyDescent="0.2"/>
    <row r="223" s="485" customFormat="1" x14ac:dyDescent="0.2"/>
    <row r="224" s="485" customFormat="1" x14ac:dyDescent="0.2"/>
    <row r="225" s="485" customFormat="1" x14ac:dyDescent="0.2"/>
    <row r="226" s="485" customFormat="1" x14ac:dyDescent="0.2"/>
    <row r="227" s="485" customFormat="1" x14ac:dyDescent="0.2"/>
    <row r="228" s="485" customFormat="1" x14ac:dyDescent="0.2"/>
    <row r="229" s="485" customFormat="1" x14ac:dyDescent="0.2"/>
    <row r="230" s="485" customFormat="1" x14ac:dyDescent="0.2"/>
    <row r="231" s="485" customFormat="1" x14ac:dyDescent="0.2"/>
    <row r="232" s="485" customFormat="1" x14ac:dyDescent="0.2"/>
    <row r="233" s="485" customFormat="1" x14ac:dyDescent="0.2"/>
    <row r="234" s="485" customFormat="1" x14ac:dyDescent="0.2"/>
    <row r="235" s="485" customFormat="1" x14ac:dyDescent="0.2"/>
    <row r="236" s="485" customFormat="1" x14ac:dyDescent="0.2"/>
    <row r="237" s="485" customFormat="1" x14ac:dyDescent="0.2"/>
    <row r="238" s="485" customFormat="1" x14ac:dyDescent="0.2"/>
    <row r="239" s="485" customFormat="1" x14ac:dyDescent="0.2"/>
    <row r="240" s="485" customFormat="1" x14ac:dyDescent="0.2"/>
    <row r="241" s="485" customFormat="1" x14ac:dyDescent="0.2"/>
    <row r="242" s="485" customFormat="1" x14ac:dyDescent="0.2"/>
    <row r="243" s="485" customFormat="1" x14ac:dyDescent="0.2"/>
    <row r="244" s="485" customFormat="1" x14ac:dyDescent="0.2"/>
    <row r="245" s="485" customFormat="1" x14ac:dyDescent="0.2"/>
    <row r="246" s="485" customFormat="1" x14ac:dyDescent="0.2"/>
    <row r="247" s="485" customFormat="1" x14ac:dyDescent="0.2"/>
    <row r="248" s="485" customFormat="1" x14ac:dyDescent="0.2"/>
    <row r="249" s="485" customFormat="1" x14ac:dyDescent="0.2"/>
    <row r="250" s="485" customFormat="1" x14ac:dyDescent="0.2"/>
    <row r="251" s="485" customFormat="1" x14ac:dyDescent="0.2"/>
    <row r="252" s="485" customFormat="1" x14ac:dyDescent="0.2"/>
    <row r="253" s="485" customFormat="1" x14ac:dyDescent="0.2"/>
    <row r="254" s="485" customFormat="1" x14ac:dyDescent="0.2"/>
    <row r="255" s="485" customFormat="1" x14ac:dyDescent="0.2"/>
    <row r="256" s="485" customFormat="1" x14ac:dyDescent="0.2"/>
    <row r="257" s="485" customFormat="1" x14ac:dyDescent="0.2"/>
    <row r="258" s="485" customFormat="1" x14ac:dyDescent="0.2"/>
    <row r="259" s="485" customFormat="1" x14ac:dyDescent="0.2"/>
    <row r="260" s="485" customFormat="1" x14ac:dyDescent="0.2"/>
    <row r="261" s="485" customFormat="1" x14ac:dyDescent="0.2"/>
    <row r="262" s="485" customFormat="1" x14ac:dyDescent="0.2"/>
    <row r="263" s="485" customFormat="1" x14ac:dyDescent="0.2"/>
    <row r="264" s="485" customFormat="1" x14ac:dyDescent="0.2"/>
    <row r="265" s="485" customFormat="1" x14ac:dyDescent="0.2"/>
    <row r="266" s="485" customFormat="1" x14ac:dyDescent="0.2"/>
    <row r="267" s="485" customFormat="1" x14ac:dyDescent="0.2"/>
    <row r="268" s="485" customFormat="1" x14ac:dyDescent="0.2"/>
    <row r="269" s="485" customFormat="1" x14ac:dyDescent="0.2"/>
    <row r="270" s="485" customFormat="1" x14ac:dyDescent="0.2"/>
    <row r="271" s="485" customFormat="1" x14ac:dyDescent="0.2"/>
    <row r="272" s="485" customFormat="1" x14ac:dyDescent="0.2"/>
    <row r="273" s="485" customFormat="1" x14ac:dyDescent="0.2"/>
    <row r="274" s="485" customFormat="1" x14ac:dyDescent="0.2"/>
    <row r="275" s="485" customFormat="1" x14ac:dyDescent="0.2"/>
    <row r="276" s="485" customFormat="1" x14ac:dyDescent="0.2"/>
    <row r="277" s="485" customFormat="1" x14ac:dyDescent="0.2"/>
    <row r="278" s="485" customFormat="1" x14ac:dyDescent="0.2"/>
    <row r="279" s="485" customFormat="1" x14ac:dyDescent="0.2"/>
    <row r="280" s="485" customFormat="1" x14ac:dyDescent="0.2"/>
    <row r="281" s="485" customFormat="1" x14ac:dyDescent="0.2"/>
    <row r="282" s="485" customFormat="1" x14ac:dyDescent="0.2"/>
    <row r="283" s="485" customFormat="1" x14ac:dyDescent="0.2"/>
    <row r="284" s="485" customFormat="1" x14ac:dyDescent="0.2"/>
    <row r="285" s="485" customFormat="1" x14ac:dyDescent="0.2"/>
    <row r="286" s="485" customFormat="1" x14ac:dyDescent="0.2"/>
    <row r="287" s="485" customFormat="1" x14ac:dyDescent="0.2"/>
    <row r="288" s="485" customFormat="1" x14ac:dyDescent="0.2"/>
    <row r="289" s="485" customFormat="1" x14ac:dyDescent="0.2"/>
    <row r="290" s="485" customFormat="1" x14ac:dyDescent="0.2"/>
    <row r="291" s="485" customFormat="1" x14ac:dyDescent="0.2"/>
    <row r="292" s="485" customFormat="1" x14ac:dyDescent="0.2"/>
    <row r="293" s="485" customFormat="1" x14ac:dyDescent="0.2"/>
    <row r="294" s="485" customFormat="1" x14ac:dyDescent="0.2"/>
    <row r="295" s="485" customFormat="1" x14ac:dyDescent="0.2"/>
    <row r="296" s="485" customFormat="1" x14ac:dyDescent="0.2"/>
    <row r="297" s="485" customFormat="1" x14ac:dyDescent="0.2"/>
    <row r="298" s="485" customFormat="1" x14ac:dyDescent="0.2"/>
    <row r="299" s="485" customFormat="1" x14ac:dyDescent="0.2"/>
    <row r="300" s="485" customFormat="1" x14ac:dyDescent="0.2"/>
    <row r="301" s="485" customFormat="1" x14ac:dyDescent="0.2"/>
    <row r="302" s="485" customFormat="1" x14ac:dyDescent="0.2"/>
    <row r="303" s="485" customFormat="1" x14ac:dyDescent="0.2"/>
    <row r="304" s="485" customFormat="1" x14ac:dyDescent="0.2"/>
    <row r="305" s="485" customFormat="1" x14ac:dyDescent="0.2"/>
    <row r="306" s="485" customFormat="1" x14ac:dyDescent="0.2"/>
    <row r="307" s="485" customFormat="1" x14ac:dyDescent="0.2"/>
    <row r="308" s="485" customFormat="1" x14ac:dyDescent="0.2"/>
    <row r="309" s="485" customFormat="1" x14ac:dyDescent="0.2"/>
    <row r="310" s="485" customFormat="1" x14ac:dyDescent="0.2"/>
    <row r="311" s="485" customFormat="1" x14ac:dyDescent="0.2"/>
    <row r="312" s="485" customFormat="1" x14ac:dyDescent="0.2"/>
    <row r="313" s="485" customFormat="1" x14ac:dyDescent="0.2"/>
    <row r="314" s="485" customFormat="1" x14ac:dyDescent="0.2"/>
    <row r="315" s="485" customFormat="1" x14ac:dyDescent="0.2"/>
    <row r="316" s="485" customFormat="1" x14ac:dyDescent="0.2"/>
    <row r="317" s="485" customFormat="1" x14ac:dyDescent="0.2"/>
    <row r="318" s="485" customFormat="1" x14ac:dyDescent="0.2"/>
    <row r="319" s="485" customFormat="1" x14ac:dyDescent="0.2"/>
    <row r="320" s="485" customFormat="1" x14ac:dyDescent="0.2"/>
    <row r="321" s="485" customFormat="1" x14ac:dyDescent="0.2"/>
    <row r="322" s="485" customFormat="1" x14ac:dyDescent="0.2"/>
    <row r="323" s="485" customFormat="1" x14ac:dyDescent="0.2"/>
    <row r="324" s="485" customFormat="1" x14ac:dyDescent="0.2"/>
    <row r="325" s="485" customFormat="1" x14ac:dyDescent="0.2"/>
    <row r="326" s="485" customFormat="1" x14ac:dyDescent="0.2"/>
    <row r="327" s="485" customFormat="1" x14ac:dyDescent="0.2"/>
    <row r="328" s="485" customFormat="1" x14ac:dyDescent="0.2"/>
    <row r="329" s="485" customFormat="1" x14ac:dyDescent="0.2"/>
    <row r="330" s="485" customFormat="1" x14ac:dyDescent="0.2"/>
    <row r="331" s="485" customFormat="1" x14ac:dyDescent="0.2"/>
    <row r="332" s="485" customFormat="1" x14ac:dyDescent="0.2"/>
    <row r="333" s="485" customFormat="1" x14ac:dyDescent="0.2"/>
    <row r="334" s="485" customFormat="1" x14ac:dyDescent="0.2"/>
    <row r="335" s="485" customFormat="1" x14ac:dyDescent="0.2"/>
    <row r="336" s="485" customFormat="1" x14ac:dyDescent="0.2"/>
    <row r="337" s="485" customFormat="1" x14ac:dyDescent="0.2"/>
    <row r="338" s="485" customFormat="1" x14ac:dyDescent="0.2"/>
    <row r="339" s="485" customFormat="1" x14ac:dyDescent="0.2"/>
    <row r="340" s="485" customFormat="1" x14ac:dyDescent="0.2"/>
    <row r="341" s="485" customFormat="1" x14ac:dyDescent="0.2"/>
    <row r="342" s="485" customFormat="1" x14ac:dyDescent="0.2"/>
    <row r="343" s="485" customFormat="1" x14ac:dyDescent="0.2"/>
    <row r="344" s="485" customFormat="1" x14ac:dyDescent="0.2"/>
    <row r="345" s="485" customFormat="1" x14ac:dyDescent="0.2"/>
    <row r="346" s="485" customFormat="1" x14ac:dyDescent="0.2"/>
    <row r="347" s="485" customFormat="1" x14ac:dyDescent="0.2"/>
    <row r="348" s="485" customFormat="1" x14ac:dyDescent="0.2"/>
    <row r="349" s="485" customFormat="1" x14ac:dyDescent="0.2"/>
    <row r="350" s="485" customFormat="1" x14ac:dyDescent="0.2"/>
    <row r="351" s="485" customFormat="1" x14ac:dyDescent="0.2"/>
    <row r="352" s="485" customFormat="1" x14ac:dyDescent="0.2"/>
    <row r="353" s="485" customFormat="1" x14ac:dyDescent="0.2"/>
    <row r="354" s="485" customFormat="1" x14ac:dyDescent="0.2"/>
    <row r="355" s="485" customFormat="1" x14ac:dyDescent="0.2"/>
    <row r="356" s="485" customFormat="1" x14ac:dyDescent="0.2"/>
    <row r="357" s="485" customFormat="1" x14ac:dyDescent="0.2"/>
    <row r="358" s="485" customFormat="1" x14ac:dyDescent="0.2"/>
    <row r="359" s="485" customFormat="1" x14ac:dyDescent="0.2"/>
    <row r="360" s="485" customFormat="1" x14ac:dyDescent="0.2"/>
    <row r="361" s="485" customFormat="1" x14ac:dyDescent="0.2"/>
    <row r="362" s="485" customFormat="1" x14ac:dyDescent="0.2"/>
    <row r="363" s="485" customFormat="1" x14ac:dyDescent="0.2"/>
    <row r="364" s="485" customFormat="1" x14ac:dyDescent="0.2"/>
    <row r="365" s="485" customFormat="1" x14ac:dyDescent="0.2"/>
    <row r="366" s="485" customFormat="1" x14ac:dyDescent="0.2"/>
    <row r="367" s="485" customFormat="1" x14ac:dyDescent="0.2"/>
    <row r="368" s="485" customFormat="1" x14ac:dyDescent="0.2"/>
    <row r="369" s="485" customFormat="1" x14ac:dyDescent="0.2"/>
    <row r="370" s="485" customFormat="1" x14ac:dyDescent="0.2"/>
    <row r="371" s="485" customFormat="1" x14ac:dyDescent="0.2"/>
    <row r="372" s="485" customFormat="1" x14ac:dyDescent="0.2"/>
    <row r="373" s="485" customFormat="1" x14ac:dyDescent="0.2"/>
    <row r="374" s="485" customFormat="1" x14ac:dyDescent="0.2"/>
    <row r="375" s="485" customFormat="1" x14ac:dyDescent="0.2"/>
    <row r="376" s="485" customFormat="1" x14ac:dyDescent="0.2"/>
    <row r="377" s="485" customFormat="1" x14ac:dyDescent="0.2"/>
    <row r="378" s="485" customFormat="1" x14ac:dyDescent="0.2"/>
    <row r="379" s="485" customFormat="1" x14ac:dyDescent="0.2"/>
    <row r="380" s="485" customFormat="1" x14ac:dyDescent="0.2"/>
    <row r="381" s="485" customFormat="1" x14ac:dyDescent="0.2"/>
    <row r="382" s="485" customFormat="1" x14ac:dyDescent="0.2"/>
    <row r="383" s="485" customFormat="1" x14ac:dyDescent="0.2"/>
    <row r="384" s="485" customFormat="1" x14ac:dyDescent="0.2"/>
    <row r="385" s="485" customFormat="1" x14ac:dyDescent="0.2"/>
    <row r="386" s="485" customFormat="1" x14ac:dyDescent="0.2"/>
    <row r="387" s="485" customFormat="1" x14ac:dyDescent="0.2"/>
    <row r="388" s="485" customFormat="1" x14ac:dyDescent="0.2"/>
    <row r="389" s="485" customFormat="1" x14ac:dyDescent="0.2"/>
    <row r="390" s="485" customFormat="1" x14ac:dyDescent="0.2"/>
    <row r="391" s="485" customFormat="1" x14ac:dyDescent="0.2"/>
    <row r="392" s="485" customFormat="1" x14ac:dyDescent="0.2"/>
    <row r="393" s="485" customFormat="1" x14ac:dyDescent="0.2"/>
    <row r="394" s="485" customFormat="1" x14ac:dyDescent="0.2"/>
    <row r="395" s="485" customFormat="1" x14ac:dyDescent="0.2"/>
    <row r="396" s="485" customFormat="1" x14ac:dyDescent="0.2"/>
    <row r="397" s="485" customFormat="1" x14ac:dyDescent="0.2"/>
    <row r="398" s="485" customFormat="1" x14ac:dyDescent="0.2"/>
    <row r="399" s="485" customFormat="1" x14ac:dyDescent="0.2"/>
    <row r="400" s="485" customFormat="1" x14ac:dyDescent="0.2"/>
    <row r="401" s="485" customFormat="1" x14ac:dyDescent="0.2"/>
    <row r="402" s="485" customFormat="1" x14ac:dyDescent="0.2"/>
    <row r="403" s="485" customFormat="1" x14ac:dyDescent="0.2"/>
    <row r="404" s="485" customFormat="1" x14ac:dyDescent="0.2"/>
    <row r="405" s="485" customFormat="1" x14ac:dyDescent="0.2"/>
    <row r="406" s="485" customFormat="1" x14ac:dyDescent="0.2"/>
    <row r="407" s="485" customFormat="1" x14ac:dyDescent="0.2"/>
    <row r="408" s="485" customFormat="1" x14ac:dyDescent="0.2"/>
    <row r="409" s="485" customFormat="1" x14ac:dyDescent="0.2"/>
    <row r="410" s="485" customFormat="1" x14ac:dyDescent="0.2"/>
    <row r="411" s="485" customFormat="1" x14ac:dyDescent="0.2"/>
    <row r="412" s="485" customFormat="1" x14ac:dyDescent="0.2"/>
    <row r="413" s="485" customFormat="1" x14ac:dyDescent="0.2"/>
    <row r="414" s="485" customFormat="1" x14ac:dyDescent="0.2"/>
    <row r="415" s="485" customFormat="1" x14ac:dyDescent="0.2"/>
    <row r="416" s="485" customFormat="1" x14ac:dyDescent="0.2"/>
    <row r="417" s="485" customFormat="1" x14ac:dyDescent="0.2"/>
    <row r="418" s="485" customFormat="1" x14ac:dyDescent="0.2"/>
    <row r="419" s="485" customFormat="1" x14ac:dyDescent="0.2"/>
    <row r="420" s="485" customFormat="1" x14ac:dyDescent="0.2"/>
    <row r="421" s="485" customFormat="1" x14ac:dyDescent="0.2"/>
    <row r="422" s="485" customFormat="1" x14ac:dyDescent="0.2"/>
    <row r="423" s="485" customFormat="1" x14ac:dyDescent="0.2"/>
    <row r="424" s="485" customFormat="1" x14ac:dyDescent="0.2"/>
    <row r="425" s="485" customFormat="1" x14ac:dyDescent="0.2"/>
    <row r="426" s="485" customFormat="1" x14ac:dyDescent="0.2"/>
    <row r="427" s="485" customFormat="1" x14ac:dyDescent="0.2"/>
    <row r="428" s="485" customFormat="1" x14ac:dyDescent="0.2"/>
    <row r="429" s="485" customFormat="1" x14ac:dyDescent="0.2"/>
    <row r="430" s="485" customFormat="1" x14ac:dyDescent="0.2"/>
    <row r="431" s="485" customFormat="1" x14ac:dyDescent="0.2"/>
    <row r="432" s="485" customFormat="1" x14ac:dyDescent="0.2"/>
    <row r="433" s="485" customFormat="1" x14ac:dyDescent="0.2"/>
    <row r="434" s="485" customFormat="1" x14ac:dyDescent="0.2"/>
    <row r="435" s="485" customFormat="1" x14ac:dyDescent="0.2"/>
    <row r="436" s="485" customFormat="1" x14ac:dyDescent="0.2"/>
    <row r="437" s="485" customFormat="1" x14ac:dyDescent="0.2"/>
    <row r="438" s="485" customFormat="1" x14ac:dyDescent="0.2"/>
    <row r="439" s="485" customFormat="1" x14ac:dyDescent="0.2"/>
    <row r="440" s="485" customFormat="1" x14ac:dyDescent="0.2"/>
    <row r="441" s="485" customFormat="1" x14ac:dyDescent="0.2"/>
    <row r="442" s="485" customFormat="1" x14ac:dyDescent="0.2"/>
    <row r="443" s="485" customFormat="1" x14ac:dyDescent="0.2"/>
    <row r="444" s="485" customFormat="1" x14ac:dyDescent="0.2"/>
    <row r="445" s="485" customFormat="1" x14ac:dyDescent="0.2"/>
    <row r="446" s="485" customFormat="1" x14ac:dyDescent="0.2"/>
    <row r="447" s="485" customFormat="1" x14ac:dyDescent="0.2"/>
    <row r="448" s="485" customFormat="1" x14ac:dyDescent="0.2"/>
    <row r="449" s="485" customFormat="1" x14ac:dyDescent="0.2"/>
    <row r="450" s="485" customFormat="1" x14ac:dyDescent="0.2"/>
    <row r="451" s="485" customFormat="1" x14ac:dyDescent="0.2"/>
    <row r="452" s="485" customFormat="1" x14ac:dyDescent="0.2"/>
    <row r="453" s="485" customFormat="1" x14ac:dyDescent="0.2"/>
    <row r="454" s="485" customFormat="1" x14ac:dyDescent="0.2"/>
    <row r="455" s="485" customFormat="1" x14ac:dyDescent="0.2"/>
    <row r="456" s="485" customFormat="1" x14ac:dyDescent="0.2"/>
    <row r="457" s="485" customFormat="1" x14ac:dyDescent="0.2"/>
    <row r="458" s="485" customFormat="1" x14ac:dyDescent="0.2"/>
    <row r="459" s="485" customFormat="1" x14ac:dyDescent="0.2"/>
    <row r="460" s="485" customFormat="1" x14ac:dyDescent="0.2"/>
    <row r="461" s="485" customFormat="1" x14ac:dyDescent="0.2"/>
    <row r="462" s="485" customFormat="1" x14ac:dyDescent="0.2"/>
    <row r="463" s="485" customFormat="1" x14ac:dyDescent="0.2"/>
    <row r="464" s="485" customFormat="1" x14ac:dyDescent="0.2"/>
    <row r="465" s="485" customFormat="1" x14ac:dyDescent="0.2"/>
    <row r="466" s="485" customFormat="1" x14ac:dyDescent="0.2"/>
    <row r="467" s="485" customFormat="1" x14ac:dyDescent="0.2"/>
    <row r="468" s="485" customFormat="1" x14ac:dyDescent="0.2"/>
    <row r="469" s="485" customFormat="1" x14ac:dyDescent="0.2"/>
    <row r="470" s="485" customFormat="1" x14ac:dyDescent="0.2"/>
    <row r="471" s="485" customFormat="1" x14ac:dyDescent="0.2"/>
    <row r="472" s="485" customFormat="1" x14ac:dyDescent="0.2"/>
    <row r="473" s="485" customFormat="1" x14ac:dyDescent="0.2"/>
    <row r="474" s="485" customFormat="1" x14ac:dyDescent="0.2"/>
    <row r="475" s="485" customFormat="1" x14ac:dyDescent="0.2"/>
    <row r="476" s="485" customFormat="1" x14ac:dyDescent="0.2"/>
    <row r="477" s="485" customFormat="1" x14ac:dyDescent="0.2"/>
    <row r="478" s="485" customFormat="1" x14ac:dyDescent="0.2"/>
    <row r="479" s="485" customFormat="1" x14ac:dyDescent="0.2"/>
    <row r="480" s="485" customFormat="1" x14ac:dyDescent="0.2"/>
    <row r="481" s="485" customFormat="1" x14ac:dyDescent="0.2"/>
    <row r="482" s="485" customFormat="1" x14ac:dyDescent="0.2"/>
    <row r="483" s="485" customFormat="1" x14ac:dyDescent="0.2"/>
    <row r="484" s="485" customFormat="1" x14ac:dyDescent="0.2"/>
    <row r="485" s="485" customFormat="1" x14ac:dyDescent="0.2"/>
    <row r="486" s="485" customFormat="1" x14ac:dyDescent="0.2"/>
    <row r="487" s="485" customFormat="1" x14ac:dyDescent="0.2"/>
    <row r="488" s="485" customFormat="1" x14ac:dyDescent="0.2"/>
    <row r="489" s="485" customFormat="1" x14ac:dyDescent="0.2"/>
    <row r="490" s="485" customFormat="1" x14ac:dyDescent="0.2"/>
    <row r="491" s="485" customFormat="1" x14ac:dyDescent="0.2"/>
    <row r="492" s="485" customFormat="1" x14ac:dyDescent="0.2"/>
    <row r="493" s="485" customFormat="1" x14ac:dyDescent="0.2"/>
    <row r="494" s="485" customFormat="1" x14ac:dyDescent="0.2"/>
    <row r="495" s="485" customFormat="1" x14ac:dyDescent="0.2"/>
    <row r="496" s="485" customFormat="1" x14ac:dyDescent="0.2"/>
    <row r="497" s="485" customFormat="1" x14ac:dyDescent="0.2"/>
    <row r="498" s="485" customFormat="1" x14ac:dyDescent="0.2"/>
    <row r="499" s="485" customFormat="1" x14ac:dyDescent="0.2"/>
    <row r="500" s="485" customFormat="1" x14ac:dyDescent="0.2"/>
    <row r="501" s="485" customFormat="1" x14ac:dyDescent="0.2"/>
    <row r="502" s="485" customFormat="1" x14ac:dyDescent="0.2"/>
    <row r="503" s="485" customFormat="1" x14ac:dyDescent="0.2"/>
    <row r="504" s="485" customFormat="1" x14ac:dyDescent="0.2"/>
    <row r="505" s="485" customFormat="1" x14ac:dyDescent="0.2"/>
    <row r="506" s="485" customFormat="1" x14ac:dyDescent="0.2"/>
    <row r="507" s="485" customFormat="1" x14ac:dyDescent="0.2"/>
    <row r="508" s="485" customFormat="1" x14ac:dyDescent="0.2"/>
    <row r="509" s="485" customFormat="1" x14ac:dyDescent="0.2"/>
    <row r="510" s="485" customFormat="1" x14ac:dyDescent="0.2"/>
    <row r="511" s="485" customFormat="1" x14ac:dyDescent="0.2"/>
    <row r="512" s="485" customFormat="1" x14ac:dyDescent="0.2"/>
    <row r="513" s="485" customFormat="1" x14ac:dyDescent="0.2"/>
    <row r="514" s="485" customFormat="1" x14ac:dyDescent="0.2"/>
    <row r="515" s="485" customFormat="1" x14ac:dyDescent="0.2"/>
    <row r="516" s="485" customFormat="1" x14ac:dyDescent="0.2"/>
    <row r="517" s="485" customFormat="1" x14ac:dyDescent="0.2"/>
    <row r="518" s="485" customFormat="1" x14ac:dyDescent="0.2"/>
    <row r="519" s="485" customFormat="1" x14ac:dyDescent="0.2"/>
    <row r="520" s="485" customFormat="1" x14ac:dyDescent="0.2"/>
    <row r="521" s="485" customFormat="1" x14ac:dyDescent="0.2"/>
    <row r="522" s="485" customFormat="1" x14ac:dyDescent="0.2"/>
    <row r="523" s="485" customFormat="1" x14ac:dyDescent="0.2"/>
    <row r="524" s="485" customFormat="1" x14ac:dyDescent="0.2"/>
    <row r="525" s="485" customFormat="1" x14ac:dyDescent="0.2"/>
    <row r="526" s="485" customFormat="1" x14ac:dyDescent="0.2"/>
    <row r="527" s="485" customFormat="1" x14ac:dyDescent="0.2"/>
    <row r="528" s="485" customFormat="1" x14ac:dyDescent="0.2"/>
    <row r="529" s="485" customFormat="1" x14ac:dyDescent="0.2"/>
    <row r="530" s="485" customFormat="1" x14ac:dyDescent="0.2"/>
    <row r="531" s="485" customFormat="1" x14ac:dyDescent="0.2"/>
    <row r="532" s="485" customFormat="1" x14ac:dyDescent="0.2"/>
    <row r="533" s="485" customFormat="1" x14ac:dyDescent="0.2"/>
    <row r="534" s="485" customFormat="1" x14ac:dyDescent="0.2"/>
    <row r="535" s="485" customFormat="1" x14ac:dyDescent="0.2"/>
    <row r="536" s="485" customFormat="1" x14ac:dyDescent="0.2"/>
    <row r="537" s="485" customFormat="1" x14ac:dyDescent="0.2"/>
    <row r="538" s="485" customFormat="1" x14ac:dyDescent="0.2"/>
    <row r="539" s="485" customFormat="1" x14ac:dyDescent="0.2"/>
    <row r="540" s="485" customFormat="1" x14ac:dyDescent="0.2"/>
    <row r="541" s="485" customFormat="1" x14ac:dyDescent="0.2"/>
    <row r="542" s="485" customFormat="1" x14ac:dyDescent="0.2"/>
    <row r="543" s="485" customFormat="1" x14ac:dyDescent="0.2"/>
    <row r="544" s="485" customFormat="1" x14ac:dyDescent="0.2"/>
    <row r="545" s="485" customFormat="1" x14ac:dyDescent="0.2"/>
    <row r="546" s="485" customFormat="1" x14ac:dyDescent="0.2"/>
    <row r="547" s="485" customFormat="1" x14ac:dyDescent="0.2"/>
    <row r="548" s="485" customFormat="1" x14ac:dyDescent="0.2"/>
    <row r="549" s="485" customFormat="1" x14ac:dyDescent="0.2"/>
    <row r="550" s="485" customFormat="1" x14ac:dyDescent="0.2"/>
    <row r="551" s="485" customFormat="1" x14ac:dyDescent="0.2"/>
    <row r="552" s="485" customFormat="1" x14ac:dyDescent="0.2"/>
    <row r="553" s="485" customFormat="1" x14ac:dyDescent="0.2"/>
    <row r="554" s="485" customFormat="1" x14ac:dyDescent="0.2"/>
    <row r="555" s="485" customFormat="1" x14ac:dyDescent="0.2"/>
    <row r="556" s="485" customFormat="1" x14ac:dyDescent="0.2"/>
    <row r="557" s="485" customFormat="1" x14ac:dyDescent="0.2"/>
    <row r="558" s="485" customFormat="1" x14ac:dyDescent="0.2"/>
    <row r="559" s="485" customFormat="1" x14ac:dyDescent="0.2"/>
    <row r="560" s="485" customFormat="1" x14ac:dyDescent="0.2"/>
    <row r="561" s="485" customFormat="1" x14ac:dyDescent="0.2"/>
    <row r="562" s="485" customFormat="1" x14ac:dyDescent="0.2"/>
    <row r="563" s="485" customFormat="1" x14ac:dyDescent="0.2"/>
    <row r="564" s="485" customFormat="1" x14ac:dyDescent="0.2"/>
    <row r="565" s="485" customFormat="1" x14ac:dyDescent="0.2"/>
    <row r="566" s="485" customFormat="1" x14ac:dyDescent="0.2"/>
    <row r="567" s="485" customFormat="1" x14ac:dyDescent="0.2"/>
    <row r="568" s="485" customFormat="1" x14ac:dyDescent="0.2"/>
    <row r="569" s="485" customFormat="1" x14ac:dyDescent="0.2"/>
    <row r="570" s="485" customFormat="1" x14ac:dyDescent="0.2"/>
    <row r="571" s="485" customFormat="1" x14ac:dyDescent="0.2"/>
    <row r="572" s="485" customFormat="1" x14ac:dyDescent="0.2"/>
    <row r="573" s="485" customFormat="1" x14ac:dyDescent="0.2"/>
    <row r="574" s="485" customFormat="1" x14ac:dyDescent="0.2"/>
    <row r="575" s="485" customFormat="1" x14ac:dyDescent="0.2"/>
    <row r="576" s="485" customFormat="1" x14ac:dyDescent="0.2"/>
    <row r="577" s="485" customFormat="1" x14ac:dyDescent="0.2"/>
    <row r="578" s="485" customFormat="1" x14ac:dyDescent="0.2"/>
    <row r="579" s="485" customFormat="1" x14ac:dyDescent="0.2"/>
    <row r="580" s="485" customFormat="1" x14ac:dyDescent="0.2"/>
    <row r="581" s="485" customFormat="1" x14ac:dyDescent="0.2"/>
    <row r="582" s="485" customFormat="1" x14ac:dyDescent="0.2"/>
    <row r="583" s="485" customFormat="1" x14ac:dyDescent="0.2"/>
    <row r="584" s="485" customFormat="1" x14ac:dyDescent="0.2"/>
    <row r="585" s="485" customFormat="1" x14ac:dyDescent="0.2"/>
    <row r="586" s="485" customFormat="1" x14ac:dyDescent="0.2"/>
    <row r="587" s="485" customFormat="1" x14ac:dyDescent="0.2"/>
    <row r="588" s="485" customFormat="1" x14ac:dyDescent="0.2"/>
    <row r="589" s="485" customFormat="1" x14ac:dyDescent="0.2"/>
    <row r="590" s="485" customFormat="1" x14ac:dyDescent="0.2"/>
    <row r="591" s="485" customFormat="1" x14ac:dyDescent="0.2"/>
    <row r="592" s="485" customFormat="1" x14ac:dyDescent="0.2"/>
    <row r="593" s="485" customFormat="1" x14ac:dyDescent="0.2"/>
    <row r="594" s="485" customFormat="1" x14ac:dyDescent="0.2"/>
    <row r="595" s="485" customFormat="1" x14ac:dyDescent="0.2"/>
    <row r="596" s="485" customFormat="1" x14ac:dyDescent="0.2"/>
    <row r="597" s="485" customFormat="1" x14ac:dyDescent="0.2"/>
    <row r="598" s="485" customFormat="1" x14ac:dyDescent="0.2"/>
    <row r="599" s="485" customFormat="1" x14ac:dyDescent="0.2"/>
    <row r="600" s="485" customFormat="1" x14ac:dyDescent="0.2"/>
    <row r="601" s="485" customFormat="1" x14ac:dyDescent="0.2"/>
    <row r="602" s="485" customFormat="1" x14ac:dyDescent="0.2"/>
    <row r="603" s="485" customFormat="1" x14ac:dyDescent="0.2"/>
    <row r="604" s="485" customFormat="1" x14ac:dyDescent="0.2"/>
    <row r="605" s="485" customFormat="1" x14ac:dyDescent="0.2"/>
    <row r="606" s="485" customFormat="1" x14ac:dyDescent="0.2"/>
    <row r="607" s="485" customFormat="1" x14ac:dyDescent="0.2"/>
    <row r="608" s="485" customFormat="1" x14ac:dyDescent="0.2"/>
    <row r="609" s="485" customFormat="1" x14ac:dyDescent="0.2"/>
    <row r="610" s="485" customFormat="1" x14ac:dyDescent="0.2"/>
    <row r="611" s="485" customFormat="1" x14ac:dyDescent="0.2"/>
    <row r="612" s="485" customFormat="1" x14ac:dyDescent="0.2"/>
    <row r="613" s="485" customFormat="1" x14ac:dyDescent="0.2"/>
    <row r="614" s="485" customFormat="1" x14ac:dyDescent="0.2"/>
    <row r="615" s="485" customFormat="1" x14ac:dyDescent="0.2"/>
    <row r="616" s="485" customFormat="1" x14ac:dyDescent="0.2"/>
    <row r="617" s="485" customFormat="1" x14ac:dyDescent="0.2"/>
    <row r="618" s="485" customFormat="1" x14ac:dyDescent="0.2"/>
    <row r="619" s="485" customFormat="1" x14ac:dyDescent="0.2"/>
    <row r="620" s="485" customFormat="1" x14ac:dyDescent="0.2"/>
    <row r="621" s="485" customFormat="1" x14ac:dyDescent="0.2"/>
    <row r="622" s="485" customFormat="1" x14ac:dyDescent="0.2"/>
    <row r="623" s="485" customFormat="1" x14ac:dyDescent="0.2"/>
    <row r="624" s="485" customFormat="1" x14ac:dyDescent="0.2"/>
    <row r="625" s="485" customFormat="1" x14ac:dyDescent="0.2"/>
    <row r="626" s="485" customFormat="1" x14ac:dyDescent="0.2"/>
    <row r="627" s="485" customFormat="1" x14ac:dyDescent="0.2"/>
    <row r="628" s="485" customFormat="1" x14ac:dyDescent="0.2"/>
    <row r="629" s="485" customFormat="1" x14ac:dyDescent="0.2"/>
    <row r="630" s="485" customFormat="1" x14ac:dyDescent="0.2"/>
    <row r="631" s="485" customFormat="1" x14ac:dyDescent="0.2"/>
    <row r="632" s="485" customFormat="1" x14ac:dyDescent="0.2"/>
  </sheetData>
  <protectedRanges>
    <protectedRange sqref="A14 B29:B30 B3:I7 B9:I12" name="Rango1"/>
    <protectedRange sqref="E43 G52:I54" name="Rango1_1"/>
    <protectedRange sqref="B16:I27" name="Rango1_2"/>
  </protectedRanges>
  <mergeCells count="46">
    <mergeCell ref="A61:F61"/>
    <mergeCell ref="A62:F62"/>
    <mergeCell ref="A53:D54"/>
    <mergeCell ref="E53:F53"/>
    <mergeCell ref="G53:I53"/>
    <mergeCell ref="E54:F54"/>
    <mergeCell ref="G54:I54"/>
    <mergeCell ref="A60:F60"/>
    <mergeCell ref="B29:I29"/>
    <mergeCell ref="B30:I30"/>
    <mergeCell ref="A31:I42"/>
    <mergeCell ref="A43:D51"/>
    <mergeCell ref="A52:D52"/>
    <mergeCell ref="E52:F52"/>
    <mergeCell ref="G52:I52"/>
    <mergeCell ref="E43:I49"/>
    <mergeCell ref="E50:I51"/>
    <mergeCell ref="B24:I24"/>
    <mergeCell ref="B25:I25"/>
    <mergeCell ref="B26:I26"/>
    <mergeCell ref="B27:I27"/>
    <mergeCell ref="B28:I28"/>
    <mergeCell ref="B10:I10"/>
    <mergeCell ref="B11:I11"/>
    <mergeCell ref="B23:I23"/>
    <mergeCell ref="B12:I12"/>
    <mergeCell ref="A13:I13"/>
    <mergeCell ref="A14:I14"/>
    <mergeCell ref="A15:I15"/>
    <mergeCell ref="B16:I16"/>
    <mergeCell ref="B17:I17"/>
    <mergeCell ref="B18:I18"/>
    <mergeCell ref="B19:I19"/>
    <mergeCell ref="B20:I20"/>
    <mergeCell ref="B21:I21"/>
    <mergeCell ref="B22:I22"/>
    <mergeCell ref="B5:I5"/>
    <mergeCell ref="B6:I6"/>
    <mergeCell ref="B7:I7"/>
    <mergeCell ref="A8:I8"/>
    <mergeCell ref="B9:I9"/>
    <mergeCell ref="B1:G1"/>
    <mergeCell ref="H1:I1"/>
    <mergeCell ref="A2:I2"/>
    <mergeCell ref="B3:I3"/>
    <mergeCell ref="B4:I4"/>
  </mergeCells>
  <printOptions horizontalCentered="1" verticalCentered="1"/>
  <pageMargins left="0.70866141732283472" right="0.70866141732283472" top="0.74803149606299213" bottom="0.74803149606299213" header="0.31496062992125984" footer="0.31496062992125984"/>
  <pageSetup paperSize="9" scale="82" orientation="portrait" r:id="rId1"/>
  <headerFooter>
    <oddFooter xml:space="preserve">&amp;L Empresa inscrita en el registro mercantil de Álava, T.1246, F.134, Vi-11448&amp;Rwww.cpavitoria06.com   
info@cpavitoria06.com      
</oddFooter>
  </headerFooter>
  <rowBreaks count="1" manualBreakCount="1">
    <brk id="54" max="1638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FFC000"/>
  </sheetPr>
  <dimension ref="A1:H42"/>
  <sheetViews>
    <sheetView showGridLines="0" zoomScaleNormal="100" workbookViewId="0">
      <selection activeCell="H10" sqref="H10"/>
    </sheetView>
  </sheetViews>
  <sheetFormatPr baseColWidth="10" defaultRowHeight="12.75" x14ac:dyDescent="0.2"/>
  <cols>
    <col min="1" max="1" width="22.85546875" style="60" customWidth="1"/>
    <col min="2" max="4" width="11.5703125" style="61" customWidth="1"/>
    <col min="5" max="5" width="13.7109375" style="61" customWidth="1"/>
    <col min="6" max="6" width="10.140625" style="61" customWidth="1"/>
    <col min="7" max="7" width="12.42578125" style="61" customWidth="1"/>
    <col min="8" max="8" width="11.42578125" style="61" bestFit="1" customWidth="1"/>
    <col min="9" max="16384" width="11.42578125" style="52"/>
  </cols>
  <sheetData>
    <row r="1" spans="1:8" s="7" customFormat="1" ht="72.75" customHeight="1" x14ac:dyDescent="0.2">
      <c r="A1" s="42"/>
      <c r="B1" s="217" t="s">
        <v>85</v>
      </c>
      <c r="C1" s="217"/>
      <c r="D1" s="217"/>
      <c r="E1" s="217"/>
      <c r="F1" s="217"/>
      <c r="G1" s="218" t="s">
        <v>98</v>
      </c>
      <c r="H1" s="218"/>
    </row>
    <row r="2" spans="1:8" ht="18.600000000000001" customHeight="1" x14ac:dyDescent="0.2">
      <c r="A2" s="9" t="s">
        <v>40</v>
      </c>
      <c r="B2" s="210"/>
      <c r="C2" s="210"/>
      <c r="D2" s="211" t="s">
        <v>41</v>
      </c>
      <c r="E2" s="212"/>
      <c r="F2" s="219"/>
      <c r="G2" s="220"/>
      <c r="H2" s="221"/>
    </row>
    <row r="3" spans="1:8" ht="18.600000000000001" customHeight="1" x14ac:dyDescent="0.2">
      <c r="A3" s="9" t="s">
        <v>42</v>
      </c>
      <c r="B3" s="213"/>
      <c r="C3" s="213"/>
      <c r="D3" s="10"/>
      <c r="E3" s="11"/>
      <c r="F3" s="214" t="s">
        <v>43</v>
      </c>
      <c r="G3" s="215"/>
      <c r="H3" s="216"/>
    </row>
    <row r="4" spans="1:8" ht="18.600000000000001" customHeight="1" x14ac:dyDescent="0.2">
      <c r="A4" s="9" t="s">
        <v>44</v>
      </c>
      <c r="B4" s="222"/>
      <c r="C4" s="222"/>
      <c r="D4" s="12"/>
      <c r="E4" s="13"/>
      <c r="F4" s="223"/>
      <c r="G4" s="224"/>
      <c r="H4" s="224"/>
    </row>
    <row r="5" spans="1:8" x14ac:dyDescent="0.2">
      <c r="A5" s="225" t="s">
        <v>45</v>
      </c>
      <c r="B5" s="227"/>
      <c r="C5" s="227"/>
      <c r="D5" s="227"/>
      <c r="E5" s="228"/>
      <c r="F5" s="229" t="s">
        <v>46</v>
      </c>
      <c r="G5" s="229"/>
      <c r="H5" s="229"/>
    </row>
    <row r="6" spans="1:8" ht="16.5" customHeight="1" x14ac:dyDescent="0.2">
      <c r="A6" s="226"/>
      <c r="B6" s="227"/>
      <c r="C6" s="227"/>
      <c r="D6" s="227"/>
      <c r="E6" s="228"/>
      <c r="F6" s="230" t="s">
        <v>47</v>
      </c>
      <c r="G6" s="231"/>
      <c r="H6" s="14" t="s">
        <v>48</v>
      </c>
    </row>
    <row r="7" spans="1:8" x14ac:dyDescent="0.2">
      <c r="A7" s="241" t="s">
        <v>49</v>
      </c>
      <c r="B7" s="244"/>
      <c r="C7" s="245"/>
      <c r="D7" s="245"/>
      <c r="E7" s="246"/>
      <c r="F7" s="15" t="s">
        <v>50</v>
      </c>
      <c r="G7" s="16"/>
      <c r="H7" s="53"/>
    </row>
    <row r="8" spans="1:8" x14ac:dyDescent="0.2">
      <c r="A8" s="242"/>
      <c r="B8" s="247"/>
      <c r="C8" s="248"/>
      <c r="D8" s="248"/>
      <c r="E8" s="249"/>
      <c r="F8" s="15" t="s">
        <v>51</v>
      </c>
      <c r="G8" s="16"/>
      <c r="H8" s="53"/>
    </row>
    <row r="9" spans="1:8" x14ac:dyDescent="0.2">
      <c r="A9" s="242"/>
      <c r="B9" s="247"/>
      <c r="C9" s="248"/>
      <c r="D9" s="248"/>
      <c r="E9" s="249"/>
      <c r="F9" s="15" t="s">
        <v>52</v>
      </c>
      <c r="G9" s="16"/>
      <c r="H9" s="14"/>
    </row>
    <row r="10" spans="1:8" x14ac:dyDescent="0.2">
      <c r="A10" s="243"/>
      <c r="B10" s="250"/>
      <c r="C10" s="251"/>
      <c r="D10" s="251"/>
      <c r="E10" s="252"/>
      <c r="F10" s="19" t="s">
        <v>53</v>
      </c>
      <c r="G10" s="20"/>
      <c r="H10" s="54"/>
    </row>
    <row r="11" spans="1:8" ht="18.600000000000001" customHeight="1" x14ac:dyDescent="0.2">
      <c r="A11" s="232" t="s">
        <v>80</v>
      </c>
      <c r="B11" s="233"/>
      <c r="C11" s="233"/>
      <c r="D11" s="233"/>
      <c r="E11" s="233"/>
      <c r="F11" s="233"/>
      <c r="G11" s="233"/>
      <c r="H11" s="234"/>
    </row>
    <row r="12" spans="1:8" ht="19.149999999999999" customHeight="1" x14ac:dyDescent="0.2">
      <c r="A12" s="22" t="s">
        <v>54</v>
      </c>
      <c r="B12" s="235"/>
      <c r="C12" s="236"/>
      <c r="D12" s="236"/>
      <c r="E12" s="236"/>
      <c r="F12" s="236"/>
      <c r="G12" s="236"/>
      <c r="H12" s="237"/>
    </row>
    <row r="13" spans="1:8" ht="19.149999999999999" customHeight="1" x14ac:dyDescent="0.2">
      <c r="A13" s="23" t="s">
        <v>38</v>
      </c>
      <c r="B13" s="238"/>
      <c r="C13" s="239"/>
      <c r="D13" s="239"/>
      <c r="E13" s="239"/>
      <c r="F13" s="239"/>
      <c r="G13" s="239"/>
      <c r="H13" s="240"/>
    </row>
    <row r="14" spans="1:8" ht="19.149999999999999" customHeight="1" x14ac:dyDescent="0.2">
      <c r="A14" s="23" t="s">
        <v>55</v>
      </c>
      <c r="B14" s="238"/>
      <c r="C14" s="239"/>
      <c r="D14" s="239"/>
      <c r="E14" s="239"/>
      <c r="F14" s="239"/>
      <c r="G14" s="239"/>
      <c r="H14" s="240"/>
    </row>
    <row r="15" spans="1:8" ht="19.149999999999999" customHeight="1" x14ac:dyDescent="0.2">
      <c r="A15" s="23" t="s">
        <v>56</v>
      </c>
      <c r="B15" s="253"/>
      <c r="C15" s="254"/>
      <c r="D15" s="254"/>
      <c r="E15" s="254"/>
      <c r="F15" s="254"/>
      <c r="G15" s="254"/>
      <c r="H15" s="255"/>
    </row>
    <row r="16" spans="1:8" ht="19.149999999999999" customHeight="1" x14ac:dyDescent="0.2">
      <c r="A16" s="24" t="s">
        <v>57</v>
      </c>
      <c r="B16" s="256"/>
      <c r="C16" s="257"/>
      <c r="D16" s="257"/>
      <c r="E16" s="257"/>
      <c r="F16" s="257"/>
      <c r="G16" s="257"/>
      <c r="H16" s="258"/>
    </row>
    <row r="17" spans="1:8" ht="18.600000000000001" customHeight="1" x14ac:dyDescent="0.2">
      <c r="A17" s="259" t="s">
        <v>81</v>
      </c>
      <c r="B17" s="260"/>
      <c r="C17" s="260"/>
      <c r="D17" s="260"/>
      <c r="E17" s="260"/>
      <c r="F17" s="260"/>
      <c r="G17" s="260"/>
      <c r="H17" s="261"/>
    </row>
    <row r="18" spans="1:8" ht="18.600000000000001" customHeight="1" x14ac:dyDescent="0.2">
      <c r="A18" s="25" t="s">
        <v>58</v>
      </c>
      <c r="B18" s="262"/>
      <c r="C18" s="263"/>
      <c r="D18" s="264"/>
      <c r="E18" s="265" t="s">
        <v>54</v>
      </c>
      <c r="F18" s="266"/>
      <c r="G18" s="267"/>
      <c r="H18" s="264"/>
    </row>
    <row r="19" spans="1:8" ht="18.600000000000001" customHeight="1" x14ac:dyDescent="0.2">
      <c r="A19" s="23" t="s">
        <v>59</v>
      </c>
      <c r="B19" s="268"/>
      <c r="C19" s="269"/>
      <c r="D19" s="270"/>
      <c r="E19" s="271" t="s">
        <v>38</v>
      </c>
      <c r="F19" s="272"/>
      <c r="G19" s="273"/>
      <c r="H19" s="274"/>
    </row>
    <row r="20" spans="1:8" ht="18.600000000000001" customHeight="1" x14ac:dyDescent="0.2">
      <c r="A20" s="23" t="s">
        <v>60</v>
      </c>
      <c r="B20" s="275"/>
      <c r="C20" s="276"/>
      <c r="D20" s="277"/>
      <c r="E20" s="271" t="s">
        <v>55</v>
      </c>
      <c r="F20" s="272"/>
      <c r="G20" s="273"/>
      <c r="H20" s="278"/>
    </row>
    <row r="21" spans="1:8" ht="18.600000000000001" customHeight="1" x14ac:dyDescent="0.2">
      <c r="A21" s="23" t="s">
        <v>61</v>
      </c>
      <c r="B21" s="275"/>
      <c r="C21" s="276"/>
      <c r="D21" s="277"/>
      <c r="E21" s="279" t="s">
        <v>56</v>
      </c>
      <c r="F21" s="280"/>
      <c r="G21" s="483"/>
      <c r="H21" s="281"/>
    </row>
    <row r="22" spans="1:8" ht="18.600000000000001" customHeight="1" x14ac:dyDescent="0.2">
      <c r="A22" s="26" t="s">
        <v>62</v>
      </c>
      <c r="B22" s="275"/>
      <c r="C22" s="276"/>
      <c r="D22" s="277"/>
      <c r="E22" s="27"/>
      <c r="F22" s="27"/>
      <c r="G22" s="27"/>
      <c r="H22" s="28"/>
    </row>
    <row r="23" spans="1:8" ht="18.600000000000001" customHeight="1" x14ac:dyDescent="0.2">
      <c r="A23" s="23" t="s">
        <v>63</v>
      </c>
      <c r="B23" s="282"/>
      <c r="C23" s="283"/>
      <c r="D23" s="284"/>
      <c r="E23" s="27"/>
      <c r="F23" s="27"/>
      <c r="G23" s="27"/>
      <c r="H23" s="28"/>
    </row>
    <row r="24" spans="1:8" ht="18.600000000000001" customHeight="1" x14ac:dyDescent="0.2">
      <c r="A24" s="23" t="s">
        <v>64</v>
      </c>
      <c r="B24" s="282"/>
      <c r="C24" s="283"/>
      <c r="D24" s="284"/>
      <c r="E24" s="29"/>
      <c r="F24" s="27"/>
      <c r="G24" s="27"/>
      <c r="H24" s="28"/>
    </row>
    <row r="25" spans="1:8" ht="18.600000000000001" customHeight="1" x14ac:dyDescent="0.2">
      <c r="A25" s="30" t="s">
        <v>65</v>
      </c>
      <c r="B25" s="285"/>
      <c r="C25" s="286"/>
      <c r="D25" s="287"/>
      <c r="E25" s="31"/>
      <c r="F25" s="32"/>
      <c r="G25" s="32"/>
      <c r="H25" s="33"/>
    </row>
    <row r="26" spans="1:8" ht="18.600000000000001" customHeight="1" x14ac:dyDescent="0.2">
      <c r="A26" s="288" t="s">
        <v>66</v>
      </c>
      <c r="B26" s="289"/>
      <c r="C26" s="289"/>
      <c r="D26" s="289"/>
      <c r="E26" s="289"/>
      <c r="F26" s="289"/>
      <c r="G26" s="289"/>
      <c r="H26" s="290"/>
    </row>
    <row r="27" spans="1:8" ht="18.600000000000001" customHeight="1" x14ac:dyDescent="0.2">
      <c r="A27" s="291" t="s">
        <v>67</v>
      </c>
      <c r="B27" s="292"/>
      <c r="C27" s="292"/>
      <c r="D27" s="292"/>
      <c r="E27" s="292"/>
      <c r="F27" s="293"/>
      <c r="G27" s="34" t="s">
        <v>13</v>
      </c>
      <c r="H27" s="36" t="s">
        <v>78</v>
      </c>
    </row>
    <row r="28" spans="1:8" ht="36" customHeight="1" x14ac:dyDescent="0.2">
      <c r="A28" s="294"/>
      <c r="B28" s="295"/>
      <c r="C28" s="295"/>
      <c r="D28" s="295"/>
      <c r="E28" s="295"/>
      <c r="F28" s="296"/>
      <c r="G28" s="139" t="str">
        <f>IF(AND(ISBLANK(B16)),"",B16)</f>
        <v/>
      </c>
      <c r="H28" s="484" t="str">
        <f>IF(AND(ISBLANK(B12)),"",B12)</f>
        <v/>
      </c>
    </row>
    <row r="29" spans="1:8" ht="36" customHeight="1" x14ac:dyDescent="0.2">
      <c r="A29" s="298"/>
      <c r="B29" s="299"/>
      <c r="C29" s="299"/>
      <c r="D29" s="299"/>
      <c r="E29" s="299"/>
      <c r="F29" s="300"/>
      <c r="G29" s="55"/>
      <c r="H29" s="35"/>
    </row>
    <row r="30" spans="1:8" ht="36" customHeight="1" x14ac:dyDescent="0.2">
      <c r="A30" s="298"/>
      <c r="B30" s="299"/>
      <c r="C30" s="299"/>
      <c r="D30" s="299"/>
      <c r="E30" s="299"/>
      <c r="F30" s="300"/>
      <c r="G30" s="55"/>
      <c r="H30" s="56"/>
    </row>
    <row r="31" spans="1:8" ht="36" customHeight="1" x14ac:dyDescent="0.2">
      <c r="A31" s="298"/>
      <c r="B31" s="299"/>
      <c r="C31" s="299"/>
      <c r="D31" s="299"/>
      <c r="E31" s="299"/>
      <c r="F31" s="300"/>
      <c r="G31" s="57"/>
      <c r="H31" s="56"/>
    </row>
    <row r="32" spans="1:8" ht="36" customHeight="1" x14ac:dyDescent="0.2">
      <c r="A32" s="303"/>
      <c r="B32" s="304"/>
      <c r="C32" s="304"/>
      <c r="D32" s="304"/>
      <c r="E32" s="304"/>
      <c r="F32" s="305"/>
      <c r="G32" s="58"/>
      <c r="H32" s="59"/>
    </row>
    <row r="33" spans="1:8" ht="15.75" x14ac:dyDescent="0.2">
      <c r="A33" s="309" t="s">
        <v>68</v>
      </c>
      <c r="B33" s="310"/>
      <c r="C33" s="310"/>
      <c r="D33" s="311"/>
      <c r="E33" s="306" t="s">
        <v>69</v>
      </c>
      <c r="F33" s="307"/>
      <c r="G33" s="307"/>
      <c r="H33" s="308"/>
    </row>
    <row r="34" spans="1:8" ht="16.899999999999999" customHeight="1" x14ac:dyDescent="0.2">
      <c r="A34" s="312" t="s">
        <v>70</v>
      </c>
      <c r="B34" s="312"/>
      <c r="C34" s="73"/>
      <c r="D34" s="323"/>
      <c r="E34" s="314" t="s">
        <v>71</v>
      </c>
      <c r="F34" s="313" t="s">
        <v>99</v>
      </c>
      <c r="G34" s="313"/>
      <c r="H34" s="74"/>
    </row>
    <row r="35" spans="1:8" ht="16.899999999999999" customHeight="1" x14ac:dyDescent="0.2">
      <c r="A35" s="312" t="s">
        <v>72</v>
      </c>
      <c r="B35" s="312"/>
      <c r="C35" s="73"/>
      <c r="D35" s="324"/>
      <c r="E35" s="315"/>
      <c r="F35" s="313" t="s">
        <v>100</v>
      </c>
      <c r="G35" s="313"/>
      <c r="H35" s="74"/>
    </row>
    <row r="36" spans="1:8" ht="16.899999999999999" customHeight="1" x14ac:dyDescent="0.2">
      <c r="A36" s="312" t="s">
        <v>73</v>
      </c>
      <c r="B36" s="312"/>
      <c r="C36" s="75"/>
      <c r="D36" s="324"/>
      <c r="E36" s="315"/>
      <c r="F36" s="313" t="s">
        <v>101</v>
      </c>
      <c r="G36" s="313"/>
      <c r="H36" s="74"/>
    </row>
    <row r="37" spans="1:8" ht="16.899999999999999" customHeight="1" x14ac:dyDescent="0.2">
      <c r="A37" s="312" t="s">
        <v>74</v>
      </c>
      <c r="B37" s="312"/>
      <c r="C37" s="75"/>
      <c r="D37" s="324"/>
      <c r="E37" s="315"/>
      <c r="F37" s="319" t="s">
        <v>102</v>
      </c>
      <c r="G37" s="320"/>
      <c r="H37" s="301"/>
    </row>
    <row r="38" spans="1:8" ht="16.899999999999999" customHeight="1" x14ac:dyDescent="0.2">
      <c r="A38" s="312" t="s">
        <v>75</v>
      </c>
      <c r="B38" s="312"/>
      <c r="C38" s="75"/>
      <c r="D38" s="325"/>
      <c r="E38" s="316"/>
      <c r="F38" s="321"/>
      <c r="G38" s="322"/>
      <c r="H38" s="302"/>
    </row>
    <row r="39" spans="1:8" x14ac:dyDescent="0.2">
      <c r="A39" s="317" t="s">
        <v>79</v>
      </c>
      <c r="B39" s="317"/>
      <c r="C39" s="317" t="s">
        <v>76</v>
      </c>
      <c r="D39" s="318"/>
      <c r="E39" s="318"/>
      <c r="F39" s="317" t="s">
        <v>77</v>
      </c>
      <c r="G39" s="317"/>
      <c r="H39" s="317"/>
    </row>
    <row r="40" spans="1:8" x14ac:dyDescent="0.2">
      <c r="A40" s="317"/>
      <c r="B40" s="317"/>
      <c r="C40" s="318"/>
      <c r="D40" s="318"/>
      <c r="E40" s="318"/>
      <c r="F40" s="317"/>
      <c r="G40" s="317"/>
      <c r="H40" s="317"/>
    </row>
    <row r="41" spans="1:8" x14ac:dyDescent="0.2">
      <c r="A41" s="342" t="str">
        <f>IF(AND(ISBLANK(B12)),"",B12)</f>
        <v/>
      </c>
      <c r="B41" s="343"/>
      <c r="C41" s="342" t="str">
        <f>IF(AND(ISBLANK(G18)),"",G18)</f>
        <v/>
      </c>
      <c r="D41" s="343" t="e">
        <f>IF(AND(ISBLANK(#REF!)),"",#REF!)</f>
        <v>#REF!</v>
      </c>
      <c r="E41" s="343" t="e">
        <f>IF(AND(ISBLANK(#REF!)),"",#REF!)</f>
        <v>#REF!</v>
      </c>
      <c r="F41" s="343" t="str">
        <f>IF(AND(ISBLANK(F4)),"",F4)</f>
        <v/>
      </c>
      <c r="G41" s="343" t="e">
        <f>IF(AND(ISBLANK(#REF!)),"",#REF!)</f>
        <v>#REF!</v>
      </c>
      <c r="H41" s="343" t="e">
        <f>IF(AND(ISBLANK(#REF!)),"",#REF!)</f>
        <v>#REF!</v>
      </c>
    </row>
    <row r="42" spans="1:8" ht="24.75" customHeight="1" x14ac:dyDescent="0.2">
      <c r="A42" s="343"/>
      <c r="B42" s="343"/>
      <c r="C42" s="343" t="e">
        <f>IF(AND(ISBLANK(#REF!)),"",#REF!)</f>
        <v>#REF!</v>
      </c>
      <c r="D42" s="343" t="e">
        <f>IF(AND(ISBLANK(#REF!)),"",#REF!)</f>
        <v>#REF!</v>
      </c>
      <c r="E42" s="343" t="e">
        <f>IF(AND(ISBLANK(#REF!)),"",#REF!)</f>
        <v>#REF!</v>
      </c>
      <c r="F42" s="343" t="e">
        <f>IF(AND(ISBLANK(#REF!)),"",#REF!)</f>
        <v>#REF!</v>
      </c>
      <c r="G42" s="343" t="e">
        <f>IF(AND(ISBLANK(#REF!)),"",#REF!)</f>
        <v>#REF!</v>
      </c>
      <c r="H42" s="343" t="e">
        <f>IF(AND(ISBLANK(#REF!)),"",#REF!)</f>
        <v>#REF!</v>
      </c>
    </row>
  </sheetData>
  <protectedRanges>
    <protectedRange sqref="B2:C4 D3:E4 F7 B7 B5 A28:H32" name="Rango1"/>
    <protectedRange sqref="G7:H10" name="Rango1_1"/>
    <protectedRange sqref="H2 F4" name="Rango1_2"/>
    <protectedRange sqref="B12:H16" name="Rango1_3"/>
    <protectedRange sqref="G18:H21" name="Rango1_5"/>
    <protectedRange sqref="A41 C36 C34 F41 C41 B35 B37:B38 F34:F38" name="Rango1_6"/>
    <protectedRange sqref="B20:D24 B25" name="Rango1_7"/>
    <protectedRange sqref="B18:D19" name="Rango1_4_1"/>
  </protectedRanges>
  <mergeCells count="65">
    <mergeCell ref="E34:E38"/>
    <mergeCell ref="F34:G34"/>
    <mergeCell ref="A39:B40"/>
    <mergeCell ref="C39:E40"/>
    <mergeCell ref="F39:H40"/>
    <mergeCell ref="F37:G38"/>
    <mergeCell ref="A38:B38"/>
    <mergeCell ref="D34:D38"/>
    <mergeCell ref="A41:B42"/>
    <mergeCell ref="C41:E42"/>
    <mergeCell ref="F41:H42"/>
    <mergeCell ref="A29:F29"/>
    <mergeCell ref="A30:F30"/>
    <mergeCell ref="H37:H38"/>
    <mergeCell ref="A31:F31"/>
    <mergeCell ref="A32:F32"/>
    <mergeCell ref="E33:H33"/>
    <mergeCell ref="A33:D33"/>
    <mergeCell ref="A34:B34"/>
    <mergeCell ref="A35:B35"/>
    <mergeCell ref="F35:G35"/>
    <mergeCell ref="A36:B36"/>
    <mergeCell ref="F36:G36"/>
    <mergeCell ref="A37:B37"/>
    <mergeCell ref="B24:D24"/>
    <mergeCell ref="B25:D25"/>
    <mergeCell ref="A26:H26"/>
    <mergeCell ref="A27:F27"/>
    <mergeCell ref="A28:F28"/>
    <mergeCell ref="B21:D21"/>
    <mergeCell ref="E21:F21"/>
    <mergeCell ref="G21:H21"/>
    <mergeCell ref="B22:D22"/>
    <mergeCell ref="B23:D23"/>
    <mergeCell ref="B19:D19"/>
    <mergeCell ref="E19:F19"/>
    <mergeCell ref="G19:H19"/>
    <mergeCell ref="B20:D20"/>
    <mergeCell ref="E20:F20"/>
    <mergeCell ref="G20:H20"/>
    <mergeCell ref="B15:H15"/>
    <mergeCell ref="B16:H16"/>
    <mergeCell ref="A17:H17"/>
    <mergeCell ref="B18:D18"/>
    <mergeCell ref="E18:F18"/>
    <mergeCell ref="G18:H18"/>
    <mergeCell ref="A11:H11"/>
    <mergeCell ref="B12:H12"/>
    <mergeCell ref="B13:H13"/>
    <mergeCell ref="B14:H14"/>
    <mergeCell ref="A7:A10"/>
    <mergeCell ref="B7:E10"/>
    <mergeCell ref="B4:C4"/>
    <mergeCell ref="F4:H4"/>
    <mergeCell ref="A5:A6"/>
    <mergeCell ref="B5:E6"/>
    <mergeCell ref="F5:H5"/>
    <mergeCell ref="F6:G6"/>
    <mergeCell ref="B2:C2"/>
    <mergeCell ref="D2:E2"/>
    <mergeCell ref="B3:C3"/>
    <mergeCell ref="F3:H3"/>
    <mergeCell ref="B1:F1"/>
    <mergeCell ref="G1:H1"/>
    <mergeCell ref="F2:H2"/>
  </mergeCells>
  <printOptions horizontalCentered="1" verticalCentered="1"/>
  <pageMargins left="0.70866141732283472" right="0.70866141732283472" top="0.74803149606299213" bottom="0.74803149606299213" header="0.31496062992125984" footer="0.31496062992125984"/>
  <pageSetup paperSize="9" scale="80" orientation="portrait" r:id="rId1"/>
  <headerFooter>
    <oddFooter xml:space="preserve">&amp;L Empresa inscrita en el registro mercantil de Álava, T.1246, F.134, Vi-11448&amp;Rwww.cpavitoria06.com   
info@cpavitoria06.com   </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I59"/>
  <sheetViews>
    <sheetView zoomScaleNormal="100" workbookViewId="0">
      <selection activeCell="M11" sqref="M11"/>
    </sheetView>
  </sheetViews>
  <sheetFormatPr baseColWidth="10" defaultRowHeight="12.75" x14ac:dyDescent="0.2"/>
  <cols>
    <col min="1" max="1" width="3" style="45" customWidth="1"/>
    <col min="2" max="2" width="23" customWidth="1"/>
    <col min="3" max="3" width="11.42578125" customWidth="1"/>
    <col min="7" max="7" width="18.5703125" customWidth="1"/>
    <col min="8" max="8" width="12" customWidth="1"/>
    <col min="9" max="9" width="10.5703125" customWidth="1"/>
    <col min="10" max="10" width="16" customWidth="1"/>
  </cols>
  <sheetData>
    <row r="1" spans="1:9" ht="70.5" customHeight="1" x14ac:dyDescent="0.2">
      <c r="B1" s="46"/>
      <c r="C1" s="347" t="s">
        <v>90</v>
      </c>
      <c r="D1" s="347"/>
      <c r="E1" s="347"/>
      <c r="F1" s="347"/>
      <c r="G1" s="347"/>
      <c r="H1" s="210" t="s">
        <v>103</v>
      </c>
      <c r="I1" s="210"/>
    </row>
    <row r="2" spans="1:9" s="49" customFormat="1" ht="20.25" customHeight="1" x14ac:dyDescent="0.2">
      <c r="A2" s="50"/>
      <c r="B2" s="9" t="s">
        <v>40</v>
      </c>
      <c r="C2" s="210" t="str">
        <f>IF(AND(ISBLANK('Orden de Pedido'!B2)),"",'Orden de Pedido'!B2)</f>
        <v/>
      </c>
      <c r="D2" s="297"/>
      <c r="E2" s="211" t="s">
        <v>41</v>
      </c>
      <c r="F2" s="212"/>
      <c r="G2" s="349"/>
      <c r="H2" s="350"/>
      <c r="I2" s="351"/>
    </row>
    <row r="3" spans="1:9" s="49" customFormat="1" ht="20.25" customHeight="1" x14ac:dyDescent="0.2">
      <c r="A3" s="50"/>
      <c r="B3" s="9" t="s">
        <v>42</v>
      </c>
      <c r="C3" s="353" t="str">
        <f>IF(AND(ISBLANK('Orden de Pedido'!B3)),"",'Orden de Pedido'!B3)</f>
        <v/>
      </c>
      <c r="D3" s="353"/>
      <c r="E3" s="127" t="str">
        <f>IF(AND(ISBLANK('Orden de Pedido'!D3)),"",'Orden de Pedido'!D3)</f>
        <v/>
      </c>
      <c r="F3" s="127" t="str">
        <f>IF(AND(ISBLANK('Orden de Pedido'!E3)),"",'Orden de Pedido'!E3)</f>
        <v/>
      </c>
      <c r="G3" s="71" t="s">
        <v>43</v>
      </c>
      <c r="H3" s="342" t="str">
        <f>IF(AND(ISBLANK('Orden de Pedido'!F4)),"",'Orden de Pedido'!F4)</f>
        <v/>
      </c>
      <c r="I3" s="342"/>
    </row>
    <row r="4" spans="1:9" s="5" customFormat="1" ht="20.25" customHeight="1" x14ac:dyDescent="0.2">
      <c r="A4" s="45"/>
      <c r="B4" s="9" t="s">
        <v>44</v>
      </c>
      <c r="C4" s="352" t="str">
        <f>IF(AND(ISBLANK('Orden de Pedido'!B4)),"",'Orden de Pedido'!B4)</f>
        <v/>
      </c>
      <c r="D4" s="352"/>
      <c r="E4" s="127" t="str">
        <f>IF(AND(ISBLANK('Orden de Pedido'!D4)),"",'Orden de Pedido'!D4)</f>
        <v/>
      </c>
      <c r="F4" s="127" t="str">
        <f>IF(AND(ISBLANK('Orden de Pedido'!E4)),"",'Orden de Pedido'!E4)</f>
        <v/>
      </c>
      <c r="G4" s="69" t="s">
        <v>104</v>
      </c>
      <c r="H4" s="348"/>
      <c r="I4" s="348"/>
    </row>
    <row r="5" spans="1:9" s="5" customFormat="1" x14ac:dyDescent="0.2">
      <c r="A5" s="45"/>
      <c r="B5" s="225" t="s">
        <v>45</v>
      </c>
      <c r="C5" s="342" t="str">
        <f>IF(AND(ISBLANK('Orden de Pedido'!B5)),"",'Orden de Pedido'!B5)</f>
        <v/>
      </c>
      <c r="D5" s="343"/>
      <c r="E5" s="343"/>
      <c r="F5" s="344"/>
      <c r="G5" s="229" t="s">
        <v>46</v>
      </c>
      <c r="H5" s="229"/>
      <c r="I5" s="229"/>
    </row>
    <row r="6" spans="1:9" ht="15" customHeight="1" x14ac:dyDescent="0.2">
      <c r="B6" s="226"/>
      <c r="C6" s="343"/>
      <c r="D6" s="343"/>
      <c r="E6" s="343"/>
      <c r="F6" s="344"/>
      <c r="G6" s="230" t="s">
        <v>47</v>
      </c>
      <c r="H6" s="231"/>
      <c r="I6" s="14" t="s">
        <v>48</v>
      </c>
    </row>
    <row r="7" spans="1:9" ht="15" customHeight="1" x14ac:dyDescent="0.2">
      <c r="B7" s="241" t="s">
        <v>49</v>
      </c>
      <c r="C7" s="342" t="str">
        <f>IF(AND(ISBLANK('Orden de Pedido'!B7)),"",'Orden de Pedido'!B7)</f>
        <v/>
      </c>
      <c r="D7" s="342"/>
      <c r="E7" s="342"/>
      <c r="F7" s="342"/>
      <c r="G7" s="15" t="s">
        <v>50</v>
      </c>
      <c r="H7" s="473" t="str">
        <f>IF(AND('Orden de Pedido'!G7="X"),"X","")</f>
        <v/>
      </c>
      <c r="I7" s="17" t="str">
        <f>IF(AND('Orden de Pedido'!H7="X"),"X","")</f>
        <v/>
      </c>
    </row>
    <row r="8" spans="1:9" ht="15" customHeight="1" x14ac:dyDescent="0.2">
      <c r="B8" s="242"/>
      <c r="C8" s="342"/>
      <c r="D8" s="342"/>
      <c r="E8" s="342"/>
      <c r="F8" s="342"/>
      <c r="G8" s="15" t="s">
        <v>51</v>
      </c>
      <c r="H8" s="16" t="str">
        <f>IF(AND('Orden de Pedido'!G8="X"),"X","")</f>
        <v/>
      </c>
      <c r="I8" s="17"/>
    </row>
    <row r="9" spans="1:9" x14ac:dyDescent="0.2">
      <c r="B9" s="242"/>
      <c r="C9" s="342"/>
      <c r="D9" s="342"/>
      <c r="E9" s="342"/>
      <c r="F9" s="342"/>
      <c r="G9" s="15" t="s">
        <v>52</v>
      </c>
      <c r="H9" s="16" t="str">
        <f>IF(AND('Orden de Pedido'!G9="X"),"X","")</f>
        <v/>
      </c>
      <c r="I9" s="18"/>
    </row>
    <row r="10" spans="1:9" x14ac:dyDescent="0.2">
      <c r="B10" s="243"/>
      <c r="C10" s="342"/>
      <c r="D10" s="342"/>
      <c r="E10" s="342"/>
      <c r="F10" s="342"/>
      <c r="G10" s="19" t="s">
        <v>53</v>
      </c>
      <c r="H10" s="20" t="str">
        <f>IF(AND('Orden de Pedido'!G10="X"),"X","")</f>
        <v/>
      </c>
      <c r="I10" s="21" t="str">
        <f>IF(AND('Orden de Pedido'!H10="X"),"X","")</f>
        <v/>
      </c>
    </row>
    <row r="11" spans="1:9" ht="21" customHeight="1" x14ac:dyDescent="0.2">
      <c r="B11" s="48" t="s">
        <v>93</v>
      </c>
      <c r="C11" s="346" t="str">
        <f>IF(AND(ISBLANK(C5)),"",C5)</f>
        <v/>
      </c>
      <c r="D11" s="346"/>
      <c r="E11" s="346"/>
      <c r="F11" s="346"/>
      <c r="G11" s="346"/>
      <c r="H11" s="346"/>
      <c r="I11" s="346"/>
    </row>
    <row r="12" spans="1:9" ht="21" customHeight="1" x14ac:dyDescent="0.2">
      <c r="B12" s="48" t="s">
        <v>92</v>
      </c>
      <c r="C12" s="345" t="str">
        <f>IF(AND(ISBLANK('Orden de Pedido'!B2)),"",'Orden de Pedido'!B2)</f>
        <v/>
      </c>
      <c r="D12" s="345"/>
      <c r="E12" s="345"/>
      <c r="F12" s="345"/>
      <c r="G12" s="345"/>
      <c r="H12" s="345"/>
      <c r="I12" s="345"/>
    </row>
    <row r="13" spans="1:9" x14ac:dyDescent="0.2">
      <c r="B13" s="341" t="s">
        <v>67</v>
      </c>
      <c r="C13" s="341"/>
      <c r="D13" s="341"/>
      <c r="E13" s="341"/>
      <c r="F13" s="341"/>
      <c r="G13" s="341"/>
      <c r="H13" s="341"/>
      <c r="I13" s="341"/>
    </row>
    <row r="14" spans="1:9" ht="66.75" customHeight="1" x14ac:dyDescent="0.2">
      <c r="B14" s="489" t="str">
        <f>IF(AND(ISBLANK('Orden de Pedido'!A28)),"",'Orden de Pedido'!A28)</f>
        <v/>
      </c>
      <c r="C14" s="489"/>
      <c r="D14" s="489"/>
      <c r="E14" s="489"/>
      <c r="F14" s="489"/>
      <c r="G14" s="489"/>
      <c r="H14" s="489"/>
      <c r="I14" s="489"/>
    </row>
    <row r="15" spans="1:9" ht="18" customHeight="1" x14ac:dyDescent="0.2">
      <c r="A15" s="76" t="s">
        <v>91</v>
      </c>
      <c r="B15" s="354" t="s">
        <v>67</v>
      </c>
      <c r="C15" s="355"/>
      <c r="D15" s="354" t="s">
        <v>105</v>
      </c>
      <c r="E15" s="355"/>
      <c r="F15" s="355"/>
      <c r="G15" s="355"/>
      <c r="H15" s="77" t="s">
        <v>106</v>
      </c>
      <c r="I15" s="78" t="s">
        <v>107</v>
      </c>
    </row>
    <row r="16" spans="1:9" ht="18.75" customHeight="1" x14ac:dyDescent="0.2">
      <c r="A16" s="47">
        <v>1</v>
      </c>
      <c r="B16" s="332" t="s">
        <v>108</v>
      </c>
      <c r="C16" s="356"/>
      <c r="D16" s="332"/>
      <c r="E16" s="333"/>
      <c r="F16" s="333"/>
      <c r="G16" s="333"/>
      <c r="H16" s="72"/>
      <c r="I16" s="79"/>
    </row>
    <row r="17" spans="1:9" ht="18.75" customHeight="1" x14ac:dyDescent="0.2">
      <c r="A17" s="357">
        <v>2</v>
      </c>
      <c r="B17" s="358" t="s">
        <v>109</v>
      </c>
      <c r="C17" s="327"/>
      <c r="D17" s="332"/>
      <c r="E17" s="333"/>
      <c r="F17" s="333"/>
      <c r="G17" s="333"/>
      <c r="H17" s="297"/>
      <c r="I17" s="338"/>
    </row>
    <row r="18" spans="1:9" ht="18.75" customHeight="1" x14ac:dyDescent="0.2">
      <c r="A18" s="357"/>
      <c r="B18" s="328"/>
      <c r="C18" s="329"/>
      <c r="D18" s="334"/>
      <c r="E18" s="335"/>
      <c r="F18" s="335"/>
      <c r="G18" s="335"/>
      <c r="H18" s="297"/>
      <c r="I18" s="339"/>
    </row>
    <row r="19" spans="1:9" ht="21" customHeight="1" x14ac:dyDescent="0.2">
      <c r="A19" s="359" t="s">
        <v>110</v>
      </c>
      <c r="B19" s="357" t="s">
        <v>111</v>
      </c>
      <c r="C19" s="357"/>
      <c r="D19" s="297"/>
      <c r="E19" s="297"/>
      <c r="F19" s="297"/>
      <c r="G19" s="297"/>
      <c r="H19" s="72"/>
      <c r="I19" s="72"/>
    </row>
    <row r="20" spans="1:9" ht="21" customHeight="1" x14ac:dyDescent="0.2">
      <c r="A20" s="360"/>
      <c r="B20" s="357" t="s">
        <v>112</v>
      </c>
      <c r="C20" s="357"/>
      <c r="D20" s="297"/>
      <c r="E20" s="297"/>
      <c r="F20" s="297"/>
      <c r="G20" s="297"/>
      <c r="H20" s="72"/>
      <c r="I20" s="72"/>
    </row>
    <row r="21" spans="1:9" ht="21" customHeight="1" x14ac:dyDescent="0.2">
      <c r="A21" s="360"/>
      <c r="B21" s="357" t="s">
        <v>113</v>
      </c>
      <c r="C21" s="357"/>
      <c r="D21" s="297"/>
      <c r="E21" s="297"/>
      <c r="F21" s="297"/>
      <c r="G21" s="297"/>
      <c r="H21" s="72"/>
      <c r="I21" s="72"/>
    </row>
    <row r="22" spans="1:9" ht="21" customHeight="1" x14ac:dyDescent="0.2">
      <c r="A22" s="361"/>
      <c r="B22" s="357" t="s">
        <v>102</v>
      </c>
      <c r="C22" s="357"/>
      <c r="D22" s="297"/>
      <c r="E22" s="297"/>
      <c r="F22" s="297"/>
      <c r="G22" s="297"/>
      <c r="H22" s="72"/>
      <c r="I22" s="70"/>
    </row>
    <row r="23" spans="1:9" ht="27" customHeight="1" x14ac:dyDescent="0.2">
      <c r="A23" s="357">
        <v>3</v>
      </c>
      <c r="B23" s="326" t="s">
        <v>1</v>
      </c>
      <c r="C23" s="327"/>
      <c r="D23" s="332"/>
      <c r="E23" s="333"/>
      <c r="F23" s="333"/>
      <c r="G23" s="333"/>
      <c r="H23" s="297"/>
      <c r="I23" s="338"/>
    </row>
    <row r="24" spans="1:9" ht="27" customHeight="1" x14ac:dyDescent="0.2">
      <c r="A24" s="357"/>
      <c r="B24" s="328"/>
      <c r="C24" s="329"/>
      <c r="D24" s="334"/>
      <c r="E24" s="335"/>
      <c r="F24" s="335"/>
      <c r="G24" s="335"/>
      <c r="H24" s="297"/>
      <c r="I24" s="339"/>
    </row>
    <row r="25" spans="1:9" ht="27" customHeight="1" x14ac:dyDescent="0.2">
      <c r="A25" s="357"/>
      <c r="B25" s="330"/>
      <c r="C25" s="331"/>
      <c r="D25" s="336"/>
      <c r="E25" s="337"/>
      <c r="F25" s="337"/>
      <c r="G25" s="337"/>
      <c r="H25" s="297"/>
      <c r="I25" s="340"/>
    </row>
    <row r="26" spans="1:9" ht="27" customHeight="1" x14ac:dyDescent="0.2">
      <c r="A26" s="357">
        <v>4</v>
      </c>
      <c r="B26" s="326" t="s">
        <v>1</v>
      </c>
      <c r="C26" s="327"/>
      <c r="D26" s="332"/>
      <c r="E26" s="333"/>
      <c r="F26" s="333"/>
      <c r="G26" s="333"/>
      <c r="H26" s="297"/>
      <c r="I26" s="338"/>
    </row>
    <row r="27" spans="1:9" ht="27" customHeight="1" x14ac:dyDescent="0.2">
      <c r="A27" s="357"/>
      <c r="B27" s="328"/>
      <c r="C27" s="329"/>
      <c r="D27" s="334"/>
      <c r="E27" s="335"/>
      <c r="F27" s="335"/>
      <c r="G27" s="335"/>
      <c r="H27" s="297"/>
      <c r="I27" s="339"/>
    </row>
    <row r="28" spans="1:9" ht="27" customHeight="1" x14ac:dyDescent="0.2">
      <c r="A28" s="357"/>
      <c r="B28" s="330"/>
      <c r="C28" s="331"/>
      <c r="D28" s="336"/>
      <c r="E28" s="337"/>
      <c r="F28" s="337"/>
      <c r="G28" s="337"/>
      <c r="H28" s="297"/>
      <c r="I28" s="340"/>
    </row>
    <row r="29" spans="1:9" ht="27" customHeight="1" x14ac:dyDescent="0.2">
      <c r="A29" s="357">
        <v>5</v>
      </c>
      <c r="B29" s="326" t="s">
        <v>1</v>
      </c>
      <c r="C29" s="327"/>
      <c r="D29" s="332"/>
      <c r="E29" s="333"/>
      <c r="F29" s="333"/>
      <c r="G29" s="333"/>
      <c r="H29" s="297"/>
      <c r="I29" s="338"/>
    </row>
    <row r="30" spans="1:9" ht="27" customHeight="1" x14ac:dyDescent="0.2">
      <c r="A30" s="357"/>
      <c r="B30" s="328"/>
      <c r="C30" s="329"/>
      <c r="D30" s="334"/>
      <c r="E30" s="335"/>
      <c r="F30" s="335"/>
      <c r="G30" s="335"/>
      <c r="H30" s="297"/>
      <c r="I30" s="339"/>
    </row>
    <row r="31" spans="1:9" ht="27" customHeight="1" x14ac:dyDescent="0.2">
      <c r="A31" s="357"/>
      <c r="B31" s="330"/>
      <c r="C31" s="331"/>
      <c r="D31" s="336"/>
      <c r="E31" s="337"/>
      <c r="F31" s="337"/>
      <c r="G31" s="337"/>
      <c r="H31" s="297"/>
      <c r="I31" s="340"/>
    </row>
    <row r="32" spans="1:9" ht="27" customHeight="1" x14ac:dyDescent="0.2">
      <c r="A32" s="357">
        <v>6</v>
      </c>
      <c r="B32" s="326" t="s">
        <v>1</v>
      </c>
      <c r="C32" s="327"/>
      <c r="D32" s="332"/>
      <c r="E32" s="333"/>
      <c r="F32" s="333"/>
      <c r="G32" s="333"/>
      <c r="H32" s="297"/>
      <c r="I32" s="338"/>
    </row>
    <row r="33" spans="1:9" ht="27" customHeight="1" x14ac:dyDescent="0.2">
      <c r="A33" s="357"/>
      <c r="B33" s="328"/>
      <c r="C33" s="329"/>
      <c r="D33" s="334"/>
      <c r="E33" s="335"/>
      <c r="F33" s="335"/>
      <c r="G33" s="335"/>
      <c r="H33" s="297"/>
      <c r="I33" s="339"/>
    </row>
    <row r="34" spans="1:9" ht="27" customHeight="1" x14ac:dyDescent="0.2">
      <c r="A34" s="357"/>
      <c r="B34" s="330"/>
      <c r="C34" s="331"/>
      <c r="D34" s="336"/>
      <c r="E34" s="337"/>
      <c r="F34" s="337"/>
      <c r="G34" s="337"/>
      <c r="H34" s="297"/>
      <c r="I34" s="340"/>
    </row>
    <row r="35" spans="1:9" ht="27" customHeight="1" x14ac:dyDescent="0.2">
      <c r="A35" s="357">
        <v>7</v>
      </c>
      <c r="B35" s="326" t="s">
        <v>1</v>
      </c>
      <c r="C35" s="327"/>
      <c r="D35" s="332"/>
      <c r="E35" s="333"/>
      <c r="F35" s="333"/>
      <c r="G35" s="333"/>
      <c r="H35" s="297"/>
      <c r="I35" s="338"/>
    </row>
    <row r="36" spans="1:9" ht="27" customHeight="1" x14ac:dyDescent="0.2">
      <c r="A36" s="357"/>
      <c r="B36" s="328"/>
      <c r="C36" s="329"/>
      <c r="D36" s="334"/>
      <c r="E36" s="335"/>
      <c r="F36" s="335"/>
      <c r="G36" s="335"/>
      <c r="H36" s="297"/>
      <c r="I36" s="339"/>
    </row>
    <row r="37" spans="1:9" ht="27" customHeight="1" x14ac:dyDescent="0.2">
      <c r="A37" s="357"/>
      <c r="B37" s="330"/>
      <c r="C37" s="331"/>
      <c r="D37" s="336"/>
      <c r="E37" s="337"/>
      <c r="F37" s="337"/>
      <c r="G37" s="337"/>
      <c r="H37" s="297"/>
      <c r="I37" s="340"/>
    </row>
    <row r="38" spans="1:9" ht="27" customHeight="1" x14ac:dyDescent="0.2">
      <c r="A38" s="357">
        <v>8</v>
      </c>
      <c r="B38" s="326" t="s">
        <v>1</v>
      </c>
      <c r="C38" s="327"/>
      <c r="D38" s="332"/>
      <c r="E38" s="333"/>
      <c r="F38" s="333"/>
      <c r="G38" s="333"/>
      <c r="H38" s="297"/>
      <c r="I38" s="338"/>
    </row>
    <row r="39" spans="1:9" ht="27" customHeight="1" x14ac:dyDescent="0.2">
      <c r="A39" s="357"/>
      <c r="B39" s="328"/>
      <c r="C39" s="329"/>
      <c r="D39" s="334"/>
      <c r="E39" s="335"/>
      <c r="F39" s="335"/>
      <c r="G39" s="335"/>
      <c r="H39" s="297"/>
      <c r="I39" s="339"/>
    </row>
    <row r="40" spans="1:9" ht="27" customHeight="1" x14ac:dyDescent="0.2">
      <c r="A40" s="357"/>
      <c r="B40" s="330"/>
      <c r="C40" s="331"/>
      <c r="D40" s="336"/>
      <c r="E40" s="337"/>
      <c r="F40" s="337"/>
      <c r="G40" s="337"/>
      <c r="H40" s="297"/>
      <c r="I40" s="340"/>
    </row>
    <row r="41" spans="1:9" ht="27" customHeight="1" x14ac:dyDescent="0.2">
      <c r="A41" s="357">
        <v>9</v>
      </c>
      <c r="B41" s="326" t="s">
        <v>1</v>
      </c>
      <c r="C41" s="327"/>
      <c r="D41" s="332"/>
      <c r="E41" s="333"/>
      <c r="F41" s="333"/>
      <c r="G41" s="333"/>
      <c r="H41" s="297"/>
      <c r="I41" s="338"/>
    </row>
    <row r="42" spans="1:9" ht="27" customHeight="1" x14ac:dyDescent="0.2">
      <c r="A42" s="357"/>
      <c r="B42" s="328"/>
      <c r="C42" s="329"/>
      <c r="D42" s="334"/>
      <c r="E42" s="335"/>
      <c r="F42" s="335"/>
      <c r="G42" s="335"/>
      <c r="H42" s="297"/>
      <c r="I42" s="339"/>
    </row>
    <row r="43" spans="1:9" ht="27" customHeight="1" x14ac:dyDescent="0.2">
      <c r="A43" s="357"/>
      <c r="B43" s="330"/>
      <c r="C43" s="331"/>
      <c r="D43" s="336"/>
      <c r="E43" s="337"/>
      <c r="F43" s="337"/>
      <c r="G43" s="337"/>
      <c r="H43" s="297"/>
      <c r="I43" s="340"/>
    </row>
    <row r="44" spans="1:9" ht="27" customHeight="1" x14ac:dyDescent="0.2">
      <c r="A44" s="357">
        <v>10</v>
      </c>
      <c r="B44" s="326" t="s">
        <v>1</v>
      </c>
      <c r="C44" s="327"/>
      <c r="D44" s="332"/>
      <c r="E44" s="333"/>
      <c r="F44" s="333"/>
      <c r="G44" s="333"/>
      <c r="H44" s="297"/>
      <c r="I44" s="338"/>
    </row>
    <row r="45" spans="1:9" ht="27" customHeight="1" x14ac:dyDescent="0.2">
      <c r="A45" s="357"/>
      <c r="B45" s="328"/>
      <c r="C45" s="329"/>
      <c r="D45" s="334"/>
      <c r="E45" s="335"/>
      <c r="F45" s="335"/>
      <c r="G45" s="335"/>
      <c r="H45" s="297"/>
      <c r="I45" s="339"/>
    </row>
    <row r="46" spans="1:9" ht="27" customHeight="1" x14ac:dyDescent="0.2">
      <c r="A46" s="357"/>
      <c r="B46" s="330"/>
      <c r="C46" s="331"/>
      <c r="D46" s="336"/>
      <c r="E46" s="337"/>
      <c r="F46" s="337"/>
      <c r="G46" s="337"/>
      <c r="H46" s="297"/>
      <c r="I46" s="340"/>
    </row>
    <row r="47" spans="1:9" ht="27" customHeight="1" x14ac:dyDescent="0.2">
      <c r="A47" s="357">
        <v>11</v>
      </c>
      <c r="B47" s="326" t="s">
        <v>1</v>
      </c>
      <c r="C47" s="327"/>
      <c r="D47" s="332"/>
      <c r="E47" s="333"/>
      <c r="F47" s="333"/>
      <c r="G47" s="333"/>
      <c r="H47" s="297"/>
      <c r="I47" s="338"/>
    </row>
    <row r="48" spans="1:9" ht="27" customHeight="1" x14ac:dyDescent="0.2">
      <c r="A48" s="357"/>
      <c r="B48" s="328"/>
      <c r="C48" s="329"/>
      <c r="D48" s="334"/>
      <c r="E48" s="335"/>
      <c r="F48" s="335"/>
      <c r="G48" s="335"/>
      <c r="H48" s="297"/>
      <c r="I48" s="339"/>
    </row>
    <row r="49" spans="1:9" ht="27" customHeight="1" x14ac:dyDescent="0.2">
      <c r="A49" s="357"/>
      <c r="B49" s="330"/>
      <c r="C49" s="331"/>
      <c r="D49" s="336"/>
      <c r="E49" s="337"/>
      <c r="F49" s="337"/>
      <c r="G49" s="337"/>
      <c r="H49" s="297"/>
      <c r="I49" s="340"/>
    </row>
    <row r="50" spans="1:9" ht="27" customHeight="1" x14ac:dyDescent="0.2">
      <c r="A50" s="357">
        <v>12</v>
      </c>
      <c r="B50" s="326" t="s">
        <v>1</v>
      </c>
      <c r="C50" s="327"/>
      <c r="D50" s="332"/>
      <c r="E50" s="333"/>
      <c r="F50" s="333"/>
      <c r="G50" s="333"/>
      <c r="H50" s="297"/>
      <c r="I50" s="338"/>
    </row>
    <row r="51" spans="1:9" ht="27" customHeight="1" x14ac:dyDescent="0.2">
      <c r="A51" s="357"/>
      <c r="B51" s="328"/>
      <c r="C51" s="329"/>
      <c r="D51" s="334"/>
      <c r="E51" s="335"/>
      <c r="F51" s="335"/>
      <c r="G51" s="335"/>
      <c r="H51" s="297"/>
      <c r="I51" s="339"/>
    </row>
    <row r="52" spans="1:9" ht="27" customHeight="1" x14ac:dyDescent="0.2">
      <c r="A52" s="357"/>
      <c r="B52" s="330"/>
      <c r="C52" s="331"/>
      <c r="D52" s="336"/>
      <c r="E52" s="337"/>
      <c r="F52" s="337"/>
      <c r="G52" s="337"/>
      <c r="H52" s="297"/>
      <c r="I52" s="340"/>
    </row>
    <row r="53" spans="1:9" ht="36" customHeight="1" x14ac:dyDescent="0.2">
      <c r="A53" s="357">
        <v>13</v>
      </c>
      <c r="B53" s="358"/>
      <c r="C53" s="327"/>
      <c r="D53" s="365"/>
      <c r="E53" s="333"/>
      <c r="F53" s="333"/>
      <c r="G53" s="333"/>
      <c r="H53" s="210"/>
      <c r="I53" s="338"/>
    </row>
    <row r="54" spans="1:9" ht="36" customHeight="1" x14ac:dyDescent="0.2">
      <c r="A54" s="357"/>
      <c r="B54" s="328"/>
      <c r="C54" s="329"/>
      <c r="D54" s="334"/>
      <c r="E54" s="335"/>
      <c r="F54" s="335"/>
      <c r="G54" s="335"/>
      <c r="H54" s="297"/>
      <c r="I54" s="339"/>
    </row>
    <row r="55" spans="1:9" ht="36" customHeight="1" x14ac:dyDescent="0.2">
      <c r="A55" s="357"/>
      <c r="B55" s="330"/>
      <c r="C55" s="331"/>
      <c r="D55" s="336"/>
      <c r="E55" s="337"/>
      <c r="F55" s="337"/>
      <c r="G55" s="337"/>
      <c r="H55" s="297"/>
      <c r="I55" s="340"/>
    </row>
    <row r="56" spans="1:9" ht="18.75" customHeight="1" x14ac:dyDescent="0.2">
      <c r="A56" s="362"/>
      <c r="B56" s="363"/>
      <c r="C56" s="363"/>
      <c r="D56" s="363"/>
      <c r="E56" s="363"/>
      <c r="F56" s="363"/>
      <c r="G56" s="363"/>
      <c r="H56" s="363"/>
      <c r="I56" s="364"/>
    </row>
    <row r="57" spans="1:9" ht="33.75" customHeight="1" x14ac:dyDescent="0.2">
      <c r="A57" s="357">
        <v>14</v>
      </c>
      <c r="B57" s="358"/>
      <c r="C57" s="327"/>
      <c r="D57" s="365"/>
      <c r="E57" s="366"/>
      <c r="F57" s="366"/>
      <c r="G57" s="367"/>
      <c r="H57" s="374"/>
      <c r="I57" s="374"/>
    </row>
    <row r="58" spans="1:9" ht="33.75" customHeight="1" x14ac:dyDescent="0.2">
      <c r="A58" s="357"/>
      <c r="B58" s="328"/>
      <c r="C58" s="329"/>
      <c r="D58" s="368"/>
      <c r="E58" s="369"/>
      <c r="F58" s="369"/>
      <c r="G58" s="370"/>
      <c r="H58" s="375"/>
      <c r="I58" s="375"/>
    </row>
    <row r="59" spans="1:9" ht="33.75" customHeight="1" x14ac:dyDescent="0.2">
      <c r="A59" s="357"/>
      <c r="B59" s="330"/>
      <c r="C59" s="331"/>
      <c r="D59" s="371"/>
      <c r="E59" s="372"/>
      <c r="F59" s="372"/>
      <c r="G59" s="373"/>
      <c r="H59" s="376"/>
      <c r="I59" s="376"/>
    </row>
  </sheetData>
  <protectedRanges>
    <protectedRange sqref="D15 H15:I15" name="Rango1_1_3_1"/>
    <protectedRange sqref="C2:D4 I2 G7 C7 C5 E3:F3 E4:G4" name="Rango1_2_1"/>
    <protectedRange sqref="H7:I10" name="Rango1_1_1_1"/>
  </protectedRanges>
  <mergeCells count="98">
    <mergeCell ref="A41:A43"/>
    <mergeCell ref="A44:A46"/>
    <mergeCell ref="A26:A28"/>
    <mergeCell ref="A29:A31"/>
    <mergeCell ref="A32:A34"/>
    <mergeCell ref="A35:A37"/>
    <mergeCell ref="A38:A40"/>
    <mergeCell ref="A57:A59"/>
    <mergeCell ref="B57:C59"/>
    <mergeCell ref="D57:G59"/>
    <mergeCell ref="H57:H59"/>
    <mergeCell ref="I57:I59"/>
    <mergeCell ref="A56:I56"/>
    <mergeCell ref="A47:A49"/>
    <mergeCell ref="B47:C49"/>
    <mergeCell ref="D47:G49"/>
    <mergeCell ref="H47:H49"/>
    <mergeCell ref="I47:I49"/>
    <mergeCell ref="A50:A52"/>
    <mergeCell ref="B50:C52"/>
    <mergeCell ref="D50:G52"/>
    <mergeCell ref="H50:H52"/>
    <mergeCell ref="A53:A55"/>
    <mergeCell ref="B53:C55"/>
    <mergeCell ref="D53:G55"/>
    <mergeCell ref="H53:H55"/>
    <mergeCell ref="I53:I55"/>
    <mergeCell ref="I50:I52"/>
    <mergeCell ref="I23:I25"/>
    <mergeCell ref="H17:H18"/>
    <mergeCell ref="I17:I18"/>
    <mergeCell ref="A19:A22"/>
    <mergeCell ref="B19:C19"/>
    <mergeCell ref="D19:G19"/>
    <mergeCell ref="B20:C20"/>
    <mergeCell ref="D20:G20"/>
    <mergeCell ref="B21:C21"/>
    <mergeCell ref="D21:G21"/>
    <mergeCell ref="B22:C22"/>
    <mergeCell ref="D22:G22"/>
    <mergeCell ref="A23:A25"/>
    <mergeCell ref="B23:C25"/>
    <mergeCell ref="D23:G25"/>
    <mergeCell ref="H23:H25"/>
    <mergeCell ref="B15:C15"/>
    <mergeCell ref="D15:G15"/>
    <mergeCell ref="B16:C16"/>
    <mergeCell ref="D16:G16"/>
    <mergeCell ref="A17:A18"/>
    <mergeCell ref="B17:C18"/>
    <mergeCell ref="D17:G18"/>
    <mergeCell ref="H1:I1"/>
    <mergeCell ref="C1:G1"/>
    <mergeCell ref="H3:I3"/>
    <mergeCell ref="H4:I4"/>
    <mergeCell ref="G2:I2"/>
    <mergeCell ref="E2:F2"/>
    <mergeCell ref="C4:D4"/>
    <mergeCell ref="C2:D2"/>
    <mergeCell ref="C3:D3"/>
    <mergeCell ref="B14:I14"/>
    <mergeCell ref="B13:I13"/>
    <mergeCell ref="C7:F10"/>
    <mergeCell ref="B7:B10"/>
    <mergeCell ref="G5:I5"/>
    <mergeCell ref="B5:B6"/>
    <mergeCell ref="C5:F6"/>
    <mergeCell ref="C12:I12"/>
    <mergeCell ref="C11:I11"/>
    <mergeCell ref="G6:H6"/>
    <mergeCell ref="B26:C28"/>
    <mergeCell ref="D26:G28"/>
    <mergeCell ref="H26:H28"/>
    <mergeCell ref="I26:I28"/>
    <mergeCell ref="B29:C31"/>
    <mergeCell ref="D29:G31"/>
    <mergeCell ref="H29:H31"/>
    <mergeCell ref="I29:I31"/>
    <mergeCell ref="B32:C34"/>
    <mergeCell ref="D32:G34"/>
    <mergeCell ref="H32:H34"/>
    <mergeCell ref="I32:I34"/>
    <mergeCell ref="B35:C37"/>
    <mergeCell ref="D35:G37"/>
    <mergeCell ref="H35:H37"/>
    <mergeCell ref="I35:I37"/>
    <mergeCell ref="B44:C46"/>
    <mergeCell ref="D44:G46"/>
    <mergeCell ref="H44:H46"/>
    <mergeCell ref="I44:I46"/>
    <mergeCell ref="B38:C40"/>
    <mergeCell ref="D38:G40"/>
    <mergeCell ref="H38:H40"/>
    <mergeCell ref="I38:I40"/>
    <mergeCell ref="B41:C43"/>
    <mergeCell ref="D41:G43"/>
    <mergeCell ref="H41:H43"/>
    <mergeCell ref="I41:I43"/>
  </mergeCells>
  <printOptions horizontalCentered="1" verticalCentered="1"/>
  <pageMargins left="0.15748031496062992" right="0.15748031496062992" top="0.15748031496062992" bottom="0.35433070866141736" header="0.62992125984251968" footer="0.27559055118110237"/>
  <pageSetup paperSize="9" scale="83" orientation="portrait" r:id="rId1"/>
  <headerFooter>
    <oddFooter xml:space="preserve">&amp;C&amp;P de &amp;N&amp;Rwww.cpavitoria06.com   
info@cpavitoria06.com </oddFooter>
  </headerFooter>
  <rowBreaks count="1" manualBreakCount="1">
    <brk id="75" max="8"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A1:AS46"/>
  <sheetViews>
    <sheetView showGridLines="0" zoomScale="40" zoomScaleNormal="40" workbookViewId="0">
      <selection activeCell="R42" sqref="R42"/>
    </sheetView>
  </sheetViews>
  <sheetFormatPr baseColWidth="10" defaultRowHeight="12.75" x14ac:dyDescent="0.2"/>
  <cols>
    <col min="1" max="1" width="16.42578125" style="80" customWidth="1"/>
    <col min="2" max="5" width="10.85546875" style="5" customWidth="1"/>
    <col min="6" max="6" width="13.5703125" style="5" customWidth="1"/>
    <col min="7" max="7" width="10.85546875" style="5" customWidth="1"/>
    <col min="8" max="8" width="16.28515625" style="5" customWidth="1"/>
    <col min="9" max="9" width="12" style="5" customWidth="1"/>
    <col min="10" max="10" width="12.140625" style="5" customWidth="1"/>
    <col min="11" max="11" width="14.140625" style="5" customWidth="1"/>
    <col min="12" max="38" width="12.140625" style="5" customWidth="1"/>
    <col min="39" max="39" width="17.7109375" style="5" customWidth="1"/>
    <col min="40" max="54" width="4.28515625" style="5" customWidth="1"/>
    <col min="55" max="16384" width="11.42578125" style="5"/>
  </cols>
  <sheetData>
    <row r="1" spans="1:45" ht="178.5" customHeight="1" x14ac:dyDescent="0.2">
      <c r="B1" s="297"/>
      <c r="C1" s="297"/>
      <c r="D1" s="297"/>
      <c r="E1" s="297"/>
      <c r="F1" s="297"/>
      <c r="G1" s="297"/>
      <c r="H1" s="297"/>
      <c r="I1" s="380" t="s">
        <v>86</v>
      </c>
      <c r="J1" s="318"/>
      <c r="K1" s="318"/>
      <c r="L1" s="318"/>
      <c r="M1" s="318"/>
      <c r="N1" s="318"/>
      <c r="O1" s="318"/>
      <c r="P1" s="318"/>
      <c r="Q1" s="318"/>
      <c r="R1" s="318"/>
      <c r="S1" s="318"/>
      <c r="T1" s="318"/>
      <c r="U1" s="318"/>
      <c r="V1" s="318"/>
      <c r="W1" s="318"/>
      <c r="X1" s="318"/>
      <c r="Y1" s="318"/>
      <c r="Z1" s="318"/>
      <c r="AA1" s="318"/>
      <c r="AB1" s="318"/>
      <c r="AC1" s="318"/>
      <c r="AD1" s="318"/>
      <c r="AE1" s="318"/>
      <c r="AF1" s="318"/>
      <c r="AG1" s="318"/>
      <c r="AH1" s="318"/>
      <c r="AI1" s="318"/>
      <c r="AJ1" s="381" t="s">
        <v>114</v>
      </c>
      <c r="AK1" s="381"/>
      <c r="AL1" s="381"/>
      <c r="AM1" s="381"/>
    </row>
    <row r="2" spans="1:45" s="82" customFormat="1" ht="110.25" customHeight="1" thickBot="1" x14ac:dyDescent="0.25">
      <c r="A2" s="3"/>
      <c r="B2" s="382" t="s">
        <v>115</v>
      </c>
      <c r="C2" s="382"/>
      <c r="D2" s="382"/>
      <c r="E2" s="382"/>
      <c r="F2" s="382"/>
      <c r="G2" s="382"/>
      <c r="H2" s="382"/>
      <c r="I2" s="81"/>
      <c r="J2" s="81"/>
      <c r="K2" s="81"/>
      <c r="L2" s="81"/>
      <c r="M2" s="81"/>
      <c r="N2" s="81"/>
      <c r="O2" s="81"/>
      <c r="P2" s="81"/>
      <c r="Q2" s="81"/>
      <c r="R2" s="81"/>
      <c r="S2" s="81"/>
      <c r="T2" s="81"/>
      <c r="U2" s="81"/>
      <c r="V2" s="81"/>
      <c r="W2" s="81"/>
      <c r="X2" s="81"/>
      <c r="Y2" s="81"/>
      <c r="Z2" s="81"/>
      <c r="AA2" s="81"/>
      <c r="AB2" s="81"/>
      <c r="AC2" s="81"/>
      <c r="AD2" s="81"/>
      <c r="AE2" s="81"/>
      <c r="AF2" s="81"/>
      <c r="AG2" s="81"/>
      <c r="AH2" s="81"/>
      <c r="AI2" s="81"/>
      <c r="AJ2" s="81"/>
      <c r="AK2" s="81"/>
      <c r="AL2" s="81"/>
      <c r="AM2" s="62" t="s">
        <v>0</v>
      </c>
      <c r="AN2" s="3"/>
      <c r="AO2" s="3"/>
      <c r="AP2" s="3"/>
      <c r="AQ2" s="3"/>
      <c r="AR2" s="3"/>
      <c r="AS2" s="3"/>
    </row>
    <row r="3" spans="1:45" ht="50.25" customHeight="1" x14ac:dyDescent="0.2">
      <c r="A3" s="383" t="s">
        <v>115</v>
      </c>
      <c r="B3" s="386"/>
      <c r="C3" s="387"/>
      <c r="D3" s="387"/>
      <c r="E3" s="387"/>
      <c r="F3" s="387"/>
      <c r="G3" s="387"/>
      <c r="H3" s="387"/>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3">
        <f>SUM(I3:AL3)</f>
        <v>0</v>
      </c>
      <c r="AN3" s="80"/>
      <c r="AO3" s="80"/>
      <c r="AP3" s="80"/>
      <c r="AQ3" s="80"/>
      <c r="AR3" s="80"/>
      <c r="AS3" s="80"/>
    </row>
    <row r="4" spans="1:45" ht="50.25" customHeight="1" x14ac:dyDescent="0.2">
      <c r="A4" s="384"/>
      <c r="B4" s="386" t="s">
        <v>1</v>
      </c>
      <c r="C4" s="387"/>
      <c r="D4" s="387"/>
      <c r="E4" s="387"/>
      <c r="F4" s="387"/>
      <c r="G4" s="387"/>
      <c r="H4" s="387"/>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3">
        <f>SUM(I4:AL4)</f>
        <v>0</v>
      </c>
      <c r="AN4" s="80"/>
      <c r="AO4" s="80"/>
      <c r="AP4" s="80"/>
      <c r="AQ4" s="80"/>
      <c r="AR4" s="80"/>
      <c r="AS4" s="80"/>
    </row>
    <row r="5" spans="1:45" ht="50.25" customHeight="1" x14ac:dyDescent="0.2">
      <c r="A5" s="384"/>
      <c r="B5" s="388" t="s">
        <v>1</v>
      </c>
      <c r="C5" s="389"/>
      <c r="D5" s="389"/>
      <c r="E5" s="389"/>
      <c r="F5" s="389"/>
      <c r="G5" s="389"/>
      <c r="H5" s="389"/>
      <c r="I5" s="6"/>
      <c r="J5" s="6"/>
      <c r="K5" s="6"/>
      <c r="L5" s="6"/>
      <c r="M5" s="6"/>
      <c r="N5" s="6"/>
      <c r="O5" s="6"/>
      <c r="P5" s="6"/>
      <c r="Q5" s="6"/>
      <c r="R5" s="6"/>
      <c r="S5" s="6"/>
      <c r="T5" s="6"/>
      <c r="U5" s="6"/>
      <c r="V5" s="6"/>
      <c r="W5" s="6"/>
      <c r="X5" s="6"/>
      <c r="Y5" s="6"/>
      <c r="Z5" s="6"/>
      <c r="AA5" s="6"/>
      <c r="AB5" s="6"/>
      <c r="AC5" s="6"/>
      <c r="AD5" s="6"/>
      <c r="AE5" s="6"/>
      <c r="AF5" s="6"/>
      <c r="AG5" s="6"/>
      <c r="AH5" s="6"/>
      <c r="AI5" s="6"/>
      <c r="AJ5" s="6"/>
      <c r="AK5" s="6"/>
      <c r="AL5" s="6"/>
      <c r="AM5" s="63">
        <f>SUM(I5:AL5)</f>
        <v>0</v>
      </c>
      <c r="AN5" s="80"/>
      <c r="AO5" s="80"/>
      <c r="AP5" s="80"/>
      <c r="AQ5" s="80"/>
      <c r="AR5" s="80"/>
      <c r="AS5" s="80"/>
    </row>
    <row r="6" spans="1:45" ht="50.25" customHeight="1" x14ac:dyDescent="0.2">
      <c r="A6" s="384"/>
      <c r="B6" s="388" t="s">
        <v>1</v>
      </c>
      <c r="C6" s="389"/>
      <c r="D6" s="389"/>
      <c r="E6" s="389"/>
      <c r="F6" s="389"/>
      <c r="G6" s="389"/>
      <c r="H6" s="389"/>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3">
        <f>SUM(I6:AL6)</f>
        <v>0</v>
      </c>
      <c r="AN6" s="80"/>
      <c r="AO6" s="80"/>
      <c r="AP6" s="80"/>
      <c r="AQ6" s="80"/>
      <c r="AR6" s="80"/>
      <c r="AS6" s="80"/>
    </row>
    <row r="7" spans="1:45" ht="50.25" customHeight="1" x14ac:dyDescent="0.2">
      <c r="A7" s="384"/>
      <c r="B7" s="388" t="s">
        <v>1</v>
      </c>
      <c r="C7" s="389"/>
      <c r="D7" s="389"/>
      <c r="E7" s="389"/>
      <c r="F7" s="389"/>
      <c r="G7" s="389"/>
      <c r="H7" s="389"/>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3">
        <f>SUM(I7:AL7)</f>
        <v>0</v>
      </c>
      <c r="AN7" s="80"/>
      <c r="AO7" s="80"/>
      <c r="AP7" s="80"/>
      <c r="AQ7" s="80"/>
      <c r="AR7" s="80"/>
      <c r="AS7" s="80"/>
    </row>
    <row r="8" spans="1:45" ht="50.25" customHeight="1" thickBot="1" x14ac:dyDescent="0.25">
      <c r="A8" s="385"/>
      <c r="B8" s="388" t="s">
        <v>1</v>
      </c>
      <c r="C8" s="389"/>
      <c r="D8" s="389"/>
      <c r="E8" s="389"/>
      <c r="F8" s="389"/>
      <c r="G8" s="389"/>
      <c r="H8" s="389"/>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3">
        <f>SUM(I8:AL8)</f>
        <v>0</v>
      </c>
      <c r="AN8" s="80"/>
      <c r="AO8" s="80"/>
      <c r="AP8" s="80"/>
      <c r="AQ8" s="80"/>
      <c r="AR8" s="80"/>
      <c r="AS8" s="80"/>
    </row>
    <row r="9" spans="1:45" ht="114.75" customHeight="1" thickBot="1" x14ac:dyDescent="0.25">
      <c r="B9" s="379" t="s">
        <v>12</v>
      </c>
      <c r="C9" s="379"/>
      <c r="D9" s="379"/>
      <c r="E9" s="379"/>
      <c r="F9" s="379"/>
      <c r="G9" s="379"/>
      <c r="H9" s="379"/>
      <c r="I9" s="402" t="s">
        <v>1</v>
      </c>
      <c r="J9" s="402"/>
      <c r="K9" s="402"/>
      <c r="L9" s="402"/>
      <c r="M9" s="402"/>
      <c r="N9" s="402"/>
      <c r="O9" s="402"/>
      <c r="P9" s="402"/>
      <c r="Q9" s="402"/>
      <c r="R9" s="402"/>
      <c r="S9" s="402"/>
      <c r="T9" s="402"/>
      <c r="U9" s="402"/>
      <c r="V9" s="402"/>
      <c r="W9" s="402"/>
      <c r="X9" s="402"/>
      <c r="Y9" s="402"/>
      <c r="Z9" s="402"/>
      <c r="AA9" s="402"/>
      <c r="AB9" s="402"/>
      <c r="AC9" s="402"/>
      <c r="AD9" s="402"/>
      <c r="AE9" s="402"/>
      <c r="AF9" s="402"/>
      <c r="AG9" s="402"/>
      <c r="AH9" s="402"/>
      <c r="AI9" s="402"/>
      <c r="AJ9" s="402"/>
      <c r="AK9" s="402"/>
      <c r="AL9" s="402"/>
      <c r="AM9" s="402"/>
      <c r="AN9" s="80"/>
      <c r="AO9" s="80"/>
      <c r="AP9" s="80"/>
      <c r="AQ9" s="80"/>
      <c r="AR9" s="80"/>
      <c r="AS9" s="80"/>
    </row>
    <row r="10" spans="1:45" s="86" customFormat="1" ht="49.5" customHeight="1" thickBot="1" x14ac:dyDescent="0.25">
      <c r="A10" s="383" t="s">
        <v>116</v>
      </c>
      <c r="B10" s="403" t="s">
        <v>5</v>
      </c>
      <c r="C10" s="404"/>
      <c r="D10" s="404"/>
      <c r="E10" s="404"/>
      <c r="F10" s="404"/>
      <c r="G10" s="404"/>
      <c r="H10" s="405"/>
      <c r="I10" s="83">
        <f>I11+I12</f>
        <v>0</v>
      </c>
      <c r="J10" s="84">
        <f t="shared" ref="J10:AL10" si="0">J11+J12</f>
        <v>0</v>
      </c>
      <c r="K10" s="84">
        <f t="shared" si="0"/>
        <v>0</v>
      </c>
      <c r="L10" s="84">
        <f t="shared" si="0"/>
        <v>0</v>
      </c>
      <c r="M10" s="84">
        <f t="shared" si="0"/>
        <v>0</v>
      </c>
      <c r="N10" s="84">
        <f t="shared" si="0"/>
        <v>0</v>
      </c>
      <c r="O10" s="84">
        <f t="shared" si="0"/>
        <v>0</v>
      </c>
      <c r="P10" s="84">
        <f t="shared" si="0"/>
        <v>0</v>
      </c>
      <c r="Q10" s="84">
        <f t="shared" si="0"/>
        <v>0</v>
      </c>
      <c r="R10" s="84">
        <f t="shared" si="0"/>
        <v>0</v>
      </c>
      <c r="S10" s="84">
        <f t="shared" si="0"/>
        <v>0</v>
      </c>
      <c r="T10" s="84">
        <f t="shared" si="0"/>
        <v>0</v>
      </c>
      <c r="U10" s="84">
        <f t="shared" si="0"/>
        <v>0</v>
      </c>
      <c r="V10" s="84">
        <f t="shared" si="0"/>
        <v>0</v>
      </c>
      <c r="W10" s="84">
        <f t="shared" si="0"/>
        <v>0</v>
      </c>
      <c r="X10" s="84">
        <f t="shared" si="0"/>
        <v>0</v>
      </c>
      <c r="Y10" s="84">
        <f t="shared" si="0"/>
        <v>0</v>
      </c>
      <c r="Z10" s="84">
        <f t="shared" si="0"/>
        <v>0</v>
      </c>
      <c r="AA10" s="84">
        <f t="shared" si="0"/>
        <v>0</v>
      </c>
      <c r="AB10" s="84">
        <f t="shared" si="0"/>
        <v>0</v>
      </c>
      <c r="AC10" s="84">
        <f t="shared" si="0"/>
        <v>0</v>
      </c>
      <c r="AD10" s="84">
        <f t="shared" si="0"/>
        <v>0</v>
      </c>
      <c r="AE10" s="84">
        <f t="shared" si="0"/>
        <v>0</v>
      </c>
      <c r="AF10" s="84">
        <f t="shared" si="0"/>
        <v>0</v>
      </c>
      <c r="AG10" s="84">
        <f t="shared" si="0"/>
        <v>0</v>
      </c>
      <c r="AH10" s="84">
        <f t="shared" si="0"/>
        <v>0</v>
      </c>
      <c r="AI10" s="84">
        <f t="shared" si="0"/>
        <v>0</v>
      </c>
      <c r="AJ10" s="84">
        <f t="shared" si="0"/>
        <v>0</v>
      </c>
      <c r="AK10" s="84">
        <f t="shared" si="0"/>
        <v>0</v>
      </c>
      <c r="AL10" s="84">
        <f t="shared" si="0"/>
        <v>0</v>
      </c>
      <c r="AM10" s="85">
        <f>SUM(I10:AL10)</f>
        <v>0</v>
      </c>
      <c r="AN10" s="2"/>
      <c r="AO10" s="2"/>
      <c r="AP10" s="2"/>
      <c r="AQ10" s="2"/>
      <c r="AR10" s="2"/>
      <c r="AS10" s="2"/>
    </row>
    <row r="11" spans="1:45" s="86" customFormat="1" ht="49.5" customHeight="1" x14ac:dyDescent="0.2">
      <c r="A11" s="384"/>
      <c r="B11" s="406" t="s">
        <v>6</v>
      </c>
      <c r="C11" s="407"/>
      <c r="D11" s="407"/>
      <c r="E11" s="407"/>
      <c r="F11" s="407"/>
      <c r="G11" s="407"/>
      <c r="H11" s="40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8">
        <f>SUM(I11:AL11)</f>
        <v>0</v>
      </c>
      <c r="AN11" s="2"/>
      <c r="AO11" s="2"/>
      <c r="AP11" s="2"/>
      <c r="AQ11" s="2"/>
      <c r="AR11" s="2"/>
      <c r="AS11" s="2"/>
    </row>
    <row r="12" spans="1:45" s="86" customFormat="1" ht="49.5" customHeight="1" x14ac:dyDescent="0.2">
      <c r="A12" s="384"/>
      <c r="B12" s="408" t="s">
        <v>7</v>
      </c>
      <c r="C12" s="409"/>
      <c r="D12" s="409"/>
      <c r="E12" s="409"/>
      <c r="F12" s="409"/>
      <c r="G12" s="409"/>
      <c r="H12" s="409"/>
      <c r="I12" s="64">
        <f>SUM(I3:I8)</f>
        <v>0</v>
      </c>
      <c r="J12" s="64">
        <f t="shared" ref="J12:AL12" si="1">SUM(J3:J8)</f>
        <v>0</v>
      </c>
      <c r="K12" s="64">
        <f>SUM(K3:K8)</f>
        <v>0</v>
      </c>
      <c r="L12" s="64">
        <f t="shared" si="1"/>
        <v>0</v>
      </c>
      <c r="M12" s="64">
        <f t="shared" si="1"/>
        <v>0</v>
      </c>
      <c r="N12" s="64">
        <f t="shared" si="1"/>
        <v>0</v>
      </c>
      <c r="O12" s="64">
        <f t="shared" si="1"/>
        <v>0</v>
      </c>
      <c r="P12" s="64">
        <f t="shared" si="1"/>
        <v>0</v>
      </c>
      <c r="Q12" s="64">
        <f t="shared" si="1"/>
        <v>0</v>
      </c>
      <c r="R12" s="64">
        <f>SUM(R3:R8)</f>
        <v>0</v>
      </c>
      <c r="S12" s="64">
        <f t="shared" si="1"/>
        <v>0</v>
      </c>
      <c r="T12" s="64">
        <f t="shared" si="1"/>
        <v>0</v>
      </c>
      <c r="U12" s="64">
        <f t="shared" si="1"/>
        <v>0</v>
      </c>
      <c r="V12" s="64">
        <f t="shared" si="1"/>
        <v>0</v>
      </c>
      <c r="W12" s="64">
        <f t="shared" si="1"/>
        <v>0</v>
      </c>
      <c r="X12" s="64">
        <f t="shared" si="1"/>
        <v>0</v>
      </c>
      <c r="Y12" s="64">
        <f t="shared" si="1"/>
        <v>0</v>
      </c>
      <c r="Z12" s="64">
        <f t="shared" si="1"/>
        <v>0</v>
      </c>
      <c r="AA12" s="64">
        <f t="shared" si="1"/>
        <v>0</v>
      </c>
      <c r="AB12" s="64">
        <f t="shared" si="1"/>
        <v>0</v>
      </c>
      <c r="AC12" s="64">
        <f t="shared" si="1"/>
        <v>0</v>
      </c>
      <c r="AD12" s="64">
        <f t="shared" si="1"/>
        <v>0</v>
      </c>
      <c r="AE12" s="64">
        <f t="shared" si="1"/>
        <v>0</v>
      </c>
      <c r="AF12" s="64">
        <f t="shared" si="1"/>
        <v>0</v>
      </c>
      <c r="AG12" s="64">
        <f t="shared" si="1"/>
        <v>0</v>
      </c>
      <c r="AH12" s="64">
        <f t="shared" si="1"/>
        <v>0</v>
      </c>
      <c r="AI12" s="64">
        <f t="shared" si="1"/>
        <v>0</v>
      </c>
      <c r="AJ12" s="64">
        <f t="shared" si="1"/>
        <v>0</v>
      </c>
      <c r="AK12" s="64">
        <f t="shared" si="1"/>
        <v>0</v>
      </c>
      <c r="AL12" s="64">
        <f t="shared" si="1"/>
        <v>0</v>
      </c>
      <c r="AM12" s="89">
        <f>SUM(I12:AL12)</f>
        <v>0</v>
      </c>
      <c r="AN12" s="2"/>
      <c r="AO12" s="2"/>
      <c r="AP12" s="2"/>
      <c r="AQ12" s="2"/>
      <c r="AR12" s="2"/>
      <c r="AS12" s="2"/>
    </row>
    <row r="13" spans="1:45" s="86" customFormat="1" ht="49.5" customHeight="1" thickBot="1" x14ac:dyDescent="0.25">
      <c r="A13" s="385"/>
      <c r="B13" s="410" t="s">
        <v>9</v>
      </c>
      <c r="C13" s="411"/>
      <c r="D13" s="411"/>
      <c r="E13" s="411"/>
      <c r="F13" s="411"/>
      <c r="G13" s="411"/>
      <c r="H13" s="411"/>
      <c r="I13" s="90" t="e">
        <f>(I12-I15)*100/I10</f>
        <v>#DIV/0!</v>
      </c>
      <c r="J13" s="90" t="e">
        <f t="shared" ref="J13:AL13" si="2">(J12-J15)*100/J10</f>
        <v>#DIV/0!</v>
      </c>
      <c r="K13" s="90" t="e">
        <f t="shared" si="2"/>
        <v>#DIV/0!</v>
      </c>
      <c r="L13" s="90" t="e">
        <f t="shared" si="2"/>
        <v>#DIV/0!</v>
      </c>
      <c r="M13" s="90" t="e">
        <f t="shared" si="2"/>
        <v>#DIV/0!</v>
      </c>
      <c r="N13" s="90" t="e">
        <f t="shared" si="2"/>
        <v>#DIV/0!</v>
      </c>
      <c r="O13" s="90" t="e">
        <f t="shared" si="2"/>
        <v>#DIV/0!</v>
      </c>
      <c r="P13" s="90" t="e">
        <f t="shared" si="2"/>
        <v>#DIV/0!</v>
      </c>
      <c r="Q13" s="90" t="e">
        <f t="shared" si="2"/>
        <v>#DIV/0!</v>
      </c>
      <c r="R13" s="90" t="e">
        <f t="shared" si="2"/>
        <v>#DIV/0!</v>
      </c>
      <c r="S13" s="90" t="e">
        <f t="shared" si="2"/>
        <v>#DIV/0!</v>
      </c>
      <c r="T13" s="90" t="e">
        <f t="shared" si="2"/>
        <v>#DIV/0!</v>
      </c>
      <c r="U13" s="90" t="e">
        <f t="shared" si="2"/>
        <v>#DIV/0!</v>
      </c>
      <c r="V13" s="90" t="e">
        <f t="shared" si="2"/>
        <v>#DIV/0!</v>
      </c>
      <c r="W13" s="90" t="e">
        <f t="shared" si="2"/>
        <v>#DIV/0!</v>
      </c>
      <c r="X13" s="90" t="e">
        <f t="shared" si="2"/>
        <v>#DIV/0!</v>
      </c>
      <c r="Y13" s="90" t="e">
        <f t="shared" si="2"/>
        <v>#DIV/0!</v>
      </c>
      <c r="Z13" s="90" t="e">
        <f t="shared" si="2"/>
        <v>#DIV/0!</v>
      </c>
      <c r="AA13" s="90" t="e">
        <f t="shared" si="2"/>
        <v>#DIV/0!</v>
      </c>
      <c r="AB13" s="90" t="e">
        <f t="shared" si="2"/>
        <v>#DIV/0!</v>
      </c>
      <c r="AC13" s="90" t="e">
        <f t="shared" si="2"/>
        <v>#DIV/0!</v>
      </c>
      <c r="AD13" s="90" t="e">
        <f t="shared" si="2"/>
        <v>#DIV/0!</v>
      </c>
      <c r="AE13" s="90" t="e">
        <f t="shared" si="2"/>
        <v>#DIV/0!</v>
      </c>
      <c r="AF13" s="90" t="e">
        <f t="shared" si="2"/>
        <v>#DIV/0!</v>
      </c>
      <c r="AG13" s="90" t="e">
        <f t="shared" si="2"/>
        <v>#DIV/0!</v>
      </c>
      <c r="AH13" s="90" t="e">
        <f t="shared" si="2"/>
        <v>#DIV/0!</v>
      </c>
      <c r="AI13" s="90" t="e">
        <f t="shared" si="2"/>
        <v>#DIV/0!</v>
      </c>
      <c r="AJ13" s="90" t="e">
        <f t="shared" si="2"/>
        <v>#DIV/0!</v>
      </c>
      <c r="AK13" s="90" t="e">
        <f t="shared" si="2"/>
        <v>#DIV/0!</v>
      </c>
      <c r="AL13" s="90" t="e">
        <f t="shared" si="2"/>
        <v>#DIV/0!</v>
      </c>
      <c r="AM13" s="91" t="e">
        <f>(AM12-AM15)*100/AM10</f>
        <v>#DIV/0!</v>
      </c>
      <c r="AN13" s="2"/>
      <c r="AO13" s="2"/>
      <c r="AP13" s="2"/>
      <c r="AQ13" s="2"/>
      <c r="AR13" s="2"/>
      <c r="AS13" s="2"/>
    </row>
    <row r="14" spans="1:45" s="96" customFormat="1" ht="30.75" customHeight="1" thickBot="1" x14ac:dyDescent="0.25">
      <c r="A14" s="92"/>
      <c r="B14" s="93"/>
      <c r="C14" s="93"/>
      <c r="D14" s="93"/>
      <c r="E14" s="93"/>
      <c r="F14" s="93"/>
      <c r="G14" s="93"/>
      <c r="H14" s="93"/>
      <c r="I14" s="94"/>
      <c r="J14" s="94"/>
      <c r="K14" s="94"/>
      <c r="L14" s="94"/>
      <c r="M14" s="94"/>
      <c r="N14" s="94"/>
      <c r="O14" s="94"/>
      <c r="P14" s="94"/>
      <c r="Q14" s="94"/>
      <c r="R14" s="94"/>
      <c r="S14" s="94"/>
      <c r="T14" s="94"/>
      <c r="U14" s="94"/>
      <c r="V14" s="94"/>
      <c r="W14" s="94"/>
      <c r="X14" s="94"/>
      <c r="Y14" s="94"/>
      <c r="Z14" s="94"/>
      <c r="AA14" s="94"/>
      <c r="AB14" s="94"/>
      <c r="AC14" s="94"/>
      <c r="AD14" s="94"/>
      <c r="AE14" s="94"/>
      <c r="AF14" s="94"/>
      <c r="AG14" s="94"/>
      <c r="AH14" s="94"/>
      <c r="AI14" s="94"/>
      <c r="AJ14" s="94"/>
      <c r="AK14" s="94"/>
      <c r="AL14" s="94"/>
      <c r="AM14" s="94"/>
      <c r="AN14" s="95"/>
      <c r="AO14" s="95"/>
      <c r="AP14" s="95"/>
      <c r="AQ14" s="95"/>
      <c r="AR14" s="95"/>
      <c r="AS14" s="95"/>
    </row>
    <row r="15" spans="1:45" s="86" customFormat="1" ht="78" customHeight="1" x14ac:dyDescent="0.2">
      <c r="A15" s="377" t="s">
        <v>117</v>
      </c>
      <c r="B15" s="399" t="s">
        <v>8</v>
      </c>
      <c r="C15" s="400"/>
      <c r="D15" s="400"/>
      <c r="E15" s="400"/>
      <c r="F15" s="400"/>
      <c r="G15" s="400"/>
      <c r="H15" s="401"/>
      <c r="I15" s="97"/>
      <c r="J15" s="98"/>
      <c r="K15" s="98"/>
      <c r="L15" s="98"/>
      <c r="M15" s="98"/>
      <c r="N15" s="98"/>
      <c r="O15" s="98"/>
      <c r="P15" s="98"/>
      <c r="Q15" s="98"/>
      <c r="R15" s="98"/>
      <c r="S15" s="98"/>
      <c r="T15" s="98"/>
      <c r="U15" s="98"/>
      <c r="V15" s="98"/>
      <c r="W15" s="98"/>
      <c r="X15" s="98"/>
      <c r="Y15" s="98"/>
      <c r="Z15" s="98"/>
      <c r="AA15" s="98"/>
      <c r="AB15" s="98"/>
      <c r="AC15" s="98"/>
      <c r="AD15" s="98"/>
      <c r="AE15" s="98"/>
      <c r="AF15" s="98"/>
      <c r="AG15" s="98"/>
      <c r="AH15" s="98"/>
      <c r="AI15" s="98"/>
      <c r="AJ15" s="98"/>
      <c r="AK15" s="98"/>
      <c r="AL15" s="98"/>
      <c r="AM15" s="99">
        <f>SUM(I15:AL15)</f>
        <v>0</v>
      </c>
      <c r="AN15" s="2"/>
      <c r="AO15" s="2"/>
      <c r="AP15" s="2"/>
      <c r="AQ15" s="2"/>
      <c r="AR15" s="2"/>
      <c r="AS15" s="2"/>
    </row>
    <row r="16" spans="1:45" s="86" customFormat="1" ht="78" customHeight="1" thickBot="1" x14ac:dyDescent="0.25">
      <c r="A16" s="378"/>
      <c r="B16" s="396" t="s">
        <v>10</v>
      </c>
      <c r="C16" s="397"/>
      <c r="D16" s="397"/>
      <c r="E16" s="397"/>
      <c r="F16" s="397"/>
      <c r="G16" s="397"/>
      <c r="H16" s="398"/>
      <c r="I16" s="100" t="e">
        <f>I15*100/I10</f>
        <v>#DIV/0!</v>
      </c>
      <c r="J16" s="101" t="e">
        <f>J15*100/J10</f>
        <v>#DIV/0!</v>
      </c>
      <c r="K16" s="101" t="e">
        <f>K15*100/K10</f>
        <v>#DIV/0!</v>
      </c>
      <c r="L16" s="101" t="e">
        <f t="shared" ref="L16:AL16" si="3">L15*100/L10</f>
        <v>#DIV/0!</v>
      </c>
      <c r="M16" s="101" t="e">
        <f t="shared" si="3"/>
        <v>#DIV/0!</v>
      </c>
      <c r="N16" s="101" t="e">
        <f t="shared" si="3"/>
        <v>#DIV/0!</v>
      </c>
      <c r="O16" s="101" t="e">
        <f t="shared" si="3"/>
        <v>#DIV/0!</v>
      </c>
      <c r="P16" s="101" t="e">
        <f t="shared" si="3"/>
        <v>#DIV/0!</v>
      </c>
      <c r="Q16" s="101" t="e">
        <f t="shared" si="3"/>
        <v>#DIV/0!</v>
      </c>
      <c r="R16" s="101" t="e">
        <f>R15*100/R10</f>
        <v>#DIV/0!</v>
      </c>
      <c r="S16" s="101" t="e">
        <f t="shared" si="3"/>
        <v>#DIV/0!</v>
      </c>
      <c r="T16" s="101" t="e">
        <f t="shared" si="3"/>
        <v>#DIV/0!</v>
      </c>
      <c r="U16" s="101" t="e">
        <f t="shared" si="3"/>
        <v>#DIV/0!</v>
      </c>
      <c r="V16" s="101" t="e">
        <f t="shared" si="3"/>
        <v>#DIV/0!</v>
      </c>
      <c r="W16" s="101" t="e">
        <f t="shared" si="3"/>
        <v>#DIV/0!</v>
      </c>
      <c r="X16" s="101" t="e">
        <f t="shared" si="3"/>
        <v>#DIV/0!</v>
      </c>
      <c r="Y16" s="101" t="e">
        <f t="shared" si="3"/>
        <v>#DIV/0!</v>
      </c>
      <c r="Z16" s="101" t="e">
        <f t="shared" si="3"/>
        <v>#DIV/0!</v>
      </c>
      <c r="AA16" s="101" t="e">
        <f t="shared" si="3"/>
        <v>#DIV/0!</v>
      </c>
      <c r="AB16" s="101" t="e">
        <f t="shared" si="3"/>
        <v>#DIV/0!</v>
      </c>
      <c r="AC16" s="101" t="e">
        <f t="shared" si="3"/>
        <v>#DIV/0!</v>
      </c>
      <c r="AD16" s="101" t="e">
        <f t="shared" si="3"/>
        <v>#DIV/0!</v>
      </c>
      <c r="AE16" s="101" t="e">
        <f t="shared" si="3"/>
        <v>#DIV/0!</v>
      </c>
      <c r="AF16" s="101" t="e">
        <f t="shared" si="3"/>
        <v>#DIV/0!</v>
      </c>
      <c r="AG16" s="101" t="e">
        <f t="shared" si="3"/>
        <v>#DIV/0!</v>
      </c>
      <c r="AH16" s="101" t="e">
        <f t="shared" si="3"/>
        <v>#DIV/0!</v>
      </c>
      <c r="AI16" s="101" t="e">
        <f t="shared" si="3"/>
        <v>#DIV/0!</v>
      </c>
      <c r="AJ16" s="101" t="e">
        <f t="shared" si="3"/>
        <v>#DIV/0!</v>
      </c>
      <c r="AK16" s="101" t="e">
        <f t="shared" si="3"/>
        <v>#DIV/0!</v>
      </c>
      <c r="AL16" s="101" t="e">
        <f t="shared" si="3"/>
        <v>#DIV/0!</v>
      </c>
      <c r="AM16" s="102" t="e">
        <f>AM15*100/AM10</f>
        <v>#DIV/0!</v>
      </c>
      <c r="AN16" s="2"/>
      <c r="AO16" s="2"/>
      <c r="AP16" s="2"/>
      <c r="AQ16" s="2"/>
      <c r="AR16" s="2"/>
      <c r="AS16" s="2"/>
    </row>
    <row r="17" spans="1:45" s="86" customFormat="1" ht="30.75" customHeight="1" thickBot="1" x14ac:dyDescent="0.25">
      <c r="A17" s="103"/>
      <c r="B17" s="104"/>
      <c r="C17" s="104"/>
      <c r="D17" s="104"/>
      <c r="E17" s="104"/>
      <c r="F17" s="104"/>
      <c r="G17" s="104"/>
      <c r="H17" s="104"/>
      <c r="I17" s="105"/>
      <c r="J17" s="106"/>
      <c r="K17" s="106"/>
      <c r="L17" s="105"/>
      <c r="M17" s="106"/>
      <c r="N17" s="106"/>
      <c r="O17" s="105"/>
      <c r="P17" s="106"/>
      <c r="Q17" s="105"/>
      <c r="R17" s="105"/>
      <c r="S17" s="106"/>
      <c r="T17" s="106"/>
      <c r="U17" s="105"/>
      <c r="V17" s="106"/>
      <c r="W17" s="105"/>
      <c r="X17" s="105"/>
      <c r="Y17" s="105"/>
      <c r="Z17" s="105"/>
      <c r="AA17" s="106"/>
      <c r="AB17" s="106"/>
      <c r="AC17" s="105"/>
      <c r="AD17" s="105"/>
      <c r="AE17" s="105"/>
      <c r="AF17" s="105"/>
      <c r="AG17" s="105"/>
      <c r="AH17" s="106"/>
      <c r="AI17" s="106"/>
      <c r="AJ17" s="106"/>
      <c r="AK17" s="106"/>
      <c r="AL17" s="106"/>
      <c r="AM17" s="105"/>
      <c r="AN17" s="2"/>
      <c r="AO17" s="2"/>
      <c r="AP17" s="2"/>
      <c r="AQ17" s="2"/>
      <c r="AR17" s="2"/>
      <c r="AS17" s="2"/>
    </row>
    <row r="18" spans="1:45" s="86" customFormat="1" ht="72" customHeight="1" x14ac:dyDescent="0.2">
      <c r="A18" s="377" t="s">
        <v>118</v>
      </c>
      <c r="B18" s="390" t="s">
        <v>11</v>
      </c>
      <c r="C18" s="391"/>
      <c r="D18" s="391"/>
      <c r="E18" s="391"/>
      <c r="F18" s="391"/>
      <c r="G18" s="391"/>
      <c r="H18" s="392"/>
      <c r="I18" s="107">
        <f>I12-I15</f>
        <v>0</v>
      </c>
      <c r="J18" s="108">
        <f>J12-J15</f>
        <v>0</v>
      </c>
      <c r="K18" s="108">
        <f t="shared" ref="K18:AL18" si="4">K12-K15</f>
        <v>0</v>
      </c>
      <c r="L18" s="108">
        <f t="shared" si="4"/>
        <v>0</v>
      </c>
      <c r="M18" s="108">
        <f t="shared" si="4"/>
        <v>0</v>
      </c>
      <c r="N18" s="108">
        <f t="shared" si="4"/>
        <v>0</v>
      </c>
      <c r="O18" s="108">
        <f t="shared" si="4"/>
        <v>0</v>
      </c>
      <c r="P18" s="108">
        <f t="shared" si="4"/>
        <v>0</v>
      </c>
      <c r="Q18" s="108">
        <f>Q12-Q15</f>
        <v>0</v>
      </c>
      <c r="R18" s="108">
        <f t="shared" si="4"/>
        <v>0</v>
      </c>
      <c r="S18" s="108">
        <f t="shared" si="4"/>
        <v>0</v>
      </c>
      <c r="T18" s="108">
        <f t="shared" si="4"/>
        <v>0</v>
      </c>
      <c r="U18" s="108">
        <f t="shared" si="4"/>
        <v>0</v>
      </c>
      <c r="V18" s="108">
        <f t="shared" si="4"/>
        <v>0</v>
      </c>
      <c r="W18" s="108">
        <f t="shared" si="4"/>
        <v>0</v>
      </c>
      <c r="X18" s="108">
        <f t="shared" si="4"/>
        <v>0</v>
      </c>
      <c r="Y18" s="108">
        <f t="shared" si="4"/>
        <v>0</v>
      </c>
      <c r="Z18" s="108">
        <f t="shared" si="4"/>
        <v>0</v>
      </c>
      <c r="AA18" s="108">
        <f t="shared" si="4"/>
        <v>0</v>
      </c>
      <c r="AB18" s="108">
        <f t="shared" si="4"/>
        <v>0</v>
      </c>
      <c r="AC18" s="108">
        <f t="shared" si="4"/>
        <v>0</v>
      </c>
      <c r="AD18" s="108">
        <f t="shared" si="4"/>
        <v>0</v>
      </c>
      <c r="AE18" s="108">
        <f t="shared" si="4"/>
        <v>0</v>
      </c>
      <c r="AF18" s="108">
        <f t="shared" si="4"/>
        <v>0</v>
      </c>
      <c r="AG18" s="108">
        <f t="shared" si="4"/>
        <v>0</v>
      </c>
      <c r="AH18" s="108">
        <f>AH12-AH15</f>
        <v>0</v>
      </c>
      <c r="AI18" s="108">
        <f t="shared" si="4"/>
        <v>0</v>
      </c>
      <c r="AJ18" s="108">
        <f t="shared" si="4"/>
        <v>0</v>
      </c>
      <c r="AK18" s="108">
        <f t="shared" si="4"/>
        <v>0</v>
      </c>
      <c r="AL18" s="108">
        <f t="shared" si="4"/>
        <v>0</v>
      </c>
      <c r="AM18" s="109">
        <f>AM12-AM15</f>
        <v>0</v>
      </c>
      <c r="AN18" s="2"/>
      <c r="AO18" s="2"/>
      <c r="AP18" s="2"/>
      <c r="AQ18" s="2"/>
      <c r="AR18" s="2"/>
      <c r="AS18" s="2"/>
    </row>
    <row r="19" spans="1:45" s="86" customFormat="1" ht="72" customHeight="1" thickBot="1" x14ac:dyDescent="0.25">
      <c r="A19" s="378"/>
      <c r="B19" s="393" t="s">
        <v>94</v>
      </c>
      <c r="C19" s="394"/>
      <c r="D19" s="394"/>
      <c r="E19" s="394"/>
      <c r="F19" s="394"/>
      <c r="G19" s="394"/>
      <c r="H19" s="395"/>
      <c r="I19" s="110">
        <f t="shared" ref="I19:AK19" si="5">SUM(I11+I15)</f>
        <v>0</v>
      </c>
      <c r="J19" s="111">
        <f t="shared" si="5"/>
        <v>0</v>
      </c>
      <c r="K19" s="111">
        <f t="shared" si="5"/>
        <v>0</v>
      </c>
      <c r="L19" s="111">
        <f t="shared" si="5"/>
        <v>0</v>
      </c>
      <c r="M19" s="111">
        <f t="shared" si="5"/>
        <v>0</v>
      </c>
      <c r="N19" s="111">
        <f t="shared" si="5"/>
        <v>0</v>
      </c>
      <c r="O19" s="111">
        <f t="shared" si="5"/>
        <v>0</v>
      </c>
      <c r="P19" s="111">
        <f t="shared" si="5"/>
        <v>0</v>
      </c>
      <c r="Q19" s="111">
        <f>SUM(Q11+Q15)</f>
        <v>0</v>
      </c>
      <c r="R19" s="111">
        <f t="shared" si="5"/>
        <v>0</v>
      </c>
      <c r="S19" s="111">
        <f t="shared" si="5"/>
        <v>0</v>
      </c>
      <c r="T19" s="111">
        <f t="shared" si="5"/>
        <v>0</v>
      </c>
      <c r="U19" s="111">
        <f t="shared" si="5"/>
        <v>0</v>
      </c>
      <c r="V19" s="111">
        <f t="shared" si="5"/>
        <v>0</v>
      </c>
      <c r="W19" s="111">
        <f t="shared" si="5"/>
        <v>0</v>
      </c>
      <c r="X19" s="111">
        <f t="shared" si="5"/>
        <v>0</v>
      </c>
      <c r="Y19" s="111">
        <f t="shared" si="5"/>
        <v>0</v>
      </c>
      <c r="Z19" s="111">
        <f t="shared" si="5"/>
        <v>0</v>
      </c>
      <c r="AA19" s="111">
        <f t="shared" si="5"/>
        <v>0</v>
      </c>
      <c r="AB19" s="111">
        <f t="shared" si="5"/>
        <v>0</v>
      </c>
      <c r="AC19" s="111">
        <f t="shared" si="5"/>
        <v>0</v>
      </c>
      <c r="AD19" s="111">
        <f t="shared" si="5"/>
        <v>0</v>
      </c>
      <c r="AE19" s="111">
        <f t="shared" si="5"/>
        <v>0</v>
      </c>
      <c r="AF19" s="111">
        <f t="shared" si="5"/>
        <v>0</v>
      </c>
      <c r="AG19" s="111">
        <f t="shared" si="5"/>
        <v>0</v>
      </c>
      <c r="AH19" s="111">
        <f t="shared" si="5"/>
        <v>0</v>
      </c>
      <c r="AI19" s="111">
        <f t="shared" si="5"/>
        <v>0</v>
      </c>
      <c r="AJ19" s="111">
        <f t="shared" si="5"/>
        <v>0</v>
      </c>
      <c r="AK19" s="111">
        <f t="shared" si="5"/>
        <v>0</v>
      </c>
      <c r="AL19" s="111">
        <f>SUM(AL11+AL15)</f>
        <v>0</v>
      </c>
      <c r="AM19" s="112">
        <f>SUM(I19:AL19)</f>
        <v>0</v>
      </c>
      <c r="AN19" s="2"/>
      <c r="AO19" s="2"/>
      <c r="AP19" s="2"/>
      <c r="AQ19" s="2"/>
      <c r="AR19" s="2"/>
      <c r="AS19" s="2"/>
    </row>
    <row r="20" spans="1:45" ht="12.75" customHeight="1" x14ac:dyDescent="0.2">
      <c r="B20" s="80"/>
      <c r="C20" s="80"/>
      <c r="D20" s="1"/>
      <c r="E20" s="1"/>
      <c r="F20" s="1"/>
      <c r="G20" s="1"/>
      <c r="H20" s="1"/>
      <c r="I20" s="1"/>
      <c r="J20" s="1"/>
      <c r="K20" s="1"/>
      <c r="L20" s="1"/>
      <c r="M20" s="1"/>
      <c r="N20" s="1"/>
      <c r="O20" s="1"/>
      <c r="P20" s="1"/>
      <c r="Q20" s="1"/>
      <c r="R20" s="1"/>
      <c r="S20" s="1"/>
      <c r="T20" s="1"/>
      <c r="U20" s="1"/>
      <c r="V20" s="1"/>
      <c r="W20" s="1"/>
      <c r="X20" s="1"/>
      <c r="Y20" s="1"/>
      <c r="Z20" s="1"/>
      <c r="AA20" s="1"/>
      <c r="AB20" s="80"/>
      <c r="AC20" s="80"/>
      <c r="AD20" s="80"/>
      <c r="AE20" s="80"/>
      <c r="AF20" s="80"/>
      <c r="AG20" s="80"/>
      <c r="AH20" s="80"/>
      <c r="AI20" s="80"/>
      <c r="AJ20" s="80"/>
      <c r="AK20" s="80"/>
      <c r="AL20" s="80"/>
      <c r="AM20" s="80"/>
      <c r="AN20" s="80"/>
      <c r="AO20" s="80"/>
      <c r="AP20" s="80"/>
      <c r="AQ20" s="80"/>
      <c r="AR20" s="80"/>
      <c r="AS20" s="80"/>
    </row>
    <row r="21" spans="1:45" x14ac:dyDescent="0.2">
      <c r="B21" s="80"/>
      <c r="C21" s="80"/>
      <c r="D21" s="80"/>
      <c r="E21" s="80"/>
      <c r="F21" s="80"/>
      <c r="G21" s="80"/>
      <c r="H21" s="80"/>
      <c r="I21" s="80"/>
      <c r="J21" s="80"/>
      <c r="K21" s="80"/>
      <c r="L21" s="80"/>
      <c r="M21" s="80"/>
      <c r="N21" s="80"/>
      <c r="O21" s="80"/>
      <c r="P21" s="80"/>
      <c r="Q21" s="80"/>
      <c r="R21" s="80"/>
      <c r="S21" s="80"/>
      <c r="T21" s="80"/>
      <c r="U21" s="80"/>
      <c r="V21" s="80"/>
      <c r="W21" s="80"/>
      <c r="X21" s="80"/>
      <c r="Y21" s="80"/>
      <c r="Z21" s="80"/>
      <c r="AA21" s="80"/>
      <c r="AB21" s="80"/>
      <c r="AC21" s="80"/>
      <c r="AD21" s="80"/>
      <c r="AE21" s="80"/>
      <c r="AF21" s="80"/>
      <c r="AG21" s="80"/>
      <c r="AH21" s="80"/>
      <c r="AI21" s="80"/>
      <c r="AJ21" s="80"/>
      <c r="AK21" s="80"/>
      <c r="AL21" s="80"/>
      <c r="AM21" s="80"/>
      <c r="AN21" s="80"/>
      <c r="AO21" s="80"/>
      <c r="AP21" s="80"/>
      <c r="AQ21" s="80"/>
      <c r="AR21" s="80"/>
      <c r="AS21" s="80"/>
    </row>
    <row r="22" spans="1:45" x14ac:dyDescent="0.2">
      <c r="B22" s="80"/>
      <c r="C22" s="80"/>
      <c r="D22" s="80"/>
      <c r="E22" s="80"/>
      <c r="F22" s="80"/>
      <c r="G22" s="80"/>
      <c r="H22" s="80"/>
      <c r="I22" s="80"/>
      <c r="J22" s="80"/>
      <c r="K22" s="80"/>
      <c r="L22" s="80"/>
      <c r="M22" s="80"/>
      <c r="N22" s="80"/>
      <c r="O22" s="80"/>
      <c r="P22" s="80"/>
      <c r="Q22" s="80"/>
      <c r="R22" s="80"/>
      <c r="S22" s="80"/>
      <c r="T22" s="80"/>
      <c r="U22" s="80"/>
      <c r="V22" s="80"/>
      <c r="W22" s="80"/>
      <c r="X22" s="80"/>
      <c r="Y22" s="80"/>
      <c r="Z22" s="80"/>
      <c r="AA22" s="80"/>
      <c r="AB22" s="80"/>
      <c r="AC22" s="80"/>
      <c r="AD22" s="80"/>
      <c r="AE22" s="80"/>
      <c r="AF22" s="80"/>
      <c r="AG22" s="80"/>
      <c r="AH22" s="80"/>
      <c r="AI22" s="80"/>
      <c r="AJ22" s="80"/>
      <c r="AK22" s="80"/>
      <c r="AL22" s="80"/>
      <c r="AM22" s="80"/>
      <c r="AN22" s="80"/>
      <c r="AO22" s="80"/>
      <c r="AP22" s="80"/>
      <c r="AQ22" s="80"/>
      <c r="AR22" s="80"/>
      <c r="AS22" s="80"/>
    </row>
    <row r="23" spans="1:45" x14ac:dyDescent="0.2">
      <c r="B23" s="80"/>
      <c r="C23" s="80"/>
      <c r="D23" s="80"/>
      <c r="E23" s="80"/>
      <c r="F23" s="80"/>
      <c r="G23" s="80"/>
      <c r="H23" s="80"/>
      <c r="I23" s="80"/>
      <c r="J23" s="80"/>
      <c r="K23" s="80"/>
      <c r="L23" s="80"/>
      <c r="M23" s="80"/>
      <c r="N23" s="80"/>
      <c r="O23" s="80"/>
      <c r="P23" s="80"/>
      <c r="Q23" s="80"/>
      <c r="R23" s="80"/>
      <c r="S23" s="80"/>
      <c r="T23" s="80"/>
      <c r="U23" s="80"/>
      <c r="V23" s="80"/>
      <c r="W23" s="80"/>
      <c r="X23" s="80"/>
      <c r="Y23" s="80"/>
      <c r="Z23" s="80"/>
      <c r="AA23" s="80"/>
      <c r="AB23" s="80"/>
      <c r="AC23" s="80"/>
      <c r="AD23" s="80"/>
      <c r="AE23" s="80"/>
      <c r="AF23" s="80"/>
      <c r="AG23" s="80"/>
      <c r="AH23" s="80"/>
      <c r="AI23" s="80"/>
      <c r="AJ23" s="80"/>
      <c r="AK23" s="80"/>
      <c r="AL23" s="80"/>
      <c r="AM23" s="80"/>
      <c r="AN23" s="80"/>
      <c r="AO23" s="80"/>
      <c r="AP23" s="80"/>
      <c r="AQ23" s="80"/>
      <c r="AR23" s="80"/>
      <c r="AS23" s="80"/>
    </row>
    <row r="24" spans="1:45" x14ac:dyDescent="0.2">
      <c r="B24" s="80"/>
      <c r="C24" s="80"/>
      <c r="D24" s="80"/>
      <c r="E24" s="80"/>
      <c r="F24" s="80"/>
      <c r="G24" s="80"/>
      <c r="H24" s="80"/>
      <c r="I24" s="80"/>
      <c r="J24" s="80"/>
      <c r="K24" s="80"/>
      <c r="L24" s="80"/>
      <c r="M24" s="80"/>
      <c r="N24" s="80"/>
      <c r="O24" s="80"/>
      <c r="P24" s="80"/>
      <c r="Q24" s="80"/>
      <c r="R24" s="80"/>
      <c r="S24" s="80"/>
      <c r="T24" s="80"/>
      <c r="U24" s="80"/>
      <c r="V24" s="80"/>
      <c r="W24" s="80"/>
      <c r="X24" s="80"/>
      <c r="Y24" s="80"/>
      <c r="Z24" s="80"/>
      <c r="AA24" s="80"/>
      <c r="AB24" s="80"/>
      <c r="AC24" s="80"/>
      <c r="AD24" s="80"/>
      <c r="AE24" s="80"/>
      <c r="AF24" s="80"/>
      <c r="AG24" s="80"/>
      <c r="AH24" s="80"/>
      <c r="AI24" s="80"/>
      <c r="AJ24" s="80"/>
      <c r="AK24" s="80"/>
      <c r="AL24" s="80"/>
      <c r="AM24" s="80"/>
      <c r="AN24" s="80"/>
      <c r="AO24" s="80"/>
      <c r="AP24" s="80"/>
      <c r="AQ24" s="80"/>
      <c r="AR24" s="80"/>
      <c r="AS24" s="80"/>
    </row>
    <row r="25" spans="1:45" x14ac:dyDescent="0.2">
      <c r="B25" s="80"/>
      <c r="C25" s="80"/>
      <c r="D25" s="80"/>
      <c r="E25" s="80"/>
      <c r="F25" s="80"/>
      <c r="G25" s="80"/>
      <c r="H25" s="80"/>
      <c r="I25" s="80"/>
      <c r="J25" s="80"/>
      <c r="K25" s="80"/>
      <c r="L25" s="80"/>
      <c r="M25" s="80"/>
      <c r="N25" s="80"/>
      <c r="O25" s="80"/>
      <c r="P25" s="80"/>
      <c r="Q25" s="80"/>
      <c r="R25" s="80"/>
      <c r="S25" s="80"/>
      <c r="T25" s="80"/>
      <c r="U25" s="80"/>
      <c r="V25" s="80"/>
      <c r="W25" s="80"/>
      <c r="X25" s="80"/>
      <c r="Y25" s="80"/>
      <c r="Z25" s="80"/>
      <c r="AA25" s="80"/>
      <c r="AB25" s="80"/>
      <c r="AC25" s="80"/>
      <c r="AD25" s="80"/>
      <c r="AE25" s="80"/>
      <c r="AF25" s="80"/>
      <c r="AG25" s="80"/>
      <c r="AH25" s="80"/>
      <c r="AI25" s="80"/>
      <c r="AJ25" s="80"/>
      <c r="AK25" s="80"/>
      <c r="AL25" s="80"/>
      <c r="AM25" s="80"/>
      <c r="AN25" s="80"/>
      <c r="AO25" s="80"/>
      <c r="AP25" s="80"/>
      <c r="AQ25" s="80"/>
      <c r="AR25" s="80"/>
      <c r="AS25" s="80"/>
    </row>
    <row r="26" spans="1:45" x14ac:dyDescent="0.2">
      <c r="B26" s="80"/>
      <c r="C26" s="80"/>
      <c r="D26" s="80"/>
      <c r="E26" s="80"/>
      <c r="F26" s="80"/>
      <c r="G26" s="80"/>
      <c r="H26" s="80"/>
      <c r="I26" s="80"/>
      <c r="J26" s="80"/>
      <c r="K26" s="80"/>
      <c r="L26" s="80"/>
      <c r="M26" s="80"/>
      <c r="N26" s="80"/>
      <c r="O26" s="80"/>
      <c r="P26" s="80"/>
      <c r="Q26" s="80"/>
      <c r="R26" s="80"/>
      <c r="S26" s="80"/>
      <c r="T26" s="80"/>
      <c r="U26" s="80"/>
      <c r="V26" s="80"/>
      <c r="W26" s="80"/>
      <c r="X26" s="80"/>
      <c r="Y26" s="80"/>
      <c r="Z26" s="80"/>
      <c r="AA26" s="80"/>
      <c r="AB26" s="80"/>
      <c r="AC26" s="80"/>
      <c r="AD26" s="80"/>
      <c r="AE26" s="80"/>
      <c r="AF26" s="80"/>
      <c r="AG26" s="80"/>
      <c r="AH26" s="80"/>
      <c r="AI26" s="80"/>
      <c r="AJ26" s="80"/>
      <c r="AK26" s="80"/>
      <c r="AL26" s="80"/>
      <c r="AM26" s="80"/>
      <c r="AN26" s="80"/>
      <c r="AO26" s="80"/>
      <c r="AP26" s="80"/>
      <c r="AQ26" s="80"/>
      <c r="AR26" s="80"/>
      <c r="AS26" s="80"/>
    </row>
    <row r="27" spans="1:45" x14ac:dyDescent="0.2">
      <c r="B27" s="80"/>
      <c r="C27" s="80"/>
      <c r="D27" s="80"/>
      <c r="E27" s="80"/>
      <c r="F27" s="80"/>
      <c r="G27" s="80"/>
      <c r="H27" s="80"/>
      <c r="I27" s="80"/>
      <c r="J27" s="80"/>
      <c r="K27" s="80"/>
      <c r="L27" s="80"/>
      <c r="M27" s="80"/>
      <c r="N27" s="80"/>
      <c r="O27" s="80"/>
      <c r="P27" s="80"/>
      <c r="Q27" s="80"/>
      <c r="R27" s="80"/>
      <c r="S27" s="80"/>
      <c r="T27" s="80"/>
      <c r="U27" s="80"/>
      <c r="V27" s="80"/>
      <c r="W27" s="80"/>
      <c r="X27" s="80"/>
      <c r="Y27" s="80"/>
      <c r="Z27" s="80"/>
      <c r="AA27" s="80"/>
      <c r="AB27" s="80"/>
      <c r="AC27" s="80"/>
      <c r="AD27" s="80"/>
      <c r="AE27" s="80"/>
      <c r="AF27" s="80"/>
      <c r="AG27" s="80"/>
      <c r="AH27" s="80"/>
      <c r="AI27" s="80"/>
      <c r="AJ27" s="80"/>
      <c r="AK27" s="80"/>
      <c r="AL27" s="80"/>
      <c r="AM27" s="80"/>
      <c r="AN27" s="80"/>
      <c r="AO27" s="80"/>
      <c r="AP27" s="80"/>
      <c r="AQ27" s="80"/>
      <c r="AR27" s="80"/>
      <c r="AS27" s="80"/>
    </row>
    <row r="28" spans="1:45" x14ac:dyDescent="0.2">
      <c r="B28" s="80"/>
      <c r="C28" s="80"/>
      <c r="D28" s="80"/>
      <c r="E28" s="80"/>
      <c r="F28" s="80"/>
      <c r="G28" s="80"/>
      <c r="H28" s="80"/>
      <c r="I28" s="80"/>
      <c r="J28" s="80"/>
      <c r="K28" s="80"/>
      <c r="L28" s="80"/>
      <c r="M28" s="80"/>
      <c r="N28" s="80"/>
      <c r="O28" s="80"/>
      <c r="P28" s="80"/>
      <c r="Q28" s="80"/>
      <c r="R28" s="80"/>
      <c r="S28" s="80"/>
      <c r="T28" s="80"/>
      <c r="U28" s="80"/>
      <c r="V28" s="80"/>
      <c r="W28" s="80"/>
      <c r="X28" s="80"/>
      <c r="Y28" s="80"/>
      <c r="Z28" s="80"/>
      <c r="AA28" s="80"/>
      <c r="AB28" s="80"/>
      <c r="AC28" s="80"/>
      <c r="AD28" s="80"/>
      <c r="AE28" s="80"/>
      <c r="AF28" s="80"/>
      <c r="AG28" s="80"/>
      <c r="AH28" s="80"/>
      <c r="AI28" s="80"/>
      <c r="AJ28" s="80"/>
      <c r="AK28" s="80"/>
      <c r="AL28" s="80"/>
      <c r="AM28" s="80"/>
      <c r="AN28" s="80"/>
      <c r="AO28" s="80"/>
      <c r="AP28" s="80"/>
      <c r="AQ28" s="80"/>
      <c r="AR28" s="80"/>
      <c r="AS28" s="80"/>
    </row>
    <row r="29" spans="1:45" x14ac:dyDescent="0.2">
      <c r="B29" s="80"/>
      <c r="C29" s="80"/>
      <c r="D29" s="80"/>
      <c r="E29" s="80"/>
      <c r="F29" s="80"/>
      <c r="G29" s="80"/>
      <c r="H29" s="80"/>
      <c r="I29" s="80"/>
      <c r="J29" s="80"/>
      <c r="K29" s="80"/>
      <c r="L29" s="80"/>
      <c r="M29" s="80"/>
      <c r="N29" s="80"/>
      <c r="O29" s="80"/>
      <c r="P29" s="80"/>
      <c r="Q29" s="80"/>
      <c r="R29" s="80"/>
      <c r="S29" s="80"/>
      <c r="T29" s="80"/>
      <c r="U29" s="80"/>
      <c r="V29" s="80"/>
      <c r="W29" s="80"/>
      <c r="X29" s="80"/>
      <c r="Y29" s="80"/>
      <c r="Z29" s="80"/>
      <c r="AA29" s="80"/>
      <c r="AB29" s="80"/>
      <c r="AC29" s="80"/>
      <c r="AD29" s="80"/>
      <c r="AE29" s="80"/>
      <c r="AF29" s="80"/>
      <c r="AG29" s="80"/>
      <c r="AH29" s="80"/>
      <c r="AI29" s="80"/>
      <c r="AJ29" s="80"/>
      <c r="AK29" s="80"/>
      <c r="AL29" s="80"/>
      <c r="AM29" s="80"/>
      <c r="AN29" s="80"/>
      <c r="AO29" s="80"/>
      <c r="AP29" s="80"/>
      <c r="AQ29" s="80"/>
      <c r="AR29" s="80"/>
      <c r="AS29" s="80"/>
    </row>
    <row r="30" spans="1:45" x14ac:dyDescent="0.2">
      <c r="B30" s="80"/>
      <c r="C30" s="80"/>
      <c r="D30" s="80"/>
      <c r="E30" s="80"/>
      <c r="F30" s="80"/>
      <c r="G30" s="80"/>
      <c r="H30" s="80"/>
      <c r="I30" s="80"/>
      <c r="J30" s="80"/>
      <c r="K30" s="80"/>
      <c r="L30" s="80"/>
      <c r="M30" s="80"/>
      <c r="N30" s="80"/>
      <c r="O30" s="80"/>
      <c r="P30" s="80"/>
      <c r="Q30" s="80"/>
      <c r="R30" s="80"/>
      <c r="S30" s="80"/>
      <c r="T30" s="80"/>
      <c r="U30" s="80"/>
      <c r="V30" s="80"/>
      <c r="W30" s="80"/>
      <c r="X30" s="80"/>
      <c r="Y30" s="80"/>
      <c r="Z30" s="80"/>
      <c r="AA30" s="80"/>
      <c r="AB30" s="80"/>
      <c r="AC30" s="80"/>
      <c r="AD30" s="80"/>
      <c r="AE30" s="80"/>
      <c r="AF30" s="80"/>
      <c r="AG30" s="80"/>
      <c r="AH30" s="80"/>
      <c r="AI30" s="80"/>
      <c r="AJ30" s="80"/>
      <c r="AK30" s="80"/>
      <c r="AL30" s="80"/>
      <c r="AM30" s="80"/>
      <c r="AN30" s="80"/>
      <c r="AO30" s="80"/>
      <c r="AP30" s="80"/>
      <c r="AQ30" s="80"/>
      <c r="AR30" s="80"/>
      <c r="AS30" s="80"/>
    </row>
    <row r="31" spans="1:45" x14ac:dyDescent="0.2">
      <c r="B31" s="80"/>
      <c r="C31" s="80"/>
      <c r="D31" s="80"/>
      <c r="E31" s="80"/>
      <c r="F31" s="80"/>
      <c r="G31" s="80"/>
      <c r="H31" s="80"/>
      <c r="I31" s="80"/>
      <c r="J31" s="80"/>
      <c r="K31" s="80"/>
      <c r="L31" s="80"/>
      <c r="M31" s="80"/>
      <c r="N31" s="80"/>
      <c r="O31" s="80"/>
      <c r="P31" s="80"/>
      <c r="Q31" s="80"/>
      <c r="R31" s="80"/>
      <c r="S31" s="80"/>
      <c r="T31" s="80"/>
      <c r="U31" s="80"/>
      <c r="V31" s="80"/>
      <c r="W31" s="80"/>
      <c r="X31" s="80"/>
      <c r="Y31" s="80"/>
      <c r="Z31" s="80"/>
      <c r="AA31" s="80"/>
      <c r="AB31" s="80"/>
      <c r="AC31" s="80"/>
      <c r="AD31" s="80"/>
      <c r="AE31" s="80"/>
      <c r="AF31" s="80"/>
      <c r="AG31" s="80"/>
      <c r="AH31" s="80"/>
      <c r="AI31" s="80"/>
      <c r="AJ31" s="80"/>
      <c r="AK31" s="80"/>
      <c r="AL31" s="80"/>
      <c r="AM31" s="80"/>
      <c r="AN31" s="80"/>
      <c r="AO31" s="80"/>
      <c r="AP31" s="80"/>
      <c r="AQ31" s="80"/>
      <c r="AR31" s="80"/>
      <c r="AS31" s="80"/>
    </row>
    <row r="32" spans="1:45" x14ac:dyDescent="0.2">
      <c r="B32" s="80"/>
      <c r="C32" s="80"/>
      <c r="D32" s="80"/>
      <c r="E32" s="80"/>
      <c r="F32" s="80"/>
      <c r="G32" s="80"/>
      <c r="H32" s="80"/>
      <c r="I32" s="80"/>
      <c r="J32" s="80"/>
      <c r="K32" s="80"/>
      <c r="L32" s="80"/>
      <c r="M32" s="80"/>
      <c r="N32" s="80"/>
      <c r="O32" s="80"/>
      <c r="P32" s="80"/>
      <c r="Q32" s="80"/>
      <c r="R32" s="80"/>
      <c r="S32" s="80"/>
      <c r="T32" s="80"/>
      <c r="U32" s="80"/>
      <c r="V32" s="80"/>
      <c r="W32" s="80"/>
      <c r="X32" s="80"/>
      <c r="Y32" s="80"/>
      <c r="Z32" s="80"/>
      <c r="AA32" s="80"/>
      <c r="AB32" s="80"/>
      <c r="AC32" s="80"/>
      <c r="AD32" s="80"/>
      <c r="AE32" s="80"/>
      <c r="AF32" s="80"/>
      <c r="AG32" s="80"/>
      <c r="AH32" s="80"/>
      <c r="AI32" s="80"/>
      <c r="AJ32" s="80"/>
      <c r="AK32" s="80"/>
      <c r="AL32" s="80"/>
      <c r="AM32" s="80"/>
      <c r="AN32" s="80"/>
      <c r="AO32" s="80"/>
      <c r="AP32" s="80"/>
      <c r="AQ32" s="80"/>
      <c r="AR32" s="80"/>
      <c r="AS32" s="80"/>
    </row>
    <row r="33" spans="2:45" x14ac:dyDescent="0.2">
      <c r="B33" s="80"/>
      <c r="C33" s="80"/>
      <c r="D33" s="80"/>
      <c r="E33" s="80"/>
      <c r="F33" s="80"/>
      <c r="G33" s="80"/>
      <c r="H33" s="80"/>
      <c r="I33" s="80"/>
      <c r="J33" s="80"/>
      <c r="K33" s="80"/>
      <c r="L33" s="80"/>
      <c r="M33" s="80"/>
      <c r="N33" s="80"/>
      <c r="O33" s="80"/>
      <c r="P33" s="80"/>
      <c r="Q33" s="80"/>
      <c r="R33" s="80"/>
      <c r="S33" s="80"/>
      <c r="T33" s="80"/>
      <c r="U33" s="80"/>
      <c r="V33" s="80"/>
      <c r="W33" s="80"/>
      <c r="X33" s="80"/>
      <c r="Y33" s="80"/>
      <c r="Z33" s="80"/>
      <c r="AA33" s="80"/>
      <c r="AB33" s="80"/>
      <c r="AC33" s="80"/>
      <c r="AD33" s="80"/>
      <c r="AE33" s="80"/>
      <c r="AF33" s="80"/>
      <c r="AG33" s="80"/>
      <c r="AH33" s="80"/>
      <c r="AI33" s="80"/>
      <c r="AJ33" s="80"/>
      <c r="AK33" s="80"/>
      <c r="AL33" s="80"/>
      <c r="AM33" s="80"/>
      <c r="AN33" s="80"/>
      <c r="AO33" s="80"/>
      <c r="AP33" s="80"/>
      <c r="AQ33" s="80"/>
      <c r="AR33" s="80"/>
      <c r="AS33" s="80"/>
    </row>
    <row r="34" spans="2:45" x14ac:dyDescent="0.2">
      <c r="B34" s="80"/>
      <c r="C34" s="80"/>
      <c r="D34" s="80"/>
      <c r="E34" s="80"/>
      <c r="F34" s="80"/>
      <c r="G34" s="80"/>
      <c r="H34" s="80"/>
      <c r="I34" s="80"/>
      <c r="J34" s="80"/>
      <c r="K34" s="80"/>
      <c r="L34" s="80"/>
      <c r="M34" s="80"/>
      <c r="N34" s="80"/>
      <c r="O34" s="80"/>
      <c r="P34" s="80"/>
      <c r="Q34" s="80"/>
      <c r="R34" s="80"/>
      <c r="S34" s="80"/>
      <c r="T34" s="80"/>
      <c r="U34" s="80"/>
      <c r="V34" s="80"/>
      <c r="W34" s="80"/>
      <c r="X34" s="80"/>
      <c r="Y34" s="80"/>
      <c r="Z34" s="80"/>
      <c r="AA34" s="80"/>
      <c r="AB34" s="80"/>
      <c r="AC34" s="80"/>
      <c r="AD34" s="80"/>
      <c r="AE34" s="80"/>
      <c r="AF34" s="80"/>
      <c r="AG34" s="80"/>
      <c r="AH34" s="80"/>
      <c r="AI34" s="80"/>
      <c r="AJ34" s="80"/>
      <c r="AK34" s="80"/>
      <c r="AL34" s="80"/>
      <c r="AM34" s="80"/>
      <c r="AN34" s="80"/>
      <c r="AO34" s="80"/>
      <c r="AP34" s="80"/>
      <c r="AQ34" s="80"/>
      <c r="AR34" s="80"/>
      <c r="AS34" s="80"/>
    </row>
    <row r="35" spans="2:45" x14ac:dyDescent="0.2">
      <c r="B35" s="80"/>
      <c r="C35" s="80"/>
      <c r="D35" s="80"/>
      <c r="E35" s="80"/>
      <c r="F35" s="80"/>
      <c r="G35" s="80"/>
      <c r="H35" s="80"/>
      <c r="I35" s="80"/>
      <c r="J35" s="80"/>
      <c r="K35" s="80"/>
      <c r="L35" s="80"/>
      <c r="M35" s="80"/>
      <c r="N35" s="80"/>
      <c r="O35" s="80"/>
      <c r="P35" s="80"/>
      <c r="Q35" s="80"/>
      <c r="R35" s="80"/>
      <c r="S35" s="80"/>
      <c r="T35" s="80"/>
      <c r="U35" s="80"/>
      <c r="V35" s="80"/>
      <c r="W35" s="80"/>
      <c r="X35" s="80"/>
      <c r="Y35" s="80"/>
      <c r="Z35" s="80"/>
      <c r="AA35" s="80"/>
      <c r="AB35" s="80"/>
      <c r="AC35" s="80"/>
      <c r="AD35" s="80"/>
      <c r="AE35" s="80"/>
      <c r="AF35" s="80"/>
      <c r="AG35" s="80"/>
      <c r="AH35" s="80"/>
      <c r="AI35" s="80"/>
      <c r="AJ35" s="80"/>
      <c r="AK35" s="80"/>
      <c r="AL35" s="80"/>
      <c r="AM35" s="80"/>
      <c r="AN35" s="80"/>
      <c r="AO35" s="80"/>
      <c r="AP35" s="80"/>
      <c r="AQ35" s="80"/>
      <c r="AR35" s="80"/>
      <c r="AS35" s="80"/>
    </row>
    <row r="36" spans="2:45" x14ac:dyDescent="0.2">
      <c r="B36" s="80"/>
      <c r="C36" s="80"/>
      <c r="D36" s="80"/>
      <c r="E36" s="80"/>
      <c r="F36" s="80"/>
      <c r="G36" s="80"/>
      <c r="H36" s="80"/>
      <c r="I36" s="80"/>
      <c r="J36" s="80"/>
      <c r="K36" s="80"/>
      <c r="L36" s="80"/>
      <c r="M36" s="80"/>
      <c r="N36" s="80"/>
      <c r="O36" s="80"/>
      <c r="P36" s="80"/>
      <c r="Q36" s="80"/>
      <c r="R36" s="80"/>
      <c r="S36" s="80"/>
      <c r="T36" s="80"/>
      <c r="U36" s="80"/>
      <c r="V36" s="80"/>
      <c r="W36" s="80"/>
      <c r="X36" s="80"/>
      <c r="Y36" s="80"/>
      <c r="Z36" s="80"/>
      <c r="AA36" s="80"/>
      <c r="AB36" s="80"/>
      <c r="AC36" s="80"/>
      <c r="AD36" s="80"/>
      <c r="AE36" s="80"/>
      <c r="AF36" s="80"/>
      <c r="AG36" s="80"/>
      <c r="AH36" s="80"/>
      <c r="AI36" s="80"/>
      <c r="AJ36" s="80"/>
      <c r="AK36" s="80"/>
      <c r="AL36" s="80"/>
      <c r="AM36" s="80"/>
      <c r="AN36" s="80"/>
      <c r="AO36" s="80"/>
      <c r="AP36" s="80"/>
      <c r="AQ36" s="80"/>
      <c r="AR36" s="80"/>
      <c r="AS36" s="80"/>
    </row>
    <row r="37" spans="2:45" x14ac:dyDescent="0.2">
      <c r="B37" s="80"/>
      <c r="C37" s="80"/>
      <c r="D37" s="80"/>
      <c r="E37" s="80"/>
      <c r="F37" s="80"/>
      <c r="G37" s="80"/>
      <c r="H37" s="80"/>
      <c r="I37" s="80"/>
      <c r="J37" s="80"/>
      <c r="K37" s="80"/>
      <c r="L37" s="80"/>
      <c r="M37" s="80"/>
      <c r="N37" s="80"/>
      <c r="O37" s="80"/>
      <c r="P37" s="80"/>
      <c r="Q37" s="80"/>
      <c r="R37" s="80"/>
      <c r="S37" s="80"/>
      <c r="T37" s="80"/>
      <c r="U37" s="80"/>
      <c r="V37" s="80"/>
      <c r="W37" s="80"/>
      <c r="X37" s="80"/>
      <c r="Y37" s="80"/>
      <c r="Z37" s="80"/>
      <c r="AA37" s="80"/>
      <c r="AB37" s="80"/>
      <c r="AC37" s="80"/>
      <c r="AD37" s="80"/>
      <c r="AE37" s="80"/>
      <c r="AF37" s="80"/>
      <c r="AG37" s="80"/>
      <c r="AH37" s="80"/>
      <c r="AI37" s="80"/>
      <c r="AJ37" s="80"/>
      <c r="AK37" s="80"/>
      <c r="AL37" s="80"/>
      <c r="AM37" s="80"/>
      <c r="AN37" s="80"/>
      <c r="AO37" s="80"/>
      <c r="AP37" s="80"/>
      <c r="AQ37" s="80"/>
      <c r="AR37" s="80"/>
      <c r="AS37" s="80"/>
    </row>
    <row r="38" spans="2:45" x14ac:dyDescent="0.2">
      <c r="B38" s="80"/>
      <c r="C38" s="80"/>
      <c r="D38" s="80"/>
      <c r="E38" s="80"/>
      <c r="F38" s="80"/>
      <c r="G38" s="80"/>
      <c r="H38" s="80"/>
      <c r="I38" s="80"/>
      <c r="J38" s="80"/>
      <c r="K38" s="80"/>
      <c r="L38" s="80"/>
      <c r="M38" s="80"/>
      <c r="N38" s="80"/>
      <c r="O38" s="80"/>
      <c r="P38" s="80"/>
      <c r="Q38" s="80"/>
      <c r="R38" s="80"/>
      <c r="S38" s="80"/>
      <c r="T38" s="80"/>
      <c r="U38" s="80"/>
      <c r="V38" s="80"/>
      <c r="W38" s="80"/>
      <c r="X38" s="80"/>
      <c r="Y38" s="80"/>
      <c r="Z38" s="80"/>
      <c r="AA38" s="80"/>
      <c r="AB38" s="80"/>
      <c r="AC38" s="80"/>
      <c r="AD38" s="80"/>
      <c r="AE38" s="80"/>
      <c r="AF38" s="80"/>
      <c r="AG38" s="80"/>
      <c r="AH38" s="80"/>
      <c r="AI38" s="80"/>
      <c r="AJ38" s="80"/>
      <c r="AK38" s="80"/>
      <c r="AL38" s="80"/>
      <c r="AM38" s="80"/>
      <c r="AN38" s="80"/>
      <c r="AO38" s="80"/>
      <c r="AP38" s="80"/>
      <c r="AQ38" s="80"/>
      <c r="AR38" s="80"/>
      <c r="AS38" s="80"/>
    </row>
    <row r="39" spans="2:45" x14ac:dyDescent="0.2">
      <c r="B39" s="80"/>
      <c r="C39" s="80"/>
      <c r="D39" s="80"/>
      <c r="E39" s="80"/>
      <c r="F39" s="80"/>
      <c r="G39" s="80"/>
      <c r="H39" s="80"/>
      <c r="I39" s="80"/>
      <c r="J39" s="80"/>
      <c r="K39" s="80"/>
      <c r="L39" s="80"/>
      <c r="M39" s="80"/>
      <c r="N39" s="80"/>
      <c r="O39" s="80"/>
      <c r="P39" s="80"/>
      <c r="Q39" s="80"/>
      <c r="R39" s="80"/>
      <c r="S39" s="80"/>
      <c r="T39" s="80"/>
      <c r="U39" s="80"/>
      <c r="V39" s="80"/>
      <c r="W39" s="80"/>
      <c r="X39" s="80"/>
      <c r="Y39" s="80"/>
      <c r="Z39" s="80"/>
      <c r="AA39" s="80"/>
      <c r="AB39" s="80"/>
      <c r="AC39" s="80"/>
      <c r="AD39" s="80"/>
      <c r="AE39" s="80"/>
      <c r="AF39" s="80"/>
      <c r="AG39" s="80"/>
      <c r="AH39" s="80"/>
      <c r="AI39" s="80"/>
      <c r="AJ39" s="80"/>
      <c r="AK39" s="80"/>
      <c r="AL39" s="80"/>
      <c r="AM39" s="80"/>
      <c r="AN39" s="80"/>
      <c r="AO39" s="80"/>
      <c r="AP39" s="80"/>
      <c r="AQ39" s="80"/>
      <c r="AR39" s="80"/>
      <c r="AS39" s="80"/>
    </row>
    <row r="40" spans="2:45" x14ac:dyDescent="0.2">
      <c r="B40" s="80"/>
      <c r="C40" s="80"/>
      <c r="D40" s="80"/>
      <c r="E40" s="80"/>
      <c r="F40" s="80"/>
      <c r="G40" s="80"/>
      <c r="H40" s="80"/>
      <c r="I40" s="80"/>
      <c r="J40" s="80"/>
      <c r="K40" s="80"/>
      <c r="L40" s="80"/>
      <c r="M40" s="80"/>
      <c r="N40" s="80"/>
      <c r="O40" s="80"/>
      <c r="P40" s="80"/>
      <c r="Q40" s="80"/>
      <c r="R40" s="80"/>
      <c r="S40" s="80"/>
      <c r="T40" s="80"/>
      <c r="U40" s="80"/>
      <c r="V40" s="80"/>
      <c r="W40" s="80"/>
      <c r="X40" s="80"/>
      <c r="Y40" s="80"/>
      <c r="Z40" s="80"/>
      <c r="AA40" s="80"/>
      <c r="AB40" s="80"/>
      <c r="AC40" s="80"/>
      <c r="AD40" s="80"/>
      <c r="AE40" s="80"/>
      <c r="AF40" s="80"/>
      <c r="AG40" s="80"/>
      <c r="AH40" s="80"/>
      <c r="AI40" s="80"/>
      <c r="AJ40" s="80"/>
      <c r="AK40" s="80"/>
      <c r="AL40" s="80"/>
      <c r="AM40" s="80"/>
      <c r="AN40" s="80"/>
      <c r="AO40" s="80"/>
      <c r="AP40" s="80"/>
      <c r="AQ40" s="80"/>
      <c r="AR40" s="80"/>
      <c r="AS40" s="80"/>
    </row>
    <row r="41" spans="2:45" x14ac:dyDescent="0.2">
      <c r="B41" s="80"/>
      <c r="C41" s="80"/>
      <c r="D41" s="80"/>
      <c r="E41" s="80"/>
      <c r="F41" s="80"/>
      <c r="G41" s="80"/>
      <c r="H41" s="80"/>
      <c r="I41" s="80"/>
      <c r="J41" s="80"/>
      <c r="K41" s="80"/>
      <c r="L41" s="80"/>
      <c r="M41" s="80"/>
      <c r="N41" s="80"/>
      <c r="O41" s="80"/>
      <c r="P41" s="80"/>
      <c r="Q41" s="80"/>
      <c r="R41" s="80"/>
      <c r="S41" s="80"/>
      <c r="T41" s="80"/>
      <c r="U41" s="80"/>
      <c r="V41" s="80"/>
      <c r="W41" s="80"/>
      <c r="X41" s="80"/>
      <c r="Y41" s="80"/>
      <c r="Z41" s="80"/>
      <c r="AA41" s="80"/>
      <c r="AB41" s="80"/>
      <c r="AC41" s="80"/>
      <c r="AD41" s="80"/>
      <c r="AE41" s="80"/>
      <c r="AF41" s="80"/>
      <c r="AG41" s="80"/>
      <c r="AH41" s="80"/>
      <c r="AI41" s="80"/>
      <c r="AJ41" s="80"/>
      <c r="AK41" s="80"/>
      <c r="AL41" s="80"/>
      <c r="AM41" s="80"/>
      <c r="AN41" s="80"/>
      <c r="AO41" s="80"/>
      <c r="AP41" s="80"/>
      <c r="AQ41" s="80"/>
      <c r="AR41" s="80"/>
      <c r="AS41" s="80"/>
    </row>
    <row r="42" spans="2:45" x14ac:dyDescent="0.2">
      <c r="B42" s="80"/>
      <c r="C42" s="80"/>
      <c r="D42" s="80"/>
      <c r="E42" s="80"/>
      <c r="F42" s="80"/>
      <c r="G42" s="80"/>
      <c r="H42" s="80"/>
      <c r="I42" s="80"/>
      <c r="J42" s="80"/>
      <c r="K42" s="80"/>
      <c r="L42" s="80"/>
      <c r="M42" s="80"/>
      <c r="N42" s="80"/>
      <c r="O42" s="80"/>
      <c r="P42" s="80"/>
      <c r="Q42" s="80"/>
      <c r="R42" s="80"/>
      <c r="S42" s="80"/>
      <c r="T42" s="80"/>
      <c r="U42" s="80"/>
      <c r="V42" s="80"/>
      <c r="W42" s="80"/>
      <c r="X42" s="80"/>
      <c r="Y42" s="80"/>
      <c r="Z42" s="80"/>
      <c r="AA42" s="80"/>
      <c r="AB42" s="80"/>
      <c r="AC42" s="80"/>
      <c r="AD42" s="80"/>
      <c r="AE42" s="80"/>
      <c r="AF42" s="80"/>
      <c r="AG42" s="80"/>
      <c r="AH42" s="80"/>
      <c r="AI42" s="80"/>
      <c r="AJ42" s="80"/>
      <c r="AK42" s="80"/>
      <c r="AL42" s="80"/>
      <c r="AM42" s="80"/>
      <c r="AN42" s="80"/>
      <c r="AO42" s="80"/>
      <c r="AP42" s="80"/>
      <c r="AQ42" s="80"/>
      <c r="AR42" s="80"/>
      <c r="AS42" s="80"/>
    </row>
    <row r="43" spans="2:45" x14ac:dyDescent="0.2">
      <c r="B43" s="80"/>
      <c r="C43" s="80"/>
      <c r="D43" s="80"/>
      <c r="E43" s="80"/>
      <c r="F43" s="80"/>
      <c r="G43" s="80"/>
      <c r="H43" s="80"/>
      <c r="I43" s="80"/>
      <c r="J43" s="80"/>
      <c r="K43" s="80"/>
      <c r="L43" s="80"/>
      <c r="M43" s="80"/>
      <c r="N43" s="80"/>
      <c r="O43" s="80"/>
      <c r="P43" s="80"/>
      <c r="Q43" s="80"/>
      <c r="R43" s="80"/>
      <c r="S43" s="80"/>
      <c r="T43" s="80"/>
      <c r="U43" s="80"/>
      <c r="V43" s="80"/>
      <c r="W43" s="80"/>
      <c r="X43" s="80"/>
      <c r="Y43" s="80"/>
      <c r="Z43" s="80"/>
      <c r="AA43" s="80"/>
      <c r="AB43" s="80"/>
      <c r="AC43" s="80"/>
      <c r="AD43" s="80"/>
      <c r="AE43" s="80"/>
      <c r="AF43" s="80"/>
      <c r="AG43" s="80"/>
      <c r="AH43" s="80"/>
      <c r="AI43" s="80"/>
      <c r="AJ43" s="80"/>
      <c r="AK43" s="80"/>
      <c r="AL43" s="80"/>
      <c r="AM43" s="80"/>
      <c r="AN43" s="80"/>
      <c r="AO43" s="80"/>
      <c r="AP43" s="80"/>
      <c r="AQ43" s="80"/>
      <c r="AR43" s="80"/>
      <c r="AS43" s="80"/>
    </row>
    <row r="44" spans="2:45" x14ac:dyDescent="0.2">
      <c r="B44" s="80"/>
      <c r="C44" s="80"/>
      <c r="D44" s="80"/>
      <c r="E44" s="80"/>
      <c r="F44" s="80"/>
      <c r="G44" s="80"/>
      <c r="H44" s="80"/>
      <c r="I44" s="80"/>
      <c r="J44" s="80"/>
      <c r="K44" s="80"/>
      <c r="L44" s="80"/>
      <c r="M44" s="80"/>
      <c r="N44" s="80"/>
      <c r="O44" s="80"/>
      <c r="P44" s="80"/>
      <c r="Q44" s="80"/>
      <c r="R44" s="80"/>
      <c r="S44" s="80"/>
      <c r="T44" s="80"/>
      <c r="U44" s="80"/>
      <c r="V44" s="80"/>
      <c r="W44" s="80"/>
      <c r="X44" s="80"/>
      <c r="Y44" s="80"/>
      <c r="Z44" s="80"/>
      <c r="AA44" s="80"/>
      <c r="AB44" s="80"/>
      <c r="AC44" s="80"/>
      <c r="AD44" s="80"/>
      <c r="AE44" s="80"/>
      <c r="AF44" s="80"/>
      <c r="AG44" s="80"/>
      <c r="AH44" s="80"/>
      <c r="AI44" s="80"/>
      <c r="AJ44" s="80"/>
      <c r="AK44" s="80"/>
      <c r="AL44" s="80"/>
      <c r="AM44" s="80"/>
      <c r="AN44" s="80"/>
      <c r="AO44" s="80"/>
      <c r="AP44" s="80"/>
      <c r="AQ44" s="80"/>
      <c r="AR44" s="80"/>
      <c r="AS44" s="80"/>
    </row>
    <row r="45" spans="2:45" x14ac:dyDescent="0.2">
      <c r="B45" s="80"/>
      <c r="C45" s="80"/>
      <c r="D45" s="80"/>
      <c r="E45" s="80"/>
      <c r="F45" s="80"/>
      <c r="G45" s="80"/>
      <c r="H45" s="80"/>
      <c r="I45" s="80"/>
      <c r="J45" s="80"/>
      <c r="K45" s="80"/>
      <c r="L45" s="80"/>
      <c r="M45" s="80"/>
      <c r="N45" s="80"/>
      <c r="O45" s="80"/>
      <c r="P45" s="80"/>
      <c r="Q45" s="80"/>
      <c r="R45" s="80"/>
      <c r="S45" s="80"/>
      <c r="T45" s="80"/>
      <c r="U45" s="80"/>
      <c r="V45" s="80"/>
      <c r="W45" s="80"/>
      <c r="X45" s="80"/>
      <c r="Y45" s="80"/>
      <c r="Z45" s="80"/>
      <c r="AA45" s="80"/>
      <c r="AB45" s="80"/>
      <c r="AC45" s="80"/>
      <c r="AD45" s="80"/>
      <c r="AE45" s="80"/>
      <c r="AF45" s="80"/>
      <c r="AG45" s="80"/>
      <c r="AH45" s="80"/>
      <c r="AI45" s="80"/>
      <c r="AJ45" s="80"/>
      <c r="AK45" s="80"/>
      <c r="AL45" s="80"/>
      <c r="AM45" s="80"/>
      <c r="AN45" s="80"/>
      <c r="AO45" s="80"/>
      <c r="AP45" s="80"/>
      <c r="AQ45" s="80"/>
      <c r="AR45" s="80"/>
      <c r="AS45" s="80"/>
    </row>
    <row r="46" spans="2:45" x14ac:dyDescent="0.2">
      <c r="B46" s="80"/>
      <c r="C46" s="80"/>
      <c r="D46" s="80"/>
      <c r="E46" s="80"/>
      <c r="F46" s="80"/>
      <c r="G46" s="80"/>
      <c r="H46" s="80"/>
      <c r="I46" s="80"/>
      <c r="J46" s="80"/>
      <c r="K46" s="80"/>
      <c r="L46" s="80"/>
      <c r="M46" s="80"/>
      <c r="N46" s="80"/>
      <c r="O46" s="80"/>
      <c r="P46" s="80"/>
      <c r="Q46" s="80"/>
      <c r="R46" s="80"/>
      <c r="S46" s="80"/>
      <c r="T46" s="80"/>
      <c r="U46" s="80"/>
      <c r="V46" s="80"/>
      <c r="W46" s="80"/>
      <c r="X46" s="80"/>
      <c r="Y46" s="80"/>
      <c r="Z46" s="80"/>
      <c r="AA46" s="80"/>
      <c r="AB46" s="80"/>
      <c r="AC46" s="80"/>
      <c r="AD46" s="80"/>
      <c r="AE46" s="80"/>
      <c r="AF46" s="80"/>
      <c r="AG46" s="80"/>
      <c r="AH46" s="80"/>
      <c r="AI46" s="80"/>
      <c r="AJ46" s="80"/>
      <c r="AK46" s="80"/>
      <c r="AL46" s="80"/>
      <c r="AM46" s="80"/>
      <c r="AN46" s="80"/>
      <c r="AO46" s="80"/>
      <c r="AP46" s="80"/>
      <c r="AQ46" s="80"/>
      <c r="AR46" s="80"/>
      <c r="AS46" s="80"/>
    </row>
  </sheetData>
  <sheetProtection selectLockedCells="1" selectUnlockedCells="1"/>
  <mergeCells count="24">
    <mergeCell ref="A15:A16"/>
    <mergeCell ref="B15:H15"/>
    <mergeCell ref="I9:AM9"/>
    <mergeCell ref="A10:A13"/>
    <mergeCell ref="B10:H10"/>
    <mergeCell ref="B11:H11"/>
    <mergeCell ref="B12:H12"/>
    <mergeCell ref="B13:H13"/>
    <mergeCell ref="A18:A19"/>
    <mergeCell ref="B9:H9"/>
    <mergeCell ref="B1:H1"/>
    <mergeCell ref="I1:AI1"/>
    <mergeCell ref="AJ1:AM1"/>
    <mergeCell ref="B2:H2"/>
    <mergeCell ref="A3:A8"/>
    <mergeCell ref="B3:H3"/>
    <mergeCell ref="B4:H4"/>
    <mergeCell ref="B5:H5"/>
    <mergeCell ref="B6:H6"/>
    <mergeCell ref="B7:H7"/>
    <mergeCell ref="B8:H8"/>
    <mergeCell ref="B18:H18"/>
    <mergeCell ref="B19:H19"/>
    <mergeCell ref="B16:H16"/>
  </mergeCells>
  <phoneticPr fontId="2" type="noConversion"/>
  <conditionalFormatting sqref="I16:AM17">
    <cfRule type="cellIs" dxfId="4" priority="2" stopIfTrue="1" operator="notEqual">
      <formula>0</formula>
    </cfRule>
  </conditionalFormatting>
  <conditionalFormatting sqref="I18:AM18 I13:AM13">
    <cfRule type="cellIs" dxfId="3" priority="3" stopIfTrue="1" operator="notEqual">
      <formula>0</formula>
    </cfRule>
  </conditionalFormatting>
  <conditionalFormatting sqref="I14:AM14 I11:AM12">
    <cfRule type="cellIs" dxfId="2" priority="4" stopIfTrue="1" operator="equal">
      <formula>0</formula>
    </cfRule>
  </conditionalFormatting>
  <conditionalFormatting sqref="I15:AM15">
    <cfRule type="cellIs" dxfId="1" priority="5" stopIfTrue="1" operator="equal">
      <formula>0</formula>
    </cfRule>
  </conditionalFormatting>
  <conditionalFormatting sqref="I19:AM19">
    <cfRule type="cellIs" dxfId="0" priority="6" stopIfTrue="1" operator="equal">
      <formula>0</formula>
    </cfRule>
  </conditionalFormatting>
  <printOptions horizontalCentered="1" verticalCentered="1"/>
  <pageMargins left="0.39370078740157483" right="0.39370078740157483" top="0.55118110236220474" bottom="0.59055118110236227" header="0.39370078740157483" footer="0.39370078740157483"/>
  <pageSetup paperSize="9" scale="27" orientation="landscape" r:id="rId1"/>
  <headerFooter alignWithMargins="0">
    <oddFooter xml:space="preserve">&amp;C&amp;26&amp;P de &amp;N&amp;R&amp;26www.cpavitoria06.com   
info@cpavitoria06.com   </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N42"/>
  <sheetViews>
    <sheetView showGridLines="0" zoomScaleNormal="100" workbookViewId="0">
      <selection activeCell="H43" sqref="H43"/>
    </sheetView>
  </sheetViews>
  <sheetFormatPr baseColWidth="10" defaultRowHeight="12.75" x14ac:dyDescent="0.2"/>
  <sheetData>
    <row r="1" spans="1:14" ht="76.5" customHeight="1" x14ac:dyDescent="0.2">
      <c r="A1" s="297"/>
      <c r="B1" s="297"/>
      <c r="C1" s="347" t="s">
        <v>87</v>
      </c>
      <c r="D1" s="347"/>
      <c r="E1" s="347"/>
      <c r="F1" s="347"/>
      <c r="G1" s="347"/>
      <c r="H1" s="347"/>
      <c r="I1" s="347"/>
      <c r="J1" s="210" t="s">
        <v>95</v>
      </c>
      <c r="K1" s="297"/>
    </row>
    <row r="2" spans="1:14" x14ac:dyDescent="0.2">
      <c r="A2" s="332"/>
      <c r="B2" s="333"/>
      <c r="C2" s="333"/>
      <c r="D2" s="333"/>
      <c r="E2" s="333"/>
      <c r="F2" s="333"/>
      <c r="G2" s="333"/>
      <c r="H2" s="333"/>
      <c r="I2" s="333"/>
      <c r="J2" s="333"/>
      <c r="K2" s="356"/>
    </row>
    <row r="3" spans="1:14" x14ac:dyDescent="0.2">
      <c r="A3" s="334"/>
      <c r="B3" s="335"/>
      <c r="C3" s="335"/>
      <c r="D3" s="335"/>
      <c r="E3" s="335"/>
      <c r="F3" s="335"/>
      <c r="G3" s="335"/>
      <c r="H3" s="335"/>
      <c r="I3" s="335"/>
      <c r="J3" s="335"/>
      <c r="K3" s="412"/>
    </row>
    <row r="4" spans="1:14" x14ac:dyDescent="0.2">
      <c r="A4" s="334"/>
      <c r="B4" s="335"/>
      <c r="C4" s="335"/>
      <c r="D4" s="335"/>
      <c r="E4" s="335"/>
      <c r="F4" s="335"/>
      <c r="G4" s="335"/>
      <c r="H4" s="335"/>
      <c r="I4" s="335"/>
      <c r="J4" s="335"/>
      <c r="K4" s="412"/>
    </row>
    <row r="5" spans="1:14" x14ac:dyDescent="0.2">
      <c r="A5" s="334"/>
      <c r="B5" s="335"/>
      <c r="C5" s="335"/>
      <c r="D5" s="335"/>
      <c r="E5" s="335"/>
      <c r="F5" s="335"/>
      <c r="G5" s="335"/>
      <c r="H5" s="335"/>
      <c r="I5" s="335"/>
      <c r="J5" s="335"/>
      <c r="K5" s="412"/>
      <c r="N5" s="5"/>
    </row>
    <row r="6" spans="1:14" x14ac:dyDescent="0.2">
      <c r="A6" s="334"/>
      <c r="B6" s="335"/>
      <c r="C6" s="335"/>
      <c r="D6" s="335"/>
      <c r="E6" s="335"/>
      <c r="F6" s="335"/>
      <c r="G6" s="335"/>
      <c r="H6" s="335"/>
      <c r="I6" s="335"/>
      <c r="J6" s="335"/>
      <c r="K6" s="412"/>
    </row>
    <row r="7" spans="1:14" x14ac:dyDescent="0.2">
      <c r="A7" s="334"/>
      <c r="B7" s="335"/>
      <c r="C7" s="335"/>
      <c r="D7" s="335"/>
      <c r="E7" s="335"/>
      <c r="F7" s="335"/>
      <c r="G7" s="335"/>
      <c r="H7" s="335"/>
      <c r="I7" s="335"/>
      <c r="J7" s="335"/>
      <c r="K7" s="412"/>
    </row>
    <row r="8" spans="1:14" x14ac:dyDescent="0.2">
      <c r="A8" s="334"/>
      <c r="B8" s="335"/>
      <c r="C8" s="335"/>
      <c r="D8" s="335"/>
      <c r="E8" s="335"/>
      <c r="F8" s="335"/>
      <c r="G8" s="335"/>
      <c r="H8" s="335"/>
      <c r="I8" s="335"/>
      <c r="J8" s="335"/>
      <c r="K8" s="412"/>
    </row>
    <row r="9" spans="1:14" x14ac:dyDescent="0.2">
      <c r="A9" s="334"/>
      <c r="B9" s="335"/>
      <c r="C9" s="335"/>
      <c r="D9" s="335"/>
      <c r="E9" s="335"/>
      <c r="F9" s="335"/>
      <c r="G9" s="335"/>
      <c r="H9" s="335"/>
      <c r="I9" s="335"/>
      <c r="J9" s="335"/>
      <c r="K9" s="412"/>
    </row>
    <row r="10" spans="1:14" x14ac:dyDescent="0.2">
      <c r="A10" s="334"/>
      <c r="B10" s="335"/>
      <c r="C10" s="335"/>
      <c r="D10" s="335"/>
      <c r="E10" s="335"/>
      <c r="F10" s="335"/>
      <c r="G10" s="335"/>
      <c r="H10" s="335"/>
      <c r="I10" s="335"/>
      <c r="J10" s="335"/>
      <c r="K10" s="412"/>
    </row>
    <row r="11" spans="1:14" x14ac:dyDescent="0.2">
      <c r="A11" s="334"/>
      <c r="B11" s="335"/>
      <c r="C11" s="335"/>
      <c r="D11" s="335"/>
      <c r="E11" s="335"/>
      <c r="F11" s="335"/>
      <c r="G11" s="335"/>
      <c r="H11" s="335"/>
      <c r="I11" s="335"/>
      <c r="J11" s="335"/>
      <c r="K11" s="412"/>
    </row>
    <row r="12" spans="1:14" x14ac:dyDescent="0.2">
      <c r="A12" s="334"/>
      <c r="B12" s="335"/>
      <c r="C12" s="335"/>
      <c r="D12" s="335"/>
      <c r="E12" s="335"/>
      <c r="F12" s="335"/>
      <c r="G12" s="335"/>
      <c r="H12" s="335"/>
      <c r="I12" s="335"/>
      <c r="J12" s="335"/>
      <c r="K12" s="412"/>
    </row>
    <row r="13" spans="1:14" x14ac:dyDescent="0.2">
      <c r="A13" s="334"/>
      <c r="B13" s="335"/>
      <c r="C13" s="335"/>
      <c r="D13" s="335"/>
      <c r="E13" s="335"/>
      <c r="F13" s="335"/>
      <c r="G13" s="335"/>
      <c r="H13" s="335"/>
      <c r="I13" s="335"/>
      <c r="J13" s="335"/>
      <c r="K13" s="412"/>
    </row>
    <row r="14" spans="1:14" x14ac:dyDescent="0.2">
      <c r="A14" s="334"/>
      <c r="B14" s="335"/>
      <c r="C14" s="335"/>
      <c r="D14" s="335"/>
      <c r="E14" s="335"/>
      <c r="F14" s="335"/>
      <c r="G14" s="335"/>
      <c r="H14" s="335"/>
      <c r="I14" s="335"/>
      <c r="J14" s="335"/>
      <c r="K14" s="412"/>
    </row>
    <row r="15" spans="1:14" x14ac:dyDescent="0.2">
      <c r="A15" s="334"/>
      <c r="B15" s="335"/>
      <c r="C15" s="335"/>
      <c r="D15" s="335"/>
      <c r="E15" s="335"/>
      <c r="F15" s="335"/>
      <c r="G15" s="335"/>
      <c r="H15" s="335"/>
      <c r="I15" s="335"/>
      <c r="J15" s="335"/>
      <c r="K15" s="412"/>
    </row>
    <row r="16" spans="1:14" x14ac:dyDescent="0.2">
      <c r="A16" s="334"/>
      <c r="B16" s="335"/>
      <c r="C16" s="335"/>
      <c r="D16" s="335"/>
      <c r="E16" s="335"/>
      <c r="F16" s="335"/>
      <c r="G16" s="335"/>
      <c r="H16" s="335"/>
      <c r="I16" s="335"/>
      <c r="J16" s="335"/>
      <c r="K16" s="412"/>
    </row>
    <row r="17" spans="1:11" x14ac:dyDescent="0.2">
      <c r="A17" s="334"/>
      <c r="B17" s="335"/>
      <c r="C17" s="335"/>
      <c r="D17" s="335"/>
      <c r="E17" s="335"/>
      <c r="F17" s="335"/>
      <c r="G17" s="335"/>
      <c r="H17" s="335"/>
      <c r="I17" s="335"/>
      <c r="J17" s="335"/>
      <c r="K17" s="412"/>
    </row>
    <row r="18" spans="1:11" x14ac:dyDescent="0.2">
      <c r="A18" s="334"/>
      <c r="B18" s="335"/>
      <c r="C18" s="335"/>
      <c r="D18" s="335"/>
      <c r="E18" s="335"/>
      <c r="F18" s="335"/>
      <c r="G18" s="335"/>
      <c r="H18" s="335"/>
      <c r="I18" s="335"/>
      <c r="J18" s="335"/>
      <c r="K18" s="412"/>
    </row>
    <row r="19" spans="1:11" x14ac:dyDescent="0.2">
      <c r="A19" s="334"/>
      <c r="B19" s="335"/>
      <c r="C19" s="335"/>
      <c r="D19" s="335"/>
      <c r="E19" s="335"/>
      <c r="F19" s="335"/>
      <c r="G19" s="335"/>
      <c r="H19" s="335"/>
      <c r="I19" s="335"/>
      <c r="J19" s="335"/>
      <c r="K19" s="412"/>
    </row>
    <row r="20" spans="1:11" x14ac:dyDescent="0.2">
      <c r="A20" s="334"/>
      <c r="B20" s="335"/>
      <c r="C20" s="335"/>
      <c r="D20" s="335"/>
      <c r="E20" s="335"/>
      <c r="F20" s="335"/>
      <c r="G20" s="335"/>
      <c r="H20" s="335"/>
      <c r="I20" s="335"/>
      <c r="J20" s="335"/>
      <c r="K20" s="412"/>
    </row>
    <row r="21" spans="1:11" x14ac:dyDescent="0.2">
      <c r="A21" s="334"/>
      <c r="B21" s="335"/>
      <c r="C21" s="335"/>
      <c r="D21" s="335"/>
      <c r="E21" s="335"/>
      <c r="F21" s="335"/>
      <c r="G21" s="335"/>
      <c r="H21" s="335"/>
      <c r="I21" s="335"/>
      <c r="J21" s="335"/>
      <c r="K21" s="412"/>
    </row>
    <row r="22" spans="1:11" x14ac:dyDescent="0.2">
      <c r="A22" s="334"/>
      <c r="B22" s="335"/>
      <c r="C22" s="335"/>
      <c r="D22" s="335"/>
      <c r="E22" s="335"/>
      <c r="F22" s="335"/>
      <c r="G22" s="335"/>
      <c r="H22" s="335"/>
      <c r="I22" s="335"/>
      <c r="J22" s="335"/>
      <c r="K22" s="412"/>
    </row>
    <row r="23" spans="1:11" x14ac:dyDescent="0.2">
      <c r="A23" s="334"/>
      <c r="B23" s="335"/>
      <c r="C23" s="335"/>
      <c r="D23" s="335"/>
      <c r="E23" s="335"/>
      <c r="F23" s="335"/>
      <c r="G23" s="335"/>
      <c r="H23" s="335"/>
      <c r="I23" s="335"/>
      <c r="J23" s="335"/>
      <c r="K23" s="412"/>
    </row>
    <row r="24" spans="1:11" x14ac:dyDescent="0.2">
      <c r="A24" s="336"/>
      <c r="B24" s="337"/>
      <c r="C24" s="337"/>
      <c r="D24" s="337"/>
      <c r="E24" s="337"/>
      <c r="F24" s="337"/>
      <c r="G24" s="337"/>
      <c r="H24" s="337"/>
      <c r="I24" s="337"/>
      <c r="J24" s="337"/>
      <c r="K24" s="413"/>
    </row>
    <row r="42" ht="24.75" customHeight="1" x14ac:dyDescent="0.2"/>
  </sheetData>
  <mergeCells count="4">
    <mergeCell ref="A1:B1"/>
    <mergeCell ref="C1:I1"/>
    <mergeCell ref="J1:K1"/>
    <mergeCell ref="A2:K24"/>
  </mergeCells>
  <printOptions horizontalCentered="1" verticalCentered="1"/>
  <pageMargins left="0.39370078740157483" right="0.39370078740157483" top="0.74803149606299213" bottom="0.74803149606299213" header="0.31496062992125984" footer="0.31496062992125984"/>
  <pageSetup paperSize="9" orientation="landscape" horizontalDpi="200" verticalDpi="200" r:id="rId1"/>
  <headerFooter>
    <oddFooter xml:space="preserve">&amp;C&amp;P de &amp;N&amp;Rwww.cpavitoria06.com      
info@cpavitoria06.com      </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BP823"/>
  <sheetViews>
    <sheetView workbookViewId="0">
      <selection activeCell="O27" sqref="O27"/>
    </sheetView>
  </sheetViews>
  <sheetFormatPr baseColWidth="10" defaultRowHeight="12.75" x14ac:dyDescent="0.2"/>
  <cols>
    <col min="1" max="1" width="11.42578125" customWidth="1"/>
    <col min="2" max="2" width="13.5703125" bestFit="1" customWidth="1"/>
    <col min="3" max="3" width="15.5703125" customWidth="1"/>
    <col min="4" max="4" width="9.28515625" customWidth="1"/>
    <col min="5" max="8" width="13.5703125" customWidth="1"/>
    <col min="9" max="68" width="11.42578125" style="490"/>
  </cols>
  <sheetData>
    <row r="1" spans="1:8" ht="67.5" customHeight="1" x14ac:dyDescent="0.2">
      <c r="A1" s="414"/>
      <c r="B1" s="415"/>
      <c r="C1" s="416" t="s">
        <v>126</v>
      </c>
      <c r="D1" s="417"/>
      <c r="E1" s="417"/>
      <c r="F1" s="418"/>
      <c r="G1" s="419" t="s">
        <v>127</v>
      </c>
      <c r="H1" s="420"/>
    </row>
    <row r="2" spans="1:8" ht="15" customHeight="1" x14ac:dyDescent="0.2">
      <c r="A2" s="113" t="s">
        <v>13</v>
      </c>
      <c r="B2" s="113" t="s">
        <v>128</v>
      </c>
      <c r="C2" s="113" t="s">
        <v>129</v>
      </c>
      <c r="D2" s="113" t="s">
        <v>130</v>
      </c>
      <c r="E2" s="114" t="s">
        <v>131</v>
      </c>
      <c r="F2" s="115" t="s">
        <v>132</v>
      </c>
      <c r="G2" s="116" t="s">
        <v>133</v>
      </c>
      <c r="H2" s="116" t="s">
        <v>134</v>
      </c>
    </row>
    <row r="3" spans="1:8" ht="15" customHeight="1" x14ac:dyDescent="0.2">
      <c r="A3" s="117"/>
      <c r="B3" s="118"/>
      <c r="C3" s="119"/>
      <c r="D3" s="120"/>
      <c r="E3" s="121">
        <f>SUM(E4:E160)</f>
        <v>0</v>
      </c>
      <c r="F3" s="122">
        <f>SUM(F4:F160)</f>
        <v>0</v>
      </c>
      <c r="G3" s="123">
        <f>SUM(G4:G160)</f>
        <v>0</v>
      </c>
      <c r="H3" s="123">
        <f>SUM(E3:G3)</f>
        <v>0</v>
      </c>
    </row>
    <row r="4" spans="1:8" ht="15" customHeight="1" x14ac:dyDescent="0.2">
      <c r="A4" s="124"/>
      <c r="B4" s="124"/>
      <c r="C4" s="124"/>
      <c r="D4" s="124"/>
      <c r="E4" s="125"/>
      <c r="F4" s="125"/>
      <c r="G4" s="125"/>
      <c r="H4" s="125"/>
    </row>
    <row r="5" spans="1:8" ht="15" customHeight="1" x14ac:dyDescent="0.2">
      <c r="A5" s="125"/>
      <c r="B5" s="125"/>
      <c r="C5" s="125"/>
      <c r="D5" s="125"/>
      <c r="E5" s="125"/>
      <c r="F5" s="125"/>
      <c r="G5" s="125"/>
      <c r="H5" s="125"/>
    </row>
    <row r="6" spans="1:8" ht="15" customHeight="1" x14ac:dyDescent="0.2">
      <c r="A6" s="125"/>
      <c r="B6" s="125"/>
      <c r="C6" s="125"/>
      <c r="D6" s="125"/>
      <c r="E6" s="125"/>
      <c r="F6" s="125"/>
      <c r="G6" s="125"/>
      <c r="H6" s="125"/>
    </row>
    <row r="7" spans="1:8" ht="15" customHeight="1" x14ac:dyDescent="0.2">
      <c r="A7" s="125"/>
      <c r="B7" s="125"/>
      <c r="C7" s="125"/>
      <c r="D7" s="125"/>
      <c r="E7" s="125"/>
      <c r="F7" s="125"/>
      <c r="G7" s="125"/>
      <c r="H7" s="125"/>
    </row>
    <row r="8" spans="1:8" ht="15" customHeight="1" x14ac:dyDescent="0.2">
      <c r="A8" s="125"/>
      <c r="B8" s="125"/>
      <c r="C8" s="125"/>
      <c r="D8" s="125"/>
      <c r="E8" s="125"/>
      <c r="F8" s="125"/>
      <c r="G8" s="125"/>
      <c r="H8" s="125"/>
    </row>
    <row r="9" spans="1:8" ht="15" customHeight="1" x14ac:dyDescent="0.2">
      <c r="A9" s="125"/>
      <c r="B9" s="125"/>
      <c r="C9" s="125"/>
      <c r="D9" s="125"/>
      <c r="E9" s="125"/>
      <c r="F9" s="125"/>
      <c r="G9" s="125"/>
      <c r="H9" s="125"/>
    </row>
    <row r="10" spans="1:8" ht="15" customHeight="1" x14ac:dyDescent="0.2">
      <c r="A10" s="125"/>
      <c r="B10" s="125"/>
      <c r="C10" s="125"/>
      <c r="D10" s="125"/>
      <c r="E10" s="125"/>
      <c r="F10" s="125"/>
      <c r="G10" s="125"/>
      <c r="H10" s="125"/>
    </row>
    <row r="11" spans="1:8" ht="15" customHeight="1" x14ac:dyDescent="0.2">
      <c r="A11" s="125"/>
      <c r="B11" s="125"/>
      <c r="C11" s="125"/>
      <c r="D11" s="125"/>
      <c r="E11" s="125"/>
      <c r="F11" s="125"/>
      <c r="G11" s="125"/>
      <c r="H11" s="125"/>
    </row>
    <row r="12" spans="1:8" ht="15" customHeight="1" x14ac:dyDescent="0.2">
      <c r="A12" s="125"/>
      <c r="B12" s="125"/>
      <c r="C12" s="125"/>
      <c r="D12" s="125"/>
      <c r="E12" s="125"/>
      <c r="F12" s="125"/>
      <c r="G12" s="125"/>
      <c r="H12" s="125"/>
    </row>
    <row r="13" spans="1:8" ht="15" customHeight="1" x14ac:dyDescent="0.2">
      <c r="A13" s="125"/>
      <c r="B13" s="125"/>
      <c r="C13" s="125"/>
      <c r="D13" s="125"/>
      <c r="E13" s="125"/>
      <c r="F13" s="125"/>
      <c r="G13" s="125"/>
      <c r="H13" s="125"/>
    </row>
    <row r="14" spans="1:8" ht="15" customHeight="1" x14ac:dyDescent="0.2">
      <c r="A14" s="125"/>
      <c r="B14" s="125"/>
      <c r="C14" s="125"/>
      <c r="D14" s="125"/>
      <c r="E14" s="125"/>
      <c r="F14" s="125"/>
      <c r="G14" s="125"/>
      <c r="H14" s="125"/>
    </row>
    <row r="15" spans="1:8" ht="15" customHeight="1" x14ac:dyDescent="0.2">
      <c r="A15" s="125"/>
      <c r="B15" s="125"/>
      <c r="C15" s="125"/>
      <c r="D15" s="125"/>
      <c r="E15" s="125"/>
      <c r="F15" s="125"/>
      <c r="G15" s="125"/>
      <c r="H15" s="125"/>
    </row>
    <row r="16" spans="1:8" ht="15" customHeight="1" x14ac:dyDescent="0.2">
      <c r="A16" s="125"/>
      <c r="B16" s="125"/>
      <c r="C16" s="125"/>
      <c r="D16" s="125"/>
      <c r="E16" s="125"/>
      <c r="F16" s="125"/>
      <c r="G16" s="125"/>
      <c r="H16" s="125"/>
    </row>
    <row r="17" spans="1:8" ht="15" customHeight="1" x14ac:dyDescent="0.2">
      <c r="A17" s="125"/>
      <c r="B17" s="125"/>
      <c r="C17" s="125"/>
      <c r="D17" s="125"/>
      <c r="E17" s="125"/>
      <c r="F17" s="125"/>
      <c r="G17" s="125"/>
      <c r="H17" s="125"/>
    </row>
    <row r="18" spans="1:8" ht="15" customHeight="1" x14ac:dyDescent="0.2">
      <c r="A18" s="125"/>
      <c r="B18" s="125"/>
      <c r="C18" s="125"/>
      <c r="D18" s="125"/>
      <c r="E18" s="125"/>
      <c r="F18" s="125"/>
      <c r="G18" s="125"/>
      <c r="H18" s="125"/>
    </row>
    <row r="19" spans="1:8" ht="15" customHeight="1" x14ac:dyDescent="0.2">
      <c r="A19" s="125"/>
      <c r="B19" s="125"/>
      <c r="C19" s="125"/>
      <c r="D19" s="125"/>
      <c r="E19" s="125"/>
      <c r="F19" s="125"/>
      <c r="G19" s="125"/>
      <c r="H19" s="125"/>
    </row>
    <row r="20" spans="1:8" ht="15" customHeight="1" x14ac:dyDescent="0.2">
      <c r="A20" s="125"/>
      <c r="B20" s="125"/>
      <c r="C20" s="125"/>
      <c r="D20" s="125"/>
      <c r="E20" s="125"/>
      <c r="F20" s="125"/>
      <c r="G20" s="125"/>
      <c r="H20" s="125"/>
    </row>
    <row r="21" spans="1:8" ht="15" customHeight="1" x14ac:dyDescent="0.2">
      <c r="A21" s="125"/>
      <c r="B21" s="125"/>
      <c r="C21" s="125"/>
      <c r="D21" s="125"/>
      <c r="E21" s="125"/>
      <c r="F21" s="125"/>
      <c r="G21" s="125"/>
      <c r="H21" s="125"/>
    </row>
    <row r="22" spans="1:8" ht="15" customHeight="1" x14ac:dyDescent="0.2">
      <c r="A22" s="125"/>
      <c r="B22" s="125"/>
      <c r="C22" s="125"/>
      <c r="D22" s="125"/>
      <c r="E22" s="125"/>
      <c r="F22" s="125"/>
      <c r="G22" s="125"/>
      <c r="H22" s="125"/>
    </row>
    <row r="23" spans="1:8" ht="15" customHeight="1" x14ac:dyDescent="0.2">
      <c r="A23" s="125"/>
      <c r="B23" s="125"/>
      <c r="C23" s="125"/>
      <c r="D23" s="125"/>
      <c r="E23" s="125"/>
      <c r="F23" s="125"/>
      <c r="G23" s="125"/>
      <c r="H23" s="125"/>
    </row>
    <row r="24" spans="1:8" ht="15" customHeight="1" x14ac:dyDescent="0.2">
      <c r="A24" s="125"/>
      <c r="B24" s="125"/>
      <c r="C24" s="125"/>
      <c r="D24" s="125"/>
      <c r="E24" s="125"/>
      <c r="F24" s="125"/>
      <c r="G24" s="125"/>
      <c r="H24" s="125"/>
    </row>
    <row r="25" spans="1:8" ht="15" customHeight="1" x14ac:dyDescent="0.2">
      <c r="A25" s="125"/>
      <c r="B25" s="125"/>
      <c r="C25" s="125"/>
      <c r="D25" s="125"/>
      <c r="E25" s="125"/>
      <c r="F25" s="125"/>
      <c r="G25" s="125"/>
      <c r="H25" s="125"/>
    </row>
    <row r="26" spans="1:8" ht="15" customHeight="1" x14ac:dyDescent="0.2">
      <c r="A26" s="125"/>
      <c r="B26" s="125"/>
      <c r="C26" s="125"/>
      <c r="D26" s="125"/>
      <c r="E26" s="125"/>
      <c r="F26" s="125"/>
      <c r="G26" s="125"/>
      <c r="H26" s="125"/>
    </row>
    <row r="27" spans="1:8" ht="15" customHeight="1" x14ac:dyDescent="0.2">
      <c r="A27" s="125"/>
      <c r="B27" s="125"/>
      <c r="C27" s="125"/>
      <c r="D27" s="125"/>
      <c r="E27" s="125"/>
      <c r="F27" s="125"/>
      <c r="G27" s="125"/>
      <c r="H27" s="125"/>
    </row>
    <row r="28" spans="1:8" ht="15" customHeight="1" x14ac:dyDescent="0.2">
      <c r="A28" s="125"/>
      <c r="B28" s="125"/>
      <c r="C28" s="125"/>
      <c r="D28" s="125"/>
      <c r="E28" s="125"/>
      <c r="F28" s="125"/>
      <c r="G28" s="125"/>
      <c r="H28" s="125"/>
    </row>
    <row r="29" spans="1:8" ht="15" customHeight="1" x14ac:dyDescent="0.2">
      <c r="A29" s="125"/>
      <c r="B29" s="125"/>
      <c r="C29" s="125"/>
      <c r="D29" s="125"/>
      <c r="E29" s="125"/>
      <c r="F29" s="125"/>
      <c r="G29" s="125"/>
      <c r="H29" s="125"/>
    </row>
    <row r="30" spans="1:8" ht="15" customHeight="1" x14ac:dyDescent="0.2">
      <c r="A30" s="125"/>
      <c r="B30" s="125"/>
      <c r="C30" s="125"/>
      <c r="D30" s="125"/>
      <c r="E30" s="125"/>
      <c r="F30" s="125"/>
      <c r="G30" s="125"/>
      <c r="H30" s="125"/>
    </row>
    <row r="31" spans="1:8" s="490" customFormat="1" x14ac:dyDescent="0.2"/>
    <row r="32" spans="1:8" s="490" customFormat="1" x14ac:dyDescent="0.2"/>
    <row r="33" s="490" customFormat="1" x14ac:dyDescent="0.2"/>
    <row r="34" s="490" customFormat="1" x14ac:dyDescent="0.2"/>
    <row r="35" s="490" customFormat="1" x14ac:dyDescent="0.2"/>
    <row r="36" s="490" customFormat="1" x14ac:dyDescent="0.2"/>
    <row r="37" s="490" customFormat="1" x14ac:dyDescent="0.2"/>
    <row r="38" s="490" customFormat="1" x14ac:dyDescent="0.2"/>
    <row r="39" s="490" customFormat="1" x14ac:dyDescent="0.2"/>
    <row r="40" s="490" customFormat="1" x14ac:dyDescent="0.2"/>
    <row r="41" s="490" customFormat="1" x14ac:dyDescent="0.2"/>
    <row r="42" s="490" customFormat="1" x14ac:dyDescent="0.2"/>
    <row r="43" s="490" customFormat="1" x14ac:dyDescent="0.2"/>
    <row r="44" s="490" customFormat="1" x14ac:dyDescent="0.2"/>
    <row r="45" s="490" customFormat="1" x14ac:dyDescent="0.2"/>
    <row r="46" s="490" customFormat="1" x14ac:dyDescent="0.2"/>
    <row r="47" s="490" customFormat="1" x14ac:dyDescent="0.2"/>
    <row r="48" s="490" customFormat="1" x14ac:dyDescent="0.2"/>
    <row r="49" s="490" customFormat="1" x14ac:dyDescent="0.2"/>
    <row r="50" s="490" customFormat="1" x14ac:dyDescent="0.2"/>
    <row r="51" s="490" customFormat="1" x14ac:dyDescent="0.2"/>
    <row r="52" s="490" customFormat="1" x14ac:dyDescent="0.2"/>
    <row r="53" s="490" customFormat="1" x14ac:dyDescent="0.2"/>
    <row r="54" s="490" customFormat="1" x14ac:dyDescent="0.2"/>
    <row r="55" s="490" customFormat="1" x14ac:dyDescent="0.2"/>
    <row r="56" s="490" customFormat="1" x14ac:dyDescent="0.2"/>
    <row r="57" s="490" customFormat="1" x14ac:dyDescent="0.2"/>
    <row r="58" s="490" customFormat="1" x14ac:dyDescent="0.2"/>
    <row r="59" s="490" customFormat="1" x14ac:dyDescent="0.2"/>
    <row r="60" s="490" customFormat="1" x14ac:dyDescent="0.2"/>
    <row r="61" s="490" customFormat="1" x14ac:dyDescent="0.2"/>
    <row r="62" s="490" customFormat="1" x14ac:dyDescent="0.2"/>
    <row r="63" s="490" customFormat="1" x14ac:dyDescent="0.2"/>
    <row r="64" s="490" customFormat="1" x14ac:dyDescent="0.2"/>
    <row r="65" s="490" customFormat="1" x14ac:dyDescent="0.2"/>
    <row r="66" s="490" customFormat="1" x14ac:dyDescent="0.2"/>
    <row r="67" s="490" customFormat="1" x14ac:dyDescent="0.2"/>
    <row r="68" s="490" customFormat="1" x14ac:dyDescent="0.2"/>
    <row r="69" s="490" customFormat="1" x14ac:dyDescent="0.2"/>
    <row r="70" s="490" customFormat="1" x14ac:dyDescent="0.2"/>
    <row r="71" s="490" customFormat="1" x14ac:dyDescent="0.2"/>
    <row r="72" s="490" customFormat="1" x14ac:dyDescent="0.2"/>
    <row r="73" s="490" customFormat="1" x14ac:dyDescent="0.2"/>
    <row r="74" s="490" customFormat="1" x14ac:dyDescent="0.2"/>
    <row r="75" s="490" customFormat="1" x14ac:dyDescent="0.2"/>
    <row r="76" s="490" customFormat="1" x14ac:dyDescent="0.2"/>
    <row r="77" s="490" customFormat="1" x14ac:dyDescent="0.2"/>
    <row r="78" s="490" customFormat="1" x14ac:dyDescent="0.2"/>
    <row r="79" s="490" customFormat="1" x14ac:dyDescent="0.2"/>
    <row r="80" s="490" customFormat="1" x14ac:dyDescent="0.2"/>
    <row r="81" s="490" customFormat="1" x14ac:dyDescent="0.2"/>
    <row r="82" s="490" customFormat="1" x14ac:dyDescent="0.2"/>
    <row r="83" s="490" customFormat="1" x14ac:dyDescent="0.2"/>
    <row r="84" s="490" customFormat="1" x14ac:dyDescent="0.2"/>
    <row r="85" s="490" customFormat="1" x14ac:dyDescent="0.2"/>
    <row r="86" s="490" customFormat="1" x14ac:dyDescent="0.2"/>
    <row r="87" s="490" customFormat="1" x14ac:dyDescent="0.2"/>
    <row r="88" s="490" customFormat="1" x14ac:dyDescent="0.2"/>
    <row r="89" s="490" customFormat="1" x14ac:dyDescent="0.2"/>
    <row r="90" s="490" customFormat="1" x14ac:dyDescent="0.2"/>
    <row r="91" s="490" customFormat="1" x14ac:dyDescent="0.2"/>
    <row r="92" s="490" customFormat="1" x14ac:dyDescent="0.2"/>
    <row r="93" s="490" customFormat="1" x14ac:dyDescent="0.2"/>
    <row r="94" s="490" customFormat="1" x14ac:dyDescent="0.2"/>
    <row r="95" s="490" customFormat="1" x14ac:dyDescent="0.2"/>
    <row r="96" s="490" customFormat="1" x14ac:dyDescent="0.2"/>
    <row r="97" s="490" customFormat="1" x14ac:dyDescent="0.2"/>
    <row r="98" s="490" customFormat="1" x14ac:dyDescent="0.2"/>
    <row r="99" s="490" customFormat="1" x14ac:dyDescent="0.2"/>
    <row r="100" s="490" customFormat="1" x14ac:dyDescent="0.2"/>
    <row r="101" s="490" customFormat="1" x14ac:dyDescent="0.2"/>
    <row r="102" s="490" customFormat="1" x14ac:dyDescent="0.2"/>
    <row r="103" s="490" customFormat="1" x14ac:dyDescent="0.2"/>
    <row r="104" s="490" customFormat="1" x14ac:dyDescent="0.2"/>
    <row r="105" s="490" customFormat="1" x14ac:dyDescent="0.2"/>
    <row r="106" s="490" customFormat="1" x14ac:dyDescent="0.2"/>
    <row r="107" s="490" customFormat="1" x14ac:dyDescent="0.2"/>
    <row r="108" s="490" customFormat="1" x14ac:dyDescent="0.2"/>
    <row r="109" s="490" customFormat="1" x14ac:dyDescent="0.2"/>
    <row r="110" s="490" customFormat="1" x14ac:dyDescent="0.2"/>
    <row r="111" s="490" customFormat="1" x14ac:dyDescent="0.2"/>
    <row r="112" s="490" customFormat="1" x14ac:dyDescent="0.2"/>
    <row r="113" s="490" customFormat="1" x14ac:dyDescent="0.2"/>
    <row r="114" s="490" customFormat="1" x14ac:dyDescent="0.2"/>
    <row r="115" s="490" customFormat="1" x14ac:dyDescent="0.2"/>
    <row r="116" s="490" customFormat="1" x14ac:dyDescent="0.2"/>
    <row r="117" s="490" customFormat="1" x14ac:dyDescent="0.2"/>
    <row r="118" s="490" customFormat="1" x14ac:dyDescent="0.2"/>
    <row r="119" s="490" customFormat="1" x14ac:dyDescent="0.2"/>
    <row r="120" s="490" customFormat="1" x14ac:dyDescent="0.2"/>
    <row r="121" s="490" customFormat="1" x14ac:dyDescent="0.2"/>
    <row r="122" s="490" customFormat="1" x14ac:dyDescent="0.2"/>
    <row r="123" s="490" customFormat="1" x14ac:dyDescent="0.2"/>
    <row r="124" s="490" customFormat="1" x14ac:dyDescent="0.2"/>
    <row r="125" s="490" customFormat="1" x14ac:dyDescent="0.2"/>
    <row r="126" s="490" customFormat="1" x14ac:dyDescent="0.2"/>
    <row r="127" s="490" customFormat="1" x14ac:dyDescent="0.2"/>
    <row r="128" s="490" customFormat="1" x14ac:dyDescent="0.2"/>
    <row r="129" s="490" customFormat="1" x14ac:dyDescent="0.2"/>
    <row r="130" s="490" customFormat="1" x14ac:dyDescent="0.2"/>
    <row r="131" s="490" customFormat="1" x14ac:dyDescent="0.2"/>
    <row r="132" s="490" customFormat="1" x14ac:dyDescent="0.2"/>
    <row r="133" s="490" customFormat="1" x14ac:dyDescent="0.2"/>
    <row r="134" s="490" customFormat="1" x14ac:dyDescent="0.2"/>
    <row r="135" s="490" customFormat="1" x14ac:dyDescent="0.2"/>
    <row r="136" s="490" customFormat="1" x14ac:dyDescent="0.2"/>
    <row r="137" s="490" customFormat="1" x14ac:dyDescent="0.2"/>
    <row r="138" s="490" customFormat="1" x14ac:dyDescent="0.2"/>
    <row r="139" s="490" customFormat="1" x14ac:dyDescent="0.2"/>
    <row r="140" s="490" customFormat="1" x14ac:dyDescent="0.2"/>
    <row r="141" s="490" customFormat="1" x14ac:dyDescent="0.2"/>
    <row r="142" s="490" customFormat="1" x14ac:dyDescent="0.2"/>
    <row r="143" s="490" customFormat="1" x14ac:dyDescent="0.2"/>
    <row r="144" s="490" customFormat="1" x14ac:dyDescent="0.2"/>
    <row r="145" s="490" customFormat="1" x14ac:dyDescent="0.2"/>
    <row r="146" s="490" customFormat="1" x14ac:dyDescent="0.2"/>
    <row r="147" s="490" customFormat="1" x14ac:dyDescent="0.2"/>
    <row r="148" s="490" customFormat="1" x14ac:dyDescent="0.2"/>
    <row r="149" s="490" customFormat="1" x14ac:dyDescent="0.2"/>
    <row r="150" s="490" customFormat="1" x14ac:dyDescent="0.2"/>
    <row r="151" s="490" customFormat="1" x14ac:dyDescent="0.2"/>
    <row r="152" s="490" customFormat="1" x14ac:dyDescent="0.2"/>
    <row r="153" s="490" customFormat="1" x14ac:dyDescent="0.2"/>
    <row r="154" s="490" customFormat="1" x14ac:dyDescent="0.2"/>
    <row r="155" s="490" customFormat="1" x14ac:dyDescent="0.2"/>
    <row r="156" s="490" customFormat="1" x14ac:dyDescent="0.2"/>
    <row r="157" s="490" customFormat="1" x14ac:dyDescent="0.2"/>
    <row r="158" s="490" customFormat="1" x14ac:dyDescent="0.2"/>
    <row r="159" s="490" customFormat="1" x14ac:dyDescent="0.2"/>
    <row r="160" s="490" customFormat="1" x14ac:dyDescent="0.2"/>
    <row r="161" s="490" customFormat="1" x14ac:dyDescent="0.2"/>
    <row r="162" s="490" customFormat="1" x14ac:dyDescent="0.2"/>
    <row r="163" s="490" customFormat="1" x14ac:dyDescent="0.2"/>
    <row r="164" s="490" customFormat="1" x14ac:dyDescent="0.2"/>
    <row r="165" s="490" customFormat="1" x14ac:dyDescent="0.2"/>
    <row r="166" s="490" customFormat="1" x14ac:dyDescent="0.2"/>
    <row r="167" s="490" customFormat="1" x14ac:dyDescent="0.2"/>
    <row r="168" s="490" customFormat="1" x14ac:dyDescent="0.2"/>
    <row r="169" s="490" customFormat="1" x14ac:dyDescent="0.2"/>
    <row r="170" s="490" customFormat="1" x14ac:dyDescent="0.2"/>
    <row r="171" s="490" customFormat="1" x14ac:dyDescent="0.2"/>
    <row r="172" s="490" customFormat="1" x14ac:dyDescent="0.2"/>
    <row r="173" s="490" customFormat="1" x14ac:dyDescent="0.2"/>
    <row r="174" s="490" customFormat="1" x14ac:dyDescent="0.2"/>
    <row r="175" s="490" customFormat="1" x14ac:dyDescent="0.2"/>
    <row r="176" s="490" customFormat="1" x14ac:dyDescent="0.2"/>
    <row r="177" s="490" customFormat="1" x14ac:dyDescent="0.2"/>
    <row r="178" s="490" customFormat="1" x14ac:dyDescent="0.2"/>
    <row r="179" s="490" customFormat="1" x14ac:dyDescent="0.2"/>
    <row r="180" s="490" customFormat="1" x14ac:dyDescent="0.2"/>
    <row r="181" s="490" customFormat="1" x14ac:dyDescent="0.2"/>
    <row r="182" s="490" customFormat="1" x14ac:dyDescent="0.2"/>
    <row r="183" s="490" customFormat="1" x14ac:dyDescent="0.2"/>
    <row r="184" s="490" customFormat="1" x14ac:dyDescent="0.2"/>
    <row r="185" s="490" customFormat="1" x14ac:dyDescent="0.2"/>
    <row r="186" s="490" customFormat="1" x14ac:dyDescent="0.2"/>
    <row r="187" s="490" customFormat="1" x14ac:dyDescent="0.2"/>
    <row r="188" s="490" customFormat="1" x14ac:dyDescent="0.2"/>
    <row r="189" s="490" customFormat="1" x14ac:dyDescent="0.2"/>
    <row r="190" s="490" customFormat="1" x14ac:dyDescent="0.2"/>
    <row r="191" s="490" customFormat="1" x14ac:dyDescent="0.2"/>
    <row r="192" s="490" customFormat="1" x14ac:dyDescent="0.2"/>
    <row r="193" s="490" customFormat="1" x14ac:dyDescent="0.2"/>
    <row r="194" s="490" customFormat="1" x14ac:dyDescent="0.2"/>
    <row r="195" s="490" customFormat="1" x14ac:dyDescent="0.2"/>
    <row r="196" s="490" customFormat="1" x14ac:dyDescent="0.2"/>
    <row r="197" s="490" customFormat="1" x14ac:dyDescent="0.2"/>
    <row r="198" s="490" customFormat="1" x14ac:dyDescent="0.2"/>
    <row r="199" s="490" customFormat="1" x14ac:dyDescent="0.2"/>
    <row r="200" s="490" customFormat="1" x14ac:dyDescent="0.2"/>
    <row r="201" s="490" customFormat="1" x14ac:dyDescent="0.2"/>
    <row r="202" s="490" customFormat="1" x14ac:dyDescent="0.2"/>
    <row r="203" s="490" customFormat="1" x14ac:dyDescent="0.2"/>
    <row r="204" s="490" customFormat="1" x14ac:dyDescent="0.2"/>
    <row r="205" s="490" customFormat="1" x14ac:dyDescent="0.2"/>
    <row r="206" s="490" customFormat="1" x14ac:dyDescent="0.2"/>
    <row r="207" s="490" customFormat="1" x14ac:dyDescent="0.2"/>
    <row r="208" s="490" customFormat="1" x14ac:dyDescent="0.2"/>
    <row r="209" s="490" customFormat="1" x14ac:dyDescent="0.2"/>
    <row r="210" s="490" customFormat="1" x14ac:dyDescent="0.2"/>
    <row r="211" s="490" customFormat="1" x14ac:dyDescent="0.2"/>
    <row r="212" s="490" customFormat="1" x14ac:dyDescent="0.2"/>
    <row r="213" s="490" customFormat="1" x14ac:dyDescent="0.2"/>
    <row r="214" s="490" customFormat="1" x14ac:dyDescent="0.2"/>
    <row r="215" s="490" customFormat="1" x14ac:dyDescent="0.2"/>
    <row r="216" s="490" customFormat="1" x14ac:dyDescent="0.2"/>
    <row r="217" s="490" customFormat="1" x14ac:dyDescent="0.2"/>
    <row r="218" s="490" customFormat="1" x14ac:dyDescent="0.2"/>
    <row r="219" s="490" customFormat="1" x14ac:dyDescent="0.2"/>
    <row r="220" s="490" customFormat="1" x14ac:dyDescent="0.2"/>
    <row r="221" s="490" customFormat="1" x14ac:dyDescent="0.2"/>
    <row r="222" s="490" customFormat="1" x14ac:dyDescent="0.2"/>
    <row r="223" s="490" customFormat="1" x14ac:dyDescent="0.2"/>
    <row r="224" s="490" customFormat="1" x14ac:dyDescent="0.2"/>
    <row r="225" s="490" customFormat="1" x14ac:dyDescent="0.2"/>
    <row r="226" s="490" customFormat="1" x14ac:dyDescent="0.2"/>
    <row r="227" s="490" customFormat="1" x14ac:dyDescent="0.2"/>
    <row r="228" s="490" customFormat="1" x14ac:dyDescent="0.2"/>
    <row r="229" s="490" customFormat="1" x14ac:dyDescent="0.2"/>
    <row r="230" s="490" customFormat="1" x14ac:dyDescent="0.2"/>
    <row r="231" s="490" customFormat="1" x14ac:dyDescent="0.2"/>
    <row r="232" s="490" customFormat="1" x14ac:dyDescent="0.2"/>
    <row r="233" s="490" customFormat="1" x14ac:dyDescent="0.2"/>
    <row r="234" s="490" customFormat="1" x14ac:dyDescent="0.2"/>
    <row r="235" s="490" customFormat="1" x14ac:dyDescent="0.2"/>
    <row r="236" s="490" customFormat="1" x14ac:dyDescent="0.2"/>
    <row r="237" s="490" customFormat="1" x14ac:dyDescent="0.2"/>
    <row r="238" s="490" customFormat="1" x14ac:dyDescent="0.2"/>
    <row r="239" s="490" customFormat="1" x14ac:dyDescent="0.2"/>
    <row r="240" s="490" customFormat="1" x14ac:dyDescent="0.2"/>
    <row r="241" s="490" customFormat="1" x14ac:dyDescent="0.2"/>
    <row r="242" s="490" customFormat="1" x14ac:dyDescent="0.2"/>
    <row r="243" s="490" customFormat="1" x14ac:dyDescent="0.2"/>
    <row r="244" s="490" customFormat="1" x14ac:dyDescent="0.2"/>
    <row r="245" s="490" customFormat="1" x14ac:dyDescent="0.2"/>
    <row r="246" s="490" customFormat="1" x14ac:dyDescent="0.2"/>
    <row r="247" s="490" customFormat="1" x14ac:dyDescent="0.2"/>
    <row r="248" s="490" customFormat="1" x14ac:dyDescent="0.2"/>
    <row r="249" s="490" customFormat="1" x14ac:dyDescent="0.2"/>
    <row r="250" s="490" customFormat="1" x14ac:dyDescent="0.2"/>
    <row r="251" s="490" customFormat="1" x14ac:dyDescent="0.2"/>
    <row r="252" s="490" customFormat="1" x14ac:dyDescent="0.2"/>
    <row r="253" s="490" customFormat="1" x14ac:dyDescent="0.2"/>
    <row r="254" s="490" customFormat="1" x14ac:dyDescent="0.2"/>
    <row r="255" s="490" customFormat="1" x14ac:dyDescent="0.2"/>
    <row r="256" s="490" customFormat="1" x14ac:dyDescent="0.2"/>
    <row r="257" s="490" customFormat="1" x14ac:dyDescent="0.2"/>
    <row r="258" s="490" customFormat="1" x14ac:dyDescent="0.2"/>
    <row r="259" s="490" customFormat="1" x14ac:dyDescent="0.2"/>
    <row r="260" s="490" customFormat="1" x14ac:dyDescent="0.2"/>
    <row r="261" s="490" customFormat="1" x14ac:dyDescent="0.2"/>
    <row r="262" s="490" customFormat="1" x14ac:dyDescent="0.2"/>
    <row r="263" s="490" customFormat="1" x14ac:dyDescent="0.2"/>
    <row r="264" s="490" customFormat="1" x14ac:dyDescent="0.2"/>
    <row r="265" s="490" customFormat="1" x14ac:dyDescent="0.2"/>
    <row r="266" s="490" customFormat="1" x14ac:dyDescent="0.2"/>
    <row r="267" s="490" customFormat="1" x14ac:dyDescent="0.2"/>
    <row r="268" s="490" customFormat="1" x14ac:dyDescent="0.2"/>
    <row r="269" s="490" customFormat="1" x14ac:dyDescent="0.2"/>
    <row r="270" s="490" customFormat="1" x14ac:dyDescent="0.2"/>
    <row r="271" s="490" customFormat="1" x14ac:dyDescent="0.2"/>
    <row r="272" s="490" customFormat="1" x14ac:dyDescent="0.2"/>
    <row r="273" s="490" customFormat="1" x14ac:dyDescent="0.2"/>
    <row r="274" s="490" customFormat="1" x14ac:dyDescent="0.2"/>
    <row r="275" s="490" customFormat="1" x14ac:dyDescent="0.2"/>
    <row r="276" s="490" customFormat="1" x14ac:dyDescent="0.2"/>
    <row r="277" s="490" customFormat="1" x14ac:dyDescent="0.2"/>
    <row r="278" s="490" customFormat="1" x14ac:dyDescent="0.2"/>
    <row r="279" s="490" customFormat="1" x14ac:dyDescent="0.2"/>
    <row r="280" s="490" customFormat="1" x14ac:dyDescent="0.2"/>
    <row r="281" s="490" customFormat="1" x14ac:dyDescent="0.2"/>
    <row r="282" s="490" customFormat="1" x14ac:dyDescent="0.2"/>
    <row r="283" s="490" customFormat="1" x14ac:dyDescent="0.2"/>
    <row r="284" s="490" customFormat="1" x14ac:dyDescent="0.2"/>
    <row r="285" s="490" customFormat="1" x14ac:dyDescent="0.2"/>
    <row r="286" s="490" customFormat="1" x14ac:dyDescent="0.2"/>
    <row r="287" s="490" customFormat="1" x14ac:dyDescent="0.2"/>
    <row r="288" s="490" customFormat="1" x14ac:dyDescent="0.2"/>
    <row r="289" s="490" customFormat="1" x14ac:dyDescent="0.2"/>
    <row r="290" s="490" customFormat="1" x14ac:dyDescent="0.2"/>
    <row r="291" s="490" customFormat="1" x14ac:dyDescent="0.2"/>
    <row r="292" s="490" customFormat="1" x14ac:dyDescent="0.2"/>
    <row r="293" s="490" customFormat="1" x14ac:dyDescent="0.2"/>
    <row r="294" s="490" customFormat="1" x14ac:dyDescent="0.2"/>
    <row r="295" s="490" customFormat="1" x14ac:dyDescent="0.2"/>
    <row r="296" s="490" customFormat="1" x14ac:dyDescent="0.2"/>
    <row r="297" s="490" customFormat="1" x14ac:dyDescent="0.2"/>
    <row r="298" s="490" customFormat="1" x14ac:dyDescent="0.2"/>
    <row r="299" s="490" customFormat="1" x14ac:dyDescent="0.2"/>
    <row r="300" s="490" customFormat="1" x14ac:dyDescent="0.2"/>
    <row r="301" s="490" customFormat="1" x14ac:dyDescent="0.2"/>
    <row r="302" s="490" customFormat="1" x14ac:dyDescent="0.2"/>
    <row r="303" s="490" customFormat="1" x14ac:dyDescent="0.2"/>
    <row r="304" s="490" customFormat="1" x14ac:dyDescent="0.2"/>
    <row r="305" s="490" customFormat="1" x14ac:dyDescent="0.2"/>
    <row r="306" s="490" customFormat="1" x14ac:dyDescent="0.2"/>
    <row r="307" s="490" customFormat="1" x14ac:dyDescent="0.2"/>
    <row r="308" s="490" customFormat="1" x14ac:dyDescent="0.2"/>
    <row r="309" s="490" customFormat="1" x14ac:dyDescent="0.2"/>
    <row r="310" s="490" customFormat="1" x14ac:dyDescent="0.2"/>
    <row r="311" s="490" customFormat="1" x14ac:dyDescent="0.2"/>
    <row r="312" s="490" customFormat="1" x14ac:dyDescent="0.2"/>
    <row r="313" s="490" customFormat="1" x14ac:dyDescent="0.2"/>
    <row r="314" s="490" customFormat="1" x14ac:dyDescent="0.2"/>
    <row r="315" s="490" customFormat="1" x14ac:dyDescent="0.2"/>
    <row r="316" s="490" customFormat="1" x14ac:dyDescent="0.2"/>
    <row r="317" s="490" customFormat="1" x14ac:dyDescent="0.2"/>
    <row r="318" s="490" customFormat="1" x14ac:dyDescent="0.2"/>
    <row r="319" s="490" customFormat="1" x14ac:dyDescent="0.2"/>
    <row r="320" s="490" customFormat="1" x14ac:dyDescent="0.2"/>
    <row r="321" s="490" customFormat="1" x14ac:dyDescent="0.2"/>
    <row r="322" s="490" customFormat="1" x14ac:dyDescent="0.2"/>
    <row r="323" s="490" customFormat="1" x14ac:dyDescent="0.2"/>
    <row r="324" s="490" customFormat="1" x14ac:dyDescent="0.2"/>
    <row r="325" s="490" customFormat="1" x14ac:dyDescent="0.2"/>
    <row r="326" s="490" customFormat="1" x14ac:dyDescent="0.2"/>
    <row r="327" s="490" customFormat="1" x14ac:dyDescent="0.2"/>
    <row r="328" s="490" customFormat="1" x14ac:dyDescent="0.2"/>
    <row r="329" s="490" customFormat="1" x14ac:dyDescent="0.2"/>
    <row r="330" s="490" customFormat="1" x14ac:dyDescent="0.2"/>
    <row r="331" s="490" customFormat="1" x14ac:dyDescent="0.2"/>
    <row r="332" s="490" customFormat="1" x14ac:dyDescent="0.2"/>
    <row r="333" s="490" customFormat="1" x14ac:dyDescent="0.2"/>
    <row r="334" s="490" customFormat="1" x14ac:dyDescent="0.2"/>
    <row r="335" s="490" customFormat="1" x14ac:dyDescent="0.2"/>
    <row r="336" s="490" customFormat="1" x14ac:dyDescent="0.2"/>
    <row r="337" s="490" customFormat="1" x14ac:dyDescent="0.2"/>
    <row r="338" s="490" customFormat="1" x14ac:dyDescent="0.2"/>
    <row r="339" s="490" customFormat="1" x14ac:dyDescent="0.2"/>
    <row r="340" s="490" customFormat="1" x14ac:dyDescent="0.2"/>
    <row r="341" s="490" customFormat="1" x14ac:dyDescent="0.2"/>
    <row r="342" s="490" customFormat="1" x14ac:dyDescent="0.2"/>
    <row r="343" s="490" customFormat="1" x14ac:dyDescent="0.2"/>
    <row r="344" s="490" customFormat="1" x14ac:dyDescent="0.2"/>
    <row r="345" s="490" customFormat="1" x14ac:dyDescent="0.2"/>
    <row r="346" s="490" customFormat="1" x14ac:dyDescent="0.2"/>
    <row r="347" s="490" customFormat="1" x14ac:dyDescent="0.2"/>
    <row r="348" s="490" customFormat="1" x14ac:dyDescent="0.2"/>
    <row r="349" s="490" customFormat="1" x14ac:dyDescent="0.2"/>
    <row r="350" s="490" customFormat="1" x14ac:dyDescent="0.2"/>
    <row r="351" s="490" customFormat="1" x14ac:dyDescent="0.2"/>
    <row r="352" s="490" customFormat="1" x14ac:dyDescent="0.2"/>
    <row r="353" s="490" customFormat="1" x14ac:dyDescent="0.2"/>
    <row r="354" s="490" customFormat="1" x14ac:dyDescent="0.2"/>
    <row r="355" s="490" customFormat="1" x14ac:dyDescent="0.2"/>
    <row r="356" s="490" customFormat="1" x14ac:dyDescent="0.2"/>
    <row r="357" s="490" customFormat="1" x14ac:dyDescent="0.2"/>
    <row r="358" s="490" customFormat="1" x14ac:dyDescent="0.2"/>
    <row r="359" s="490" customFormat="1" x14ac:dyDescent="0.2"/>
    <row r="360" s="490" customFormat="1" x14ac:dyDescent="0.2"/>
    <row r="361" s="490" customFormat="1" x14ac:dyDescent="0.2"/>
    <row r="362" s="490" customFormat="1" x14ac:dyDescent="0.2"/>
    <row r="363" s="490" customFormat="1" x14ac:dyDescent="0.2"/>
    <row r="364" s="490" customFormat="1" x14ac:dyDescent="0.2"/>
    <row r="365" s="490" customFormat="1" x14ac:dyDescent="0.2"/>
    <row r="366" s="490" customFormat="1" x14ac:dyDescent="0.2"/>
    <row r="367" s="490" customFormat="1" x14ac:dyDescent="0.2"/>
    <row r="368" s="490" customFormat="1" x14ac:dyDescent="0.2"/>
    <row r="369" s="490" customFormat="1" x14ac:dyDescent="0.2"/>
    <row r="370" s="490" customFormat="1" x14ac:dyDescent="0.2"/>
    <row r="371" s="490" customFormat="1" x14ac:dyDescent="0.2"/>
    <row r="372" s="490" customFormat="1" x14ac:dyDescent="0.2"/>
    <row r="373" s="490" customFormat="1" x14ac:dyDescent="0.2"/>
    <row r="374" s="490" customFormat="1" x14ac:dyDescent="0.2"/>
    <row r="375" s="490" customFormat="1" x14ac:dyDescent="0.2"/>
    <row r="376" s="490" customFormat="1" x14ac:dyDescent="0.2"/>
    <row r="377" s="490" customFormat="1" x14ac:dyDescent="0.2"/>
    <row r="378" s="490" customFormat="1" x14ac:dyDescent="0.2"/>
    <row r="379" s="490" customFormat="1" x14ac:dyDescent="0.2"/>
    <row r="380" s="490" customFormat="1" x14ac:dyDescent="0.2"/>
    <row r="381" s="490" customFormat="1" x14ac:dyDescent="0.2"/>
    <row r="382" s="490" customFormat="1" x14ac:dyDescent="0.2"/>
    <row r="383" s="490" customFormat="1" x14ac:dyDescent="0.2"/>
    <row r="384" s="490" customFormat="1" x14ac:dyDescent="0.2"/>
    <row r="385" s="490" customFormat="1" x14ac:dyDescent="0.2"/>
    <row r="386" s="490" customFormat="1" x14ac:dyDescent="0.2"/>
    <row r="387" s="490" customFormat="1" x14ac:dyDescent="0.2"/>
    <row r="388" s="490" customFormat="1" x14ac:dyDescent="0.2"/>
    <row r="389" s="490" customFormat="1" x14ac:dyDescent="0.2"/>
    <row r="390" s="490" customFormat="1" x14ac:dyDescent="0.2"/>
    <row r="391" s="490" customFormat="1" x14ac:dyDescent="0.2"/>
    <row r="392" s="490" customFormat="1" x14ac:dyDescent="0.2"/>
    <row r="393" s="490" customFormat="1" x14ac:dyDescent="0.2"/>
    <row r="394" s="490" customFormat="1" x14ac:dyDescent="0.2"/>
    <row r="395" s="490" customFormat="1" x14ac:dyDescent="0.2"/>
    <row r="396" s="490" customFormat="1" x14ac:dyDescent="0.2"/>
    <row r="397" s="490" customFormat="1" x14ac:dyDescent="0.2"/>
    <row r="398" s="490" customFormat="1" x14ac:dyDescent="0.2"/>
    <row r="399" s="490" customFormat="1" x14ac:dyDescent="0.2"/>
    <row r="400" s="490" customFormat="1" x14ac:dyDescent="0.2"/>
    <row r="401" s="490" customFormat="1" x14ac:dyDescent="0.2"/>
    <row r="402" s="490" customFormat="1" x14ac:dyDescent="0.2"/>
    <row r="403" s="490" customFormat="1" x14ac:dyDescent="0.2"/>
    <row r="404" s="490" customFormat="1" x14ac:dyDescent="0.2"/>
    <row r="405" s="490" customFormat="1" x14ac:dyDescent="0.2"/>
    <row r="406" s="490" customFormat="1" x14ac:dyDescent="0.2"/>
    <row r="407" s="490" customFormat="1" x14ac:dyDescent="0.2"/>
    <row r="408" s="490" customFormat="1" x14ac:dyDescent="0.2"/>
    <row r="409" s="490" customFormat="1" x14ac:dyDescent="0.2"/>
    <row r="410" s="490" customFormat="1" x14ac:dyDescent="0.2"/>
    <row r="411" s="490" customFormat="1" x14ac:dyDescent="0.2"/>
    <row r="412" s="490" customFormat="1" x14ac:dyDescent="0.2"/>
    <row r="413" s="490" customFormat="1" x14ac:dyDescent="0.2"/>
    <row r="414" s="490" customFormat="1" x14ac:dyDescent="0.2"/>
    <row r="415" s="490" customFormat="1" x14ac:dyDescent="0.2"/>
    <row r="416" s="490" customFormat="1" x14ac:dyDescent="0.2"/>
    <row r="417" s="490" customFormat="1" x14ac:dyDescent="0.2"/>
    <row r="418" s="490" customFormat="1" x14ac:dyDescent="0.2"/>
    <row r="419" s="490" customFormat="1" x14ac:dyDescent="0.2"/>
    <row r="420" s="490" customFormat="1" x14ac:dyDescent="0.2"/>
    <row r="421" s="490" customFormat="1" x14ac:dyDescent="0.2"/>
    <row r="422" s="490" customFormat="1" x14ac:dyDescent="0.2"/>
    <row r="423" s="490" customFormat="1" x14ac:dyDescent="0.2"/>
    <row r="424" s="490" customFormat="1" x14ac:dyDescent="0.2"/>
    <row r="425" s="490" customFormat="1" x14ac:dyDescent="0.2"/>
    <row r="426" s="490" customFormat="1" x14ac:dyDescent="0.2"/>
    <row r="427" s="490" customFormat="1" x14ac:dyDescent="0.2"/>
    <row r="428" s="490" customFormat="1" x14ac:dyDescent="0.2"/>
    <row r="429" s="490" customFormat="1" x14ac:dyDescent="0.2"/>
    <row r="430" s="490" customFormat="1" x14ac:dyDescent="0.2"/>
    <row r="431" s="490" customFormat="1" x14ac:dyDescent="0.2"/>
    <row r="432" s="490" customFormat="1" x14ac:dyDescent="0.2"/>
    <row r="433" s="490" customFormat="1" x14ac:dyDescent="0.2"/>
    <row r="434" s="490" customFormat="1" x14ac:dyDescent="0.2"/>
    <row r="435" s="490" customFormat="1" x14ac:dyDescent="0.2"/>
    <row r="436" s="490" customFormat="1" x14ac:dyDescent="0.2"/>
    <row r="437" s="490" customFormat="1" x14ac:dyDescent="0.2"/>
    <row r="438" s="490" customFormat="1" x14ac:dyDescent="0.2"/>
    <row r="439" s="490" customFormat="1" x14ac:dyDescent="0.2"/>
    <row r="440" s="490" customFormat="1" x14ac:dyDescent="0.2"/>
    <row r="441" s="490" customFormat="1" x14ac:dyDescent="0.2"/>
    <row r="442" s="490" customFormat="1" x14ac:dyDescent="0.2"/>
    <row r="443" s="490" customFormat="1" x14ac:dyDescent="0.2"/>
    <row r="444" s="490" customFormat="1" x14ac:dyDescent="0.2"/>
    <row r="445" s="490" customFormat="1" x14ac:dyDescent="0.2"/>
    <row r="446" s="490" customFormat="1" x14ac:dyDescent="0.2"/>
    <row r="447" s="490" customFormat="1" x14ac:dyDescent="0.2"/>
    <row r="448" s="490" customFormat="1" x14ac:dyDescent="0.2"/>
    <row r="449" s="490" customFormat="1" x14ac:dyDescent="0.2"/>
    <row r="450" s="490" customFormat="1" x14ac:dyDescent="0.2"/>
    <row r="451" s="490" customFormat="1" x14ac:dyDescent="0.2"/>
    <row r="452" s="490" customFormat="1" x14ac:dyDescent="0.2"/>
    <row r="453" s="490" customFormat="1" x14ac:dyDescent="0.2"/>
    <row r="454" s="490" customFormat="1" x14ac:dyDescent="0.2"/>
    <row r="455" s="490" customFormat="1" x14ac:dyDescent="0.2"/>
    <row r="456" s="490" customFormat="1" x14ac:dyDescent="0.2"/>
    <row r="457" s="490" customFormat="1" x14ac:dyDescent="0.2"/>
    <row r="458" s="490" customFormat="1" x14ac:dyDescent="0.2"/>
    <row r="459" s="490" customFormat="1" x14ac:dyDescent="0.2"/>
    <row r="460" s="490" customFormat="1" x14ac:dyDescent="0.2"/>
    <row r="461" s="490" customFormat="1" x14ac:dyDescent="0.2"/>
    <row r="462" s="490" customFormat="1" x14ac:dyDescent="0.2"/>
    <row r="463" s="490" customFormat="1" x14ac:dyDescent="0.2"/>
    <row r="464" s="490" customFormat="1" x14ac:dyDescent="0.2"/>
    <row r="465" s="490" customFormat="1" x14ac:dyDescent="0.2"/>
    <row r="466" s="490" customFormat="1" x14ac:dyDescent="0.2"/>
    <row r="467" s="490" customFormat="1" x14ac:dyDescent="0.2"/>
    <row r="468" s="490" customFormat="1" x14ac:dyDescent="0.2"/>
    <row r="469" s="490" customFormat="1" x14ac:dyDescent="0.2"/>
    <row r="470" s="490" customFormat="1" x14ac:dyDescent="0.2"/>
    <row r="471" s="490" customFormat="1" x14ac:dyDescent="0.2"/>
    <row r="472" s="490" customFormat="1" x14ac:dyDescent="0.2"/>
    <row r="473" s="490" customFormat="1" x14ac:dyDescent="0.2"/>
    <row r="474" s="490" customFormat="1" x14ac:dyDescent="0.2"/>
    <row r="475" s="490" customFormat="1" x14ac:dyDescent="0.2"/>
    <row r="476" s="490" customFormat="1" x14ac:dyDescent="0.2"/>
    <row r="477" s="490" customFormat="1" x14ac:dyDescent="0.2"/>
    <row r="478" s="490" customFormat="1" x14ac:dyDescent="0.2"/>
    <row r="479" s="490" customFormat="1" x14ac:dyDescent="0.2"/>
    <row r="480" s="490" customFormat="1" x14ac:dyDescent="0.2"/>
    <row r="481" s="490" customFormat="1" x14ac:dyDescent="0.2"/>
    <row r="482" s="490" customFormat="1" x14ac:dyDescent="0.2"/>
    <row r="483" s="490" customFormat="1" x14ac:dyDescent="0.2"/>
    <row r="484" s="490" customFormat="1" x14ac:dyDescent="0.2"/>
    <row r="485" s="490" customFormat="1" x14ac:dyDescent="0.2"/>
    <row r="486" s="490" customFormat="1" x14ac:dyDescent="0.2"/>
    <row r="487" s="490" customFormat="1" x14ac:dyDescent="0.2"/>
    <row r="488" s="490" customFormat="1" x14ac:dyDescent="0.2"/>
    <row r="489" s="490" customFormat="1" x14ac:dyDescent="0.2"/>
    <row r="490" s="490" customFormat="1" x14ac:dyDescent="0.2"/>
    <row r="491" s="490" customFormat="1" x14ac:dyDescent="0.2"/>
    <row r="492" s="490" customFormat="1" x14ac:dyDescent="0.2"/>
    <row r="493" s="490" customFormat="1" x14ac:dyDescent="0.2"/>
    <row r="494" s="490" customFormat="1" x14ac:dyDescent="0.2"/>
    <row r="495" s="490" customFormat="1" x14ac:dyDescent="0.2"/>
    <row r="496" s="490" customFormat="1" x14ac:dyDescent="0.2"/>
    <row r="497" s="490" customFormat="1" x14ac:dyDescent="0.2"/>
    <row r="498" s="490" customFormat="1" x14ac:dyDescent="0.2"/>
    <row r="499" s="490" customFormat="1" x14ac:dyDescent="0.2"/>
    <row r="500" s="490" customFormat="1" x14ac:dyDescent="0.2"/>
    <row r="501" s="490" customFormat="1" x14ac:dyDescent="0.2"/>
    <row r="502" s="490" customFormat="1" x14ac:dyDescent="0.2"/>
    <row r="503" s="490" customFormat="1" x14ac:dyDescent="0.2"/>
    <row r="504" s="490" customFormat="1" x14ac:dyDescent="0.2"/>
    <row r="505" s="490" customFormat="1" x14ac:dyDescent="0.2"/>
    <row r="506" s="490" customFormat="1" x14ac:dyDescent="0.2"/>
    <row r="507" s="490" customFormat="1" x14ac:dyDescent="0.2"/>
    <row r="508" s="490" customFormat="1" x14ac:dyDescent="0.2"/>
    <row r="509" s="490" customFormat="1" x14ac:dyDescent="0.2"/>
    <row r="510" s="490" customFormat="1" x14ac:dyDescent="0.2"/>
    <row r="511" s="490" customFormat="1" x14ac:dyDescent="0.2"/>
    <row r="512" s="490" customFormat="1" x14ac:dyDescent="0.2"/>
    <row r="513" s="490" customFormat="1" x14ac:dyDescent="0.2"/>
    <row r="514" s="490" customFormat="1" x14ac:dyDescent="0.2"/>
    <row r="515" s="490" customFormat="1" x14ac:dyDescent="0.2"/>
    <row r="516" s="490" customFormat="1" x14ac:dyDescent="0.2"/>
    <row r="517" s="490" customFormat="1" x14ac:dyDescent="0.2"/>
    <row r="518" s="490" customFormat="1" x14ac:dyDescent="0.2"/>
    <row r="519" s="490" customFormat="1" x14ac:dyDescent="0.2"/>
    <row r="520" s="490" customFormat="1" x14ac:dyDescent="0.2"/>
    <row r="521" s="490" customFormat="1" x14ac:dyDescent="0.2"/>
    <row r="522" s="490" customFormat="1" x14ac:dyDescent="0.2"/>
    <row r="523" s="490" customFormat="1" x14ac:dyDescent="0.2"/>
    <row r="524" s="490" customFormat="1" x14ac:dyDescent="0.2"/>
    <row r="525" s="490" customFormat="1" x14ac:dyDescent="0.2"/>
    <row r="526" s="490" customFormat="1" x14ac:dyDescent="0.2"/>
    <row r="527" s="490" customFormat="1" x14ac:dyDescent="0.2"/>
    <row r="528" s="490" customFormat="1" x14ac:dyDescent="0.2"/>
    <row r="529" s="490" customFormat="1" x14ac:dyDescent="0.2"/>
    <row r="530" s="490" customFormat="1" x14ac:dyDescent="0.2"/>
    <row r="531" s="490" customFormat="1" x14ac:dyDescent="0.2"/>
    <row r="532" s="490" customFormat="1" x14ac:dyDescent="0.2"/>
    <row r="533" s="490" customFormat="1" x14ac:dyDescent="0.2"/>
    <row r="534" s="490" customFormat="1" x14ac:dyDescent="0.2"/>
    <row r="535" s="490" customFormat="1" x14ac:dyDescent="0.2"/>
    <row r="536" s="490" customFormat="1" x14ac:dyDescent="0.2"/>
    <row r="537" s="490" customFormat="1" x14ac:dyDescent="0.2"/>
    <row r="538" s="490" customFormat="1" x14ac:dyDescent="0.2"/>
    <row r="539" s="490" customFormat="1" x14ac:dyDescent="0.2"/>
    <row r="540" s="490" customFormat="1" x14ac:dyDescent="0.2"/>
    <row r="541" s="490" customFormat="1" x14ac:dyDescent="0.2"/>
    <row r="542" s="490" customFormat="1" x14ac:dyDescent="0.2"/>
    <row r="543" s="490" customFormat="1" x14ac:dyDescent="0.2"/>
    <row r="544" s="490" customFormat="1" x14ac:dyDescent="0.2"/>
    <row r="545" s="490" customFormat="1" x14ac:dyDescent="0.2"/>
    <row r="546" s="490" customFormat="1" x14ac:dyDescent="0.2"/>
    <row r="547" s="490" customFormat="1" x14ac:dyDescent="0.2"/>
    <row r="548" s="490" customFormat="1" x14ac:dyDescent="0.2"/>
    <row r="549" s="490" customFormat="1" x14ac:dyDescent="0.2"/>
    <row r="550" s="490" customFormat="1" x14ac:dyDescent="0.2"/>
    <row r="551" s="490" customFormat="1" x14ac:dyDescent="0.2"/>
    <row r="552" s="490" customFormat="1" x14ac:dyDescent="0.2"/>
    <row r="553" s="490" customFormat="1" x14ac:dyDescent="0.2"/>
    <row r="554" s="490" customFormat="1" x14ac:dyDescent="0.2"/>
    <row r="555" s="490" customFormat="1" x14ac:dyDescent="0.2"/>
    <row r="556" s="490" customFormat="1" x14ac:dyDescent="0.2"/>
    <row r="557" s="490" customFormat="1" x14ac:dyDescent="0.2"/>
    <row r="558" s="490" customFormat="1" x14ac:dyDescent="0.2"/>
    <row r="559" s="490" customFormat="1" x14ac:dyDescent="0.2"/>
    <row r="560" s="490" customFormat="1" x14ac:dyDescent="0.2"/>
    <row r="561" s="490" customFormat="1" x14ac:dyDescent="0.2"/>
    <row r="562" s="490" customFormat="1" x14ac:dyDescent="0.2"/>
    <row r="563" s="490" customFormat="1" x14ac:dyDescent="0.2"/>
    <row r="564" s="490" customFormat="1" x14ac:dyDescent="0.2"/>
    <row r="565" s="490" customFormat="1" x14ac:dyDescent="0.2"/>
    <row r="566" s="490" customFormat="1" x14ac:dyDescent="0.2"/>
    <row r="567" s="490" customFormat="1" x14ac:dyDescent="0.2"/>
    <row r="568" s="490" customFormat="1" x14ac:dyDescent="0.2"/>
    <row r="569" s="490" customFormat="1" x14ac:dyDescent="0.2"/>
    <row r="570" s="490" customFormat="1" x14ac:dyDescent="0.2"/>
    <row r="571" s="490" customFormat="1" x14ac:dyDescent="0.2"/>
    <row r="572" s="490" customFormat="1" x14ac:dyDescent="0.2"/>
    <row r="573" s="490" customFormat="1" x14ac:dyDescent="0.2"/>
    <row r="574" s="490" customFormat="1" x14ac:dyDescent="0.2"/>
    <row r="575" s="490" customFormat="1" x14ac:dyDescent="0.2"/>
    <row r="576" s="490" customFormat="1" x14ac:dyDescent="0.2"/>
    <row r="577" s="490" customFormat="1" x14ac:dyDescent="0.2"/>
    <row r="578" s="490" customFormat="1" x14ac:dyDescent="0.2"/>
    <row r="579" s="490" customFormat="1" x14ac:dyDescent="0.2"/>
    <row r="580" s="490" customFormat="1" x14ac:dyDescent="0.2"/>
    <row r="581" s="490" customFormat="1" x14ac:dyDescent="0.2"/>
    <row r="582" s="490" customFormat="1" x14ac:dyDescent="0.2"/>
    <row r="583" s="490" customFormat="1" x14ac:dyDescent="0.2"/>
    <row r="584" s="490" customFormat="1" x14ac:dyDescent="0.2"/>
    <row r="585" s="490" customFormat="1" x14ac:dyDescent="0.2"/>
    <row r="586" s="490" customFormat="1" x14ac:dyDescent="0.2"/>
    <row r="587" s="490" customFormat="1" x14ac:dyDescent="0.2"/>
    <row r="588" s="490" customFormat="1" x14ac:dyDescent="0.2"/>
    <row r="589" s="490" customFormat="1" x14ac:dyDescent="0.2"/>
    <row r="590" s="490" customFormat="1" x14ac:dyDescent="0.2"/>
    <row r="591" s="490" customFormat="1" x14ac:dyDescent="0.2"/>
    <row r="592" s="490" customFormat="1" x14ac:dyDescent="0.2"/>
    <row r="593" s="490" customFormat="1" x14ac:dyDescent="0.2"/>
    <row r="594" s="490" customFormat="1" x14ac:dyDescent="0.2"/>
    <row r="595" s="490" customFormat="1" x14ac:dyDescent="0.2"/>
    <row r="596" s="490" customFormat="1" x14ac:dyDescent="0.2"/>
    <row r="597" s="490" customFormat="1" x14ac:dyDescent="0.2"/>
    <row r="598" s="490" customFormat="1" x14ac:dyDescent="0.2"/>
    <row r="599" s="490" customFormat="1" x14ac:dyDescent="0.2"/>
    <row r="600" s="490" customFormat="1" x14ac:dyDescent="0.2"/>
    <row r="601" s="490" customFormat="1" x14ac:dyDescent="0.2"/>
    <row r="602" s="490" customFormat="1" x14ac:dyDescent="0.2"/>
    <row r="603" s="490" customFormat="1" x14ac:dyDescent="0.2"/>
    <row r="604" s="490" customFormat="1" x14ac:dyDescent="0.2"/>
    <row r="605" s="490" customFormat="1" x14ac:dyDescent="0.2"/>
    <row r="606" s="490" customFormat="1" x14ac:dyDescent="0.2"/>
    <row r="607" s="490" customFormat="1" x14ac:dyDescent="0.2"/>
    <row r="608" s="490" customFormat="1" x14ac:dyDescent="0.2"/>
    <row r="609" s="490" customFormat="1" x14ac:dyDescent="0.2"/>
    <row r="610" s="490" customFormat="1" x14ac:dyDescent="0.2"/>
    <row r="611" s="490" customFormat="1" x14ac:dyDescent="0.2"/>
    <row r="612" s="490" customFormat="1" x14ac:dyDescent="0.2"/>
    <row r="613" s="490" customFormat="1" x14ac:dyDescent="0.2"/>
    <row r="614" s="490" customFormat="1" x14ac:dyDescent="0.2"/>
    <row r="615" s="490" customFormat="1" x14ac:dyDescent="0.2"/>
    <row r="616" s="490" customFormat="1" x14ac:dyDescent="0.2"/>
    <row r="617" s="490" customFormat="1" x14ac:dyDescent="0.2"/>
    <row r="618" s="490" customFormat="1" x14ac:dyDescent="0.2"/>
    <row r="619" s="490" customFormat="1" x14ac:dyDescent="0.2"/>
    <row r="620" s="490" customFormat="1" x14ac:dyDescent="0.2"/>
    <row r="621" s="490" customFormat="1" x14ac:dyDescent="0.2"/>
    <row r="622" s="490" customFormat="1" x14ac:dyDescent="0.2"/>
    <row r="623" s="490" customFormat="1" x14ac:dyDescent="0.2"/>
    <row r="624" s="490" customFormat="1" x14ac:dyDescent="0.2"/>
    <row r="625" s="490" customFormat="1" x14ac:dyDescent="0.2"/>
    <row r="626" s="490" customFormat="1" x14ac:dyDescent="0.2"/>
    <row r="627" s="490" customFormat="1" x14ac:dyDescent="0.2"/>
    <row r="628" s="490" customFormat="1" x14ac:dyDescent="0.2"/>
    <row r="629" s="490" customFormat="1" x14ac:dyDescent="0.2"/>
    <row r="630" s="490" customFormat="1" x14ac:dyDescent="0.2"/>
    <row r="631" s="490" customFormat="1" x14ac:dyDescent="0.2"/>
    <row r="632" s="490" customFormat="1" x14ac:dyDescent="0.2"/>
    <row r="633" s="490" customFormat="1" x14ac:dyDescent="0.2"/>
    <row r="634" s="490" customFormat="1" x14ac:dyDescent="0.2"/>
    <row r="635" s="490" customFormat="1" x14ac:dyDescent="0.2"/>
    <row r="636" s="490" customFormat="1" x14ac:dyDescent="0.2"/>
    <row r="637" s="490" customFormat="1" x14ac:dyDescent="0.2"/>
    <row r="638" s="490" customFormat="1" x14ac:dyDescent="0.2"/>
    <row r="639" s="490" customFormat="1" x14ac:dyDescent="0.2"/>
    <row r="640" s="490" customFormat="1" x14ac:dyDescent="0.2"/>
    <row r="641" s="490" customFormat="1" x14ac:dyDescent="0.2"/>
    <row r="642" s="490" customFormat="1" x14ac:dyDescent="0.2"/>
    <row r="643" s="490" customFormat="1" x14ac:dyDescent="0.2"/>
    <row r="644" s="490" customFormat="1" x14ac:dyDescent="0.2"/>
    <row r="645" s="490" customFormat="1" x14ac:dyDescent="0.2"/>
    <row r="646" s="490" customFormat="1" x14ac:dyDescent="0.2"/>
    <row r="647" s="490" customFormat="1" x14ac:dyDescent="0.2"/>
    <row r="648" s="490" customFormat="1" x14ac:dyDescent="0.2"/>
    <row r="649" s="490" customFormat="1" x14ac:dyDescent="0.2"/>
    <row r="650" s="490" customFormat="1" x14ac:dyDescent="0.2"/>
    <row r="651" s="490" customFormat="1" x14ac:dyDescent="0.2"/>
    <row r="652" s="490" customFormat="1" x14ac:dyDescent="0.2"/>
    <row r="653" s="490" customFormat="1" x14ac:dyDescent="0.2"/>
    <row r="654" s="490" customFormat="1" x14ac:dyDescent="0.2"/>
    <row r="655" s="490" customFormat="1" x14ac:dyDescent="0.2"/>
    <row r="656" s="490" customFormat="1" x14ac:dyDescent="0.2"/>
    <row r="657" s="490" customFormat="1" x14ac:dyDescent="0.2"/>
    <row r="658" s="490" customFormat="1" x14ac:dyDescent="0.2"/>
    <row r="659" s="490" customFormat="1" x14ac:dyDescent="0.2"/>
    <row r="660" s="490" customFormat="1" x14ac:dyDescent="0.2"/>
    <row r="661" s="490" customFormat="1" x14ac:dyDescent="0.2"/>
    <row r="662" s="490" customFormat="1" x14ac:dyDescent="0.2"/>
    <row r="663" s="490" customFormat="1" x14ac:dyDescent="0.2"/>
    <row r="664" s="490" customFormat="1" x14ac:dyDescent="0.2"/>
    <row r="665" s="490" customFormat="1" x14ac:dyDescent="0.2"/>
    <row r="666" s="490" customFormat="1" x14ac:dyDescent="0.2"/>
    <row r="667" s="490" customFormat="1" x14ac:dyDescent="0.2"/>
    <row r="668" s="490" customFormat="1" x14ac:dyDescent="0.2"/>
    <row r="669" s="490" customFormat="1" x14ac:dyDescent="0.2"/>
    <row r="670" s="490" customFormat="1" x14ac:dyDescent="0.2"/>
    <row r="671" s="490" customFormat="1" x14ac:dyDescent="0.2"/>
    <row r="672" s="490" customFormat="1" x14ac:dyDescent="0.2"/>
    <row r="673" s="490" customFormat="1" x14ac:dyDescent="0.2"/>
    <row r="674" s="490" customFormat="1" x14ac:dyDescent="0.2"/>
    <row r="675" s="490" customFormat="1" x14ac:dyDescent="0.2"/>
    <row r="676" s="490" customFormat="1" x14ac:dyDescent="0.2"/>
    <row r="677" s="490" customFormat="1" x14ac:dyDescent="0.2"/>
    <row r="678" s="490" customFormat="1" x14ac:dyDescent="0.2"/>
    <row r="679" s="490" customFormat="1" x14ac:dyDescent="0.2"/>
    <row r="680" s="490" customFormat="1" x14ac:dyDescent="0.2"/>
    <row r="681" s="490" customFormat="1" x14ac:dyDescent="0.2"/>
    <row r="682" s="490" customFormat="1" x14ac:dyDescent="0.2"/>
    <row r="683" s="490" customFormat="1" x14ac:dyDescent="0.2"/>
    <row r="684" s="490" customFormat="1" x14ac:dyDescent="0.2"/>
    <row r="685" s="490" customFormat="1" x14ac:dyDescent="0.2"/>
    <row r="686" s="490" customFormat="1" x14ac:dyDescent="0.2"/>
    <row r="687" s="490" customFormat="1" x14ac:dyDescent="0.2"/>
    <row r="688" s="490" customFormat="1" x14ac:dyDescent="0.2"/>
    <row r="689" s="490" customFormat="1" x14ac:dyDescent="0.2"/>
    <row r="690" s="490" customFormat="1" x14ac:dyDescent="0.2"/>
    <row r="691" s="490" customFormat="1" x14ac:dyDescent="0.2"/>
    <row r="692" s="490" customFormat="1" x14ac:dyDescent="0.2"/>
    <row r="693" s="490" customFormat="1" x14ac:dyDescent="0.2"/>
    <row r="694" s="490" customFormat="1" x14ac:dyDescent="0.2"/>
    <row r="695" s="490" customFormat="1" x14ac:dyDescent="0.2"/>
    <row r="696" s="490" customFormat="1" x14ac:dyDescent="0.2"/>
    <row r="697" s="490" customFormat="1" x14ac:dyDescent="0.2"/>
    <row r="698" s="490" customFormat="1" x14ac:dyDescent="0.2"/>
    <row r="699" s="490" customFormat="1" x14ac:dyDescent="0.2"/>
    <row r="700" s="490" customFormat="1" x14ac:dyDescent="0.2"/>
    <row r="701" s="490" customFormat="1" x14ac:dyDescent="0.2"/>
    <row r="702" s="490" customFormat="1" x14ac:dyDescent="0.2"/>
    <row r="703" s="490" customFormat="1" x14ac:dyDescent="0.2"/>
    <row r="704" s="490" customFormat="1" x14ac:dyDescent="0.2"/>
    <row r="705" s="490" customFormat="1" x14ac:dyDescent="0.2"/>
    <row r="706" s="490" customFormat="1" x14ac:dyDescent="0.2"/>
    <row r="707" s="490" customFormat="1" x14ac:dyDescent="0.2"/>
    <row r="708" s="490" customFormat="1" x14ac:dyDescent="0.2"/>
    <row r="709" s="490" customFormat="1" x14ac:dyDescent="0.2"/>
    <row r="710" s="490" customFormat="1" x14ac:dyDescent="0.2"/>
    <row r="711" s="490" customFormat="1" x14ac:dyDescent="0.2"/>
    <row r="712" s="490" customFormat="1" x14ac:dyDescent="0.2"/>
    <row r="713" s="490" customFormat="1" x14ac:dyDescent="0.2"/>
    <row r="714" s="490" customFormat="1" x14ac:dyDescent="0.2"/>
    <row r="715" s="490" customFormat="1" x14ac:dyDescent="0.2"/>
    <row r="716" s="490" customFormat="1" x14ac:dyDescent="0.2"/>
    <row r="717" s="490" customFormat="1" x14ac:dyDescent="0.2"/>
    <row r="718" s="490" customFormat="1" x14ac:dyDescent="0.2"/>
    <row r="719" s="490" customFormat="1" x14ac:dyDescent="0.2"/>
    <row r="720" s="490" customFormat="1" x14ac:dyDescent="0.2"/>
    <row r="721" s="490" customFormat="1" x14ac:dyDescent="0.2"/>
    <row r="722" s="490" customFormat="1" x14ac:dyDescent="0.2"/>
    <row r="723" s="490" customFormat="1" x14ac:dyDescent="0.2"/>
    <row r="724" s="490" customFormat="1" x14ac:dyDescent="0.2"/>
    <row r="725" s="490" customFormat="1" x14ac:dyDescent="0.2"/>
    <row r="726" s="490" customFormat="1" x14ac:dyDescent="0.2"/>
    <row r="727" s="490" customFormat="1" x14ac:dyDescent="0.2"/>
    <row r="728" s="490" customFormat="1" x14ac:dyDescent="0.2"/>
    <row r="729" s="490" customFormat="1" x14ac:dyDescent="0.2"/>
    <row r="730" s="490" customFormat="1" x14ac:dyDescent="0.2"/>
    <row r="731" s="490" customFormat="1" x14ac:dyDescent="0.2"/>
    <row r="732" s="490" customFormat="1" x14ac:dyDescent="0.2"/>
    <row r="733" s="490" customFormat="1" x14ac:dyDescent="0.2"/>
    <row r="734" s="490" customFormat="1" x14ac:dyDescent="0.2"/>
    <row r="735" s="490" customFormat="1" x14ac:dyDescent="0.2"/>
    <row r="736" s="490" customFormat="1" x14ac:dyDescent="0.2"/>
    <row r="737" s="490" customFormat="1" x14ac:dyDescent="0.2"/>
    <row r="738" s="490" customFormat="1" x14ac:dyDescent="0.2"/>
    <row r="739" s="490" customFormat="1" x14ac:dyDescent="0.2"/>
    <row r="740" s="490" customFormat="1" x14ac:dyDescent="0.2"/>
    <row r="741" s="490" customFormat="1" x14ac:dyDescent="0.2"/>
    <row r="742" s="490" customFormat="1" x14ac:dyDescent="0.2"/>
    <row r="743" s="490" customFormat="1" x14ac:dyDescent="0.2"/>
    <row r="744" s="490" customFormat="1" x14ac:dyDescent="0.2"/>
    <row r="745" s="490" customFormat="1" x14ac:dyDescent="0.2"/>
    <row r="746" s="490" customFormat="1" x14ac:dyDescent="0.2"/>
    <row r="747" s="490" customFormat="1" x14ac:dyDescent="0.2"/>
    <row r="748" s="490" customFormat="1" x14ac:dyDescent="0.2"/>
    <row r="749" s="490" customFormat="1" x14ac:dyDescent="0.2"/>
    <row r="750" s="490" customFormat="1" x14ac:dyDescent="0.2"/>
    <row r="751" s="490" customFormat="1" x14ac:dyDescent="0.2"/>
    <row r="752" s="490" customFormat="1" x14ac:dyDescent="0.2"/>
    <row r="753" s="490" customFormat="1" x14ac:dyDescent="0.2"/>
    <row r="754" s="490" customFormat="1" x14ac:dyDescent="0.2"/>
    <row r="755" s="490" customFormat="1" x14ac:dyDescent="0.2"/>
    <row r="756" s="490" customFormat="1" x14ac:dyDescent="0.2"/>
    <row r="757" s="490" customFormat="1" x14ac:dyDescent="0.2"/>
    <row r="758" s="490" customFormat="1" x14ac:dyDescent="0.2"/>
    <row r="759" s="490" customFormat="1" x14ac:dyDescent="0.2"/>
    <row r="760" s="490" customFormat="1" x14ac:dyDescent="0.2"/>
    <row r="761" s="490" customFormat="1" x14ac:dyDescent="0.2"/>
    <row r="762" s="490" customFormat="1" x14ac:dyDescent="0.2"/>
    <row r="763" s="490" customFormat="1" x14ac:dyDescent="0.2"/>
    <row r="764" s="490" customFormat="1" x14ac:dyDescent="0.2"/>
    <row r="765" s="490" customFormat="1" x14ac:dyDescent="0.2"/>
    <row r="766" s="490" customFormat="1" x14ac:dyDescent="0.2"/>
    <row r="767" s="490" customFormat="1" x14ac:dyDescent="0.2"/>
    <row r="768" s="490" customFormat="1" x14ac:dyDescent="0.2"/>
    <row r="769" s="490" customFormat="1" x14ac:dyDescent="0.2"/>
    <row r="770" s="490" customFormat="1" x14ac:dyDescent="0.2"/>
    <row r="771" s="490" customFormat="1" x14ac:dyDescent="0.2"/>
    <row r="772" s="490" customFormat="1" x14ac:dyDescent="0.2"/>
    <row r="773" s="490" customFormat="1" x14ac:dyDescent="0.2"/>
    <row r="774" s="490" customFormat="1" x14ac:dyDescent="0.2"/>
    <row r="775" s="490" customFormat="1" x14ac:dyDescent="0.2"/>
    <row r="776" s="490" customFormat="1" x14ac:dyDescent="0.2"/>
    <row r="777" s="490" customFormat="1" x14ac:dyDescent="0.2"/>
    <row r="778" s="490" customFormat="1" x14ac:dyDescent="0.2"/>
    <row r="779" s="490" customFormat="1" x14ac:dyDescent="0.2"/>
    <row r="780" s="490" customFormat="1" x14ac:dyDescent="0.2"/>
    <row r="781" s="490" customFormat="1" x14ac:dyDescent="0.2"/>
    <row r="782" s="490" customFormat="1" x14ac:dyDescent="0.2"/>
    <row r="783" s="490" customFormat="1" x14ac:dyDescent="0.2"/>
    <row r="784" s="490" customFormat="1" x14ac:dyDescent="0.2"/>
    <row r="785" s="490" customFormat="1" x14ac:dyDescent="0.2"/>
    <row r="786" s="490" customFormat="1" x14ac:dyDescent="0.2"/>
    <row r="787" s="490" customFormat="1" x14ac:dyDescent="0.2"/>
    <row r="788" s="490" customFormat="1" x14ac:dyDescent="0.2"/>
    <row r="789" s="490" customFormat="1" x14ac:dyDescent="0.2"/>
    <row r="790" s="490" customFormat="1" x14ac:dyDescent="0.2"/>
    <row r="791" s="490" customFormat="1" x14ac:dyDescent="0.2"/>
    <row r="792" s="490" customFormat="1" x14ac:dyDescent="0.2"/>
    <row r="793" s="490" customFormat="1" x14ac:dyDescent="0.2"/>
    <row r="794" s="490" customFormat="1" x14ac:dyDescent="0.2"/>
    <row r="795" s="490" customFormat="1" x14ac:dyDescent="0.2"/>
    <row r="796" s="490" customFormat="1" x14ac:dyDescent="0.2"/>
    <row r="797" s="490" customFormat="1" x14ac:dyDescent="0.2"/>
    <row r="798" s="490" customFormat="1" x14ac:dyDescent="0.2"/>
    <row r="799" s="490" customFormat="1" x14ac:dyDescent="0.2"/>
    <row r="800" s="490" customFormat="1" x14ac:dyDescent="0.2"/>
    <row r="801" s="490" customFormat="1" x14ac:dyDescent="0.2"/>
    <row r="802" s="490" customFormat="1" x14ac:dyDescent="0.2"/>
    <row r="803" s="490" customFormat="1" x14ac:dyDescent="0.2"/>
    <row r="804" s="490" customFormat="1" x14ac:dyDescent="0.2"/>
    <row r="805" s="490" customFormat="1" x14ac:dyDescent="0.2"/>
    <row r="806" s="490" customFormat="1" x14ac:dyDescent="0.2"/>
    <row r="807" s="490" customFormat="1" x14ac:dyDescent="0.2"/>
    <row r="808" s="490" customFormat="1" x14ac:dyDescent="0.2"/>
    <row r="809" s="490" customFormat="1" x14ac:dyDescent="0.2"/>
    <row r="810" s="490" customFormat="1" x14ac:dyDescent="0.2"/>
    <row r="811" s="490" customFormat="1" x14ac:dyDescent="0.2"/>
    <row r="812" s="490" customFormat="1" x14ac:dyDescent="0.2"/>
    <row r="813" s="490" customFormat="1" x14ac:dyDescent="0.2"/>
    <row r="814" s="490" customFormat="1" x14ac:dyDescent="0.2"/>
    <row r="815" s="490" customFormat="1" x14ac:dyDescent="0.2"/>
    <row r="816" s="490" customFormat="1" x14ac:dyDescent="0.2"/>
    <row r="817" s="490" customFormat="1" x14ac:dyDescent="0.2"/>
    <row r="818" s="490" customFormat="1" x14ac:dyDescent="0.2"/>
    <row r="819" s="490" customFormat="1" x14ac:dyDescent="0.2"/>
    <row r="820" s="490" customFormat="1" x14ac:dyDescent="0.2"/>
    <row r="821" s="490" customFormat="1" x14ac:dyDescent="0.2"/>
    <row r="822" s="490" customFormat="1" x14ac:dyDescent="0.2"/>
    <row r="823" s="490" customFormat="1" x14ac:dyDescent="0.2"/>
  </sheetData>
  <mergeCells count="3">
    <mergeCell ref="A1:B1"/>
    <mergeCell ref="C1:F1"/>
    <mergeCell ref="G1:H1"/>
  </mergeCells>
  <pageMargins left="0.7" right="0.7" top="0.75" bottom="0.75" header="0.3" footer="0.3"/>
  <pageSetup paperSize="9" scale="85"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AG20"/>
  <sheetViews>
    <sheetView showGridLines="0" zoomScaleNormal="100" workbookViewId="0">
      <selection activeCell="AJ10" sqref="AJ10"/>
    </sheetView>
  </sheetViews>
  <sheetFormatPr baseColWidth="10" defaultRowHeight="12.75" x14ac:dyDescent="0.2"/>
  <cols>
    <col min="2" max="2" width="7.28515625" customWidth="1"/>
    <col min="3" max="32" width="4" customWidth="1"/>
    <col min="33" max="33" width="5" customWidth="1"/>
  </cols>
  <sheetData>
    <row r="1" spans="1:33" ht="60.75" customHeight="1" x14ac:dyDescent="0.2">
      <c r="A1" s="423"/>
      <c r="B1" s="424"/>
      <c r="C1" s="425"/>
      <c r="D1" s="416" t="s">
        <v>88</v>
      </c>
      <c r="E1" s="417"/>
      <c r="F1" s="417"/>
      <c r="G1" s="417"/>
      <c r="H1" s="417"/>
      <c r="I1" s="417"/>
      <c r="J1" s="417"/>
      <c r="K1" s="417"/>
      <c r="L1" s="417"/>
      <c r="M1" s="417"/>
      <c r="N1" s="417"/>
      <c r="O1" s="417"/>
      <c r="P1" s="417"/>
      <c r="Q1" s="417"/>
      <c r="R1" s="417"/>
      <c r="S1" s="417"/>
      <c r="T1" s="417"/>
      <c r="U1" s="417"/>
      <c r="V1" s="417"/>
      <c r="W1" s="417"/>
      <c r="X1" s="417"/>
      <c r="Y1" s="417"/>
      <c r="Z1" s="417"/>
      <c r="AA1" s="417"/>
      <c r="AB1" s="417"/>
      <c r="AC1" s="418"/>
      <c r="AD1" s="426" t="s">
        <v>120</v>
      </c>
      <c r="AE1" s="427"/>
      <c r="AF1" s="427"/>
      <c r="AG1" s="428"/>
    </row>
    <row r="2" spans="1:33" ht="45.75" customHeight="1" x14ac:dyDescent="0.2">
      <c r="A2" s="429" t="s">
        <v>89</v>
      </c>
      <c r="B2" s="430"/>
      <c r="C2" s="65"/>
      <c r="D2" s="65"/>
      <c r="E2" s="65"/>
      <c r="F2" s="65"/>
      <c r="G2" s="65"/>
      <c r="H2" s="65"/>
      <c r="I2" s="65"/>
      <c r="J2" s="65"/>
      <c r="K2" s="65"/>
      <c r="L2" s="65"/>
      <c r="M2" s="65"/>
      <c r="N2" s="65"/>
      <c r="O2" s="65"/>
      <c r="P2" s="65"/>
      <c r="Q2" s="65"/>
      <c r="R2" s="65"/>
      <c r="S2" s="65"/>
      <c r="T2" s="65"/>
      <c r="U2" s="65"/>
      <c r="V2" s="65"/>
      <c r="W2" s="65"/>
      <c r="X2" s="65"/>
      <c r="Y2" s="65"/>
      <c r="Z2" s="65"/>
      <c r="AA2" s="65"/>
      <c r="AB2" s="65"/>
      <c r="AC2" s="65"/>
      <c r="AD2" s="65"/>
      <c r="AE2" s="65"/>
      <c r="AF2" s="65"/>
      <c r="AG2" s="66" t="s">
        <v>0</v>
      </c>
    </row>
    <row r="3" spans="1:33" ht="23.25" customHeight="1" x14ac:dyDescent="0.2">
      <c r="A3" s="431" t="s">
        <v>4</v>
      </c>
      <c r="B3" s="431"/>
      <c r="C3" s="37"/>
      <c r="D3" s="37"/>
      <c r="E3" s="38"/>
      <c r="F3" s="38"/>
      <c r="G3" s="38"/>
      <c r="H3" s="38"/>
      <c r="I3" s="38"/>
      <c r="J3" s="38"/>
      <c r="K3" s="38"/>
      <c r="L3" s="38"/>
      <c r="M3" s="38"/>
      <c r="N3" s="38"/>
      <c r="O3" s="38"/>
      <c r="P3" s="38"/>
      <c r="Q3" s="38"/>
      <c r="R3" s="38"/>
      <c r="S3" s="38"/>
      <c r="T3" s="38"/>
      <c r="U3" s="38"/>
      <c r="V3" s="38"/>
      <c r="W3" s="38"/>
      <c r="X3" s="38"/>
      <c r="Y3" s="38"/>
      <c r="Z3" s="38"/>
      <c r="AA3" s="38"/>
      <c r="AB3" s="38"/>
      <c r="AC3" s="38"/>
      <c r="AD3" s="38"/>
      <c r="AE3" s="38"/>
      <c r="AF3" s="38"/>
      <c r="AG3" s="67">
        <f>SUM(C3:AF3)</f>
        <v>0</v>
      </c>
    </row>
    <row r="4" spans="1:33" ht="23.25" customHeight="1" x14ac:dyDescent="0.2">
      <c r="A4" s="421" t="s">
        <v>135</v>
      </c>
      <c r="B4" s="422"/>
      <c r="C4" s="37"/>
      <c r="D4" s="37"/>
      <c r="E4" s="38"/>
      <c r="F4" s="38"/>
      <c r="G4" s="38"/>
      <c r="H4" s="38"/>
      <c r="I4" s="38"/>
      <c r="J4" s="38"/>
      <c r="K4" s="38"/>
      <c r="L4" s="38"/>
      <c r="M4" s="38"/>
      <c r="N4" s="38"/>
      <c r="O4" s="38"/>
      <c r="P4" s="38"/>
      <c r="Q4" s="38"/>
      <c r="R4" s="38"/>
      <c r="S4" s="38"/>
      <c r="T4" s="38"/>
      <c r="U4" s="38"/>
      <c r="V4" s="38"/>
      <c r="W4" s="38"/>
      <c r="X4" s="38"/>
      <c r="Y4" s="38"/>
      <c r="Z4" s="38"/>
      <c r="AA4" s="38"/>
      <c r="AB4" s="38"/>
      <c r="AC4" s="38"/>
      <c r="AD4" s="38"/>
      <c r="AE4" s="38"/>
      <c r="AF4" s="38"/>
      <c r="AG4" s="67">
        <f>SUM(C4:AF4)</f>
        <v>0</v>
      </c>
    </row>
    <row r="5" spans="1:33" ht="23.25" customHeight="1" x14ac:dyDescent="0.2">
      <c r="A5" s="421" t="s">
        <v>136</v>
      </c>
      <c r="B5" s="422"/>
      <c r="C5" s="37"/>
      <c r="D5" s="37"/>
      <c r="E5" s="38"/>
      <c r="F5" s="38"/>
      <c r="G5" s="38"/>
      <c r="H5" s="38"/>
      <c r="I5" s="38"/>
      <c r="J5" s="38"/>
      <c r="K5" s="38"/>
      <c r="L5" s="38"/>
      <c r="M5" s="38"/>
      <c r="N5" s="38"/>
      <c r="O5" s="38"/>
      <c r="P5" s="38"/>
      <c r="Q5" s="38"/>
      <c r="R5" s="38"/>
      <c r="S5" s="38"/>
      <c r="T5" s="38"/>
      <c r="U5" s="38"/>
      <c r="V5" s="38"/>
      <c r="W5" s="38"/>
      <c r="X5" s="38"/>
      <c r="Y5" s="38"/>
      <c r="Z5" s="38"/>
      <c r="AA5" s="38"/>
      <c r="AB5" s="38"/>
      <c r="AC5" s="38"/>
      <c r="AD5" s="38"/>
      <c r="AE5" s="38"/>
      <c r="AF5" s="38"/>
      <c r="AG5" s="67">
        <f>SUM(C5:AF5)</f>
        <v>0</v>
      </c>
    </row>
    <row r="6" spans="1:33" ht="23.25" customHeight="1" x14ac:dyDescent="0.2">
      <c r="A6" s="421" t="s">
        <v>137</v>
      </c>
      <c r="B6" s="422"/>
      <c r="C6" s="37"/>
      <c r="D6" s="37"/>
      <c r="E6" s="38"/>
      <c r="F6" s="38"/>
      <c r="G6" s="38"/>
      <c r="H6" s="38"/>
      <c r="I6" s="38"/>
      <c r="J6" s="38"/>
      <c r="K6" s="38"/>
      <c r="L6" s="38"/>
      <c r="M6" s="38"/>
      <c r="N6" s="38"/>
      <c r="O6" s="38"/>
      <c r="P6" s="38"/>
      <c r="Q6" s="38"/>
      <c r="R6" s="38"/>
      <c r="S6" s="38"/>
      <c r="T6" s="38"/>
      <c r="U6" s="38"/>
      <c r="V6" s="38"/>
      <c r="W6" s="38"/>
      <c r="X6" s="38"/>
      <c r="Y6" s="38"/>
      <c r="Z6" s="38"/>
      <c r="AA6" s="38"/>
      <c r="AB6" s="38"/>
      <c r="AC6" s="38"/>
      <c r="AD6" s="38"/>
      <c r="AE6" s="38"/>
      <c r="AF6" s="38"/>
      <c r="AG6" s="67">
        <f>SUM(C6:AF6)</f>
        <v>0</v>
      </c>
    </row>
    <row r="7" spans="1:33" ht="23.25" customHeight="1" x14ac:dyDescent="0.2">
      <c r="A7" s="431" t="s">
        <v>3</v>
      </c>
      <c r="B7" s="431"/>
      <c r="C7" s="37"/>
      <c r="D7" s="37"/>
      <c r="E7" s="38"/>
      <c r="F7" s="38"/>
      <c r="G7" s="38"/>
      <c r="H7" s="38"/>
      <c r="I7" s="38"/>
      <c r="J7" s="38"/>
      <c r="K7" s="38"/>
      <c r="L7" s="38"/>
      <c r="M7" s="38"/>
      <c r="N7" s="38"/>
      <c r="O7" s="38"/>
      <c r="P7" s="38"/>
      <c r="Q7" s="38"/>
      <c r="R7" s="38"/>
      <c r="S7" s="38"/>
      <c r="T7" s="38"/>
      <c r="U7" s="38"/>
      <c r="V7" s="38"/>
      <c r="W7" s="38"/>
      <c r="X7" s="38"/>
      <c r="Y7" s="38"/>
      <c r="Z7" s="38"/>
      <c r="AA7" s="38"/>
      <c r="AB7" s="38"/>
      <c r="AC7" s="38"/>
      <c r="AD7" s="38"/>
      <c r="AE7" s="38"/>
      <c r="AF7" s="38"/>
      <c r="AG7" s="67">
        <f>SUM(C7:AF7)</f>
        <v>0</v>
      </c>
    </row>
    <row r="8" spans="1:33" ht="23.25" customHeight="1" x14ac:dyDescent="0.2">
      <c r="A8" s="431" t="s">
        <v>121</v>
      </c>
      <c r="B8" s="431"/>
      <c r="C8" s="37"/>
      <c r="D8" s="37"/>
      <c r="E8" s="38"/>
      <c r="F8" s="38"/>
      <c r="G8" s="38"/>
      <c r="H8" s="38"/>
      <c r="I8" s="38"/>
      <c r="J8" s="38"/>
      <c r="K8" s="38"/>
      <c r="L8" s="38"/>
      <c r="M8" s="38"/>
      <c r="N8" s="38"/>
      <c r="O8" s="38"/>
      <c r="P8" s="38"/>
      <c r="Q8" s="38"/>
      <c r="R8" s="38"/>
      <c r="S8" s="38"/>
      <c r="T8" s="38"/>
      <c r="U8" s="38"/>
      <c r="V8" s="38"/>
      <c r="W8" s="38"/>
      <c r="X8" s="38"/>
      <c r="Y8" s="38"/>
      <c r="Z8" s="38"/>
      <c r="AA8" s="38"/>
      <c r="AB8" s="38"/>
      <c r="AC8" s="38"/>
      <c r="AD8" s="38"/>
      <c r="AE8" s="38"/>
      <c r="AF8" s="38"/>
      <c r="AG8" s="126">
        <f>SUM(C8:AF8)</f>
        <v>0</v>
      </c>
    </row>
    <row r="9" spans="1:33" ht="23.25" customHeight="1" x14ac:dyDescent="0.2">
      <c r="A9" s="431" t="s">
        <v>189</v>
      </c>
      <c r="B9" s="431"/>
      <c r="C9" s="37"/>
      <c r="D9" s="37"/>
      <c r="E9" s="38"/>
      <c r="F9" s="38"/>
      <c r="G9" s="38"/>
      <c r="H9" s="38"/>
      <c r="I9" s="38"/>
      <c r="J9" s="38"/>
      <c r="K9" s="38"/>
      <c r="L9" s="38"/>
      <c r="M9" s="38"/>
      <c r="N9" s="38"/>
      <c r="O9" s="38"/>
      <c r="P9" s="38"/>
      <c r="Q9" s="38"/>
      <c r="R9" s="38"/>
      <c r="S9" s="38"/>
      <c r="T9" s="38"/>
      <c r="U9" s="38"/>
      <c r="V9" s="38"/>
      <c r="W9" s="38"/>
      <c r="X9" s="38"/>
      <c r="Y9" s="38"/>
      <c r="Z9" s="38"/>
      <c r="AA9" s="38"/>
      <c r="AB9" s="38"/>
      <c r="AC9" s="38"/>
      <c r="AD9" s="38"/>
      <c r="AE9" s="38"/>
      <c r="AF9" s="38"/>
      <c r="AG9" s="126">
        <f>SUM(C9:AF9)</f>
        <v>0</v>
      </c>
    </row>
    <row r="10" spans="1:33" ht="23.25" customHeight="1" x14ac:dyDescent="0.2">
      <c r="A10" s="431" t="s">
        <v>190</v>
      </c>
      <c r="B10" s="431"/>
      <c r="C10" s="37"/>
      <c r="D10" s="37"/>
      <c r="E10" s="38"/>
      <c r="F10" s="38"/>
      <c r="G10" s="38"/>
      <c r="H10" s="38"/>
      <c r="I10" s="38"/>
      <c r="J10" s="38"/>
      <c r="K10" s="38"/>
      <c r="L10" s="38"/>
      <c r="M10" s="38"/>
      <c r="N10" s="38"/>
      <c r="O10" s="38"/>
      <c r="P10" s="38"/>
      <c r="Q10" s="38"/>
      <c r="R10" s="38"/>
      <c r="S10" s="38"/>
      <c r="T10" s="38"/>
      <c r="U10" s="38"/>
      <c r="V10" s="38"/>
      <c r="W10" s="38"/>
      <c r="X10" s="38"/>
      <c r="Y10" s="38"/>
      <c r="Z10" s="38"/>
      <c r="AA10" s="38"/>
      <c r="AB10" s="38"/>
      <c r="AC10" s="38"/>
      <c r="AD10" s="38"/>
      <c r="AE10" s="38"/>
      <c r="AF10" s="38"/>
      <c r="AG10" s="126">
        <f>SUM(C10:AF10)</f>
        <v>0</v>
      </c>
    </row>
    <row r="11" spans="1:33" ht="23.25" customHeight="1" x14ac:dyDescent="0.2">
      <c r="A11" s="431" t="s">
        <v>122</v>
      </c>
      <c r="B11" s="431"/>
      <c r="C11" s="37"/>
      <c r="D11" s="37"/>
      <c r="E11" s="38"/>
      <c r="F11" s="38"/>
      <c r="G11" s="38"/>
      <c r="H11" s="38"/>
      <c r="I11" s="38"/>
      <c r="J11" s="38"/>
      <c r="K11" s="38"/>
      <c r="L11" s="38"/>
      <c r="M11" s="38"/>
      <c r="N11" s="38"/>
      <c r="O11" s="38"/>
      <c r="P11" s="38"/>
      <c r="Q11" s="38"/>
      <c r="R11" s="38"/>
      <c r="S11" s="38"/>
      <c r="T11" s="38"/>
      <c r="U11" s="38"/>
      <c r="V11" s="38"/>
      <c r="W11" s="38"/>
      <c r="X11" s="38"/>
      <c r="Y11" s="38"/>
      <c r="Z11" s="38"/>
      <c r="AA11" s="38"/>
      <c r="AB11" s="38"/>
      <c r="AC11" s="38"/>
      <c r="AD11" s="38"/>
      <c r="AE11" s="38"/>
      <c r="AF11" s="38"/>
      <c r="AG11" s="126">
        <f>SUM(C11:AF11)</f>
        <v>0</v>
      </c>
    </row>
    <row r="12" spans="1:33" ht="23.25" customHeight="1" x14ac:dyDescent="0.2">
      <c r="A12" s="431" t="s">
        <v>123</v>
      </c>
      <c r="B12" s="431"/>
      <c r="C12" s="37"/>
      <c r="D12" s="37"/>
      <c r="E12" s="38"/>
      <c r="F12" s="38"/>
      <c r="G12" s="38"/>
      <c r="H12" s="38"/>
      <c r="I12" s="38"/>
      <c r="J12" s="38"/>
      <c r="K12" s="38"/>
      <c r="L12" s="38"/>
      <c r="M12" s="38"/>
      <c r="N12" s="38"/>
      <c r="O12" s="38"/>
      <c r="P12" s="38"/>
      <c r="Q12" s="38"/>
      <c r="R12" s="38"/>
      <c r="S12" s="38"/>
      <c r="T12" s="38"/>
      <c r="U12" s="38"/>
      <c r="V12" s="38"/>
      <c r="W12" s="38"/>
      <c r="X12" s="38"/>
      <c r="Y12" s="38"/>
      <c r="Z12" s="38"/>
      <c r="AA12" s="38"/>
      <c r="AB12" s="38"/>
      <c r="AC12" s="38"/>
      <c r="AD12" s="38"/>
      <c r="AE12" s="38"/>
      <c r="AF12" s="38"/>
      <c r="AG12" s="126">
        <f>SUM(C12:AF12)</f>
        <v>0</v>
      </c>
    </row>
    <row r="13" spans="1:33" ht="23.25" customHeight="1" x14ac:dyDescent="0.2">
      <c r="A13" s="431" t="s">
        <v>124</v>
      </c>
      <c r="B13" s="431"/>
      <c r="C13" s="38"/>
      <c r="D13" s="37"/>
      <c r="E13" s="37"/>
      <c r="F13" s="37"/>
      <c r="G13" s="37"/>
      <c r="H13" s="37"/>
      <c r="I13" s="37"/>
      <c r="J13" s="37"/>
      <c r="K13" s="37"/>
      <c r="L13" s="37"/>
      <c r="M13" s="37"/>
      <c r="N13" s="37"/>
      <c r="O13" s="37"/>
      <c r="P13" s="37"/>
      <c r="Q13" s="37"/>
      <c r="R13" s="37"/>
      <c r="S13" s="37"/>
      <c r="T13" s="37"/>
      <c r="U13" s="37"/>
      <c r="V13" s="37"/>
      <c r="W13" s="37"/>
      <c r="X13" s="37"/>
      <c r="Y13" s="37"/>
      <c r="Z13" s="37"/>
      <c r="AA13" s="37"/>
      <c r="AB13" s="37"/>
      <c r="AC13" s="37"/>
      <c r="AD13" s="37"/>
      <c r="AE13" s="37"/>
      <c r="AF13" s="37"/>
      <c r="AG13" s="67">
        <f>SUM(C13:AF13)</f>
        <v>0</v>
      </c>
    </row>
    <row r="14" spans="1:33" ht="23.25" customHeight="1" x14ac:dyDescent="0.2">
      <c r="A14" s="421" t="s">
        <v>125</v>
      </c>
      <c r="B14" s="422"/>
      <c r="C14" s="38"/>
      <c r="D14" s="37"/>
      <c r="E14" s="37"/>
      <c r="F14" s="37"/>
      <c r="G14" s="37"/>
      <c r="H14" s="37"/>
      <c r="I14" s="37"/>
      <c r="J14" s="37"/>
      <c r="K14" s="37"/>
      <c r="L14" s="37"/>
      <c r="M14" s="37"/>
      <c r="N14" s="37"/>
      <c r="O14" s="37"/>
      <c r="P14" s="37"/>
      <c r="Q14" s="37"/>
      <c r="R14" s="37"/>
      <c r="S14" s="37"/>
      <c r="T14" s="37"/>
      <c r="U14" s="37"/>
      <c r="V14" s="37"/>
      <c r="W14" s="37"/>
      <c r="X14" s="37"/>
      <c r="Y14" s="37"/>
      <c r="Z14" s="37"/>
      <c r="AA14" s="37"/>
      <c r="AB14" s="37"/>
      <c r="AC14" s="37"/>
      <c r="AD14" s="37"/>
      <c r="AE14" s="37"/>
      <c r="AF14" s="37"/>
      <c r="AG14" s="67">
        <f>SUM(C14:AF14)</f>
        <v>0</v>
      </c>
    </row>
    <row r="15" spans="1:33" ht="23.25" customHeight="1" x14ac:dyDescent="0.2">
      <c r="A15" s="421" t="s">
        <v>119</v>
      </c>
      <c r="B15" s="422"/>
      <c r="C15" s="38"/>
      <c r="D15" s="37"/>
      <c r="E15" s="37"/>
      <c r="F15" s="37"/>
      <c r="G15" s="37"/>
      <c r="H15" s="37"/>
      <c r="I15" s="37"/>
      <c r="J15" s="37"/>
      <c r="K15" s="37"/>
      <c r="L15" s="37"/>
      <c r="M15" s="37"/>
      <c r="N15" s="37"/>
      <c r="O15" s="37"/>
      <c r="P15" s="37"/>
      <c r="Q15" s="37"/>
      <c r="R15" s="37"/>
      <c r="S15" s="37"/>
      <c r="T15" s="37"/>
      <c r="U15" s="37"/>
      <c r="V15" s="37"/>
      <c r="W15" s="37"/>
      <c r="X15" s="37"/>
      <c r="Y15" s="37"/>
      <c r="Z15" s="37"/>
      <c r="AA15" s="37"/>
      <c r="AB15" s="37"/>
      <c r="AC15" s="37"/>
      <c r="AD15" s="37"/>
      <c r="AE15" s="37"/>
      <c r="AF15" s="37"/>
      <c r="AG15" s="67">
        <f>SUM(C15:AF15)</f>
        <v>0</v>
      </c>
    </row>
    <row r="16" spans="1:33" ht="23.25" customHeight="1" x14ac:dyDescent="0.2">
      <c r="A16" s="431" t="s">
        <v>191</v>
      </c>
      <c r="B16" s="431"/>
      <c r="C16" s="38"/>
      <c r="D16" s="37"/>
      <c r="E16" s="37"/>
      <c r="F16" s="37"/>
      <c r="G16" s="37"/>
      <c r="H16" s="37"/>
      <c r="I16" s="37"/>
      <c r="J16" s="37"/>
      <c r="K16" s="37"/>
      <c r="L16" s="37"/>
      <c r="M16" s="37"/>
      <c r="N16" s="37"/>
      <c r="O16" s="37"/>
      <c r="P16" s="37"/>
      <c r="Q16" s="37"/>
      <c r="R16" s="37"/>
      <c r="S16" s="37"/>
      <c r="T16" s="37"/>
      <c r="U16" s="37"/>
      <c r="V16" s="37"/>
      <c r="W16" s="37"/>
      <c r="X16" s="37"/>
      <c r="Y16" s="37"/>
      <c r="Z16" s="37"/>
      <c r="AA16" s="37"/>
      <c r="AB16" s="37"/>
      <c r="AC16" s="37"/>
      <c r="AD16" s="37"/>
      <c r="AE16" s="37"/>
      <c r="AF16" s="37"/>
      <c r="AG16" s="126">
        <f>SUM(C16:AF16)</f>
        <v>0</v>
      </c>
    </row>
    <row r="17" spans="1:33" ht="23.25" customHeight="1" x14ac:dyDescent="0.2">
      <c r="A17" s="431" t="s">
        <v>192</v>
      </c>
      <c r="B17" s="431"/>
      <c r="C17" s="38"/>
      <c r="D17" s="37"/>
      <c r="E17" s="37"/>
      <c r="F17" s="37"/>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67">
        <f>SUM(C17:AF17)</f>
        <v>0</v>
      </c>
    </row>
    <row r="18" spans="1:33" ht="21.75" customHeight="1" x14ac:dyDescent="0.2">
      <c r="A18" s="432"/>
      <c r="B18" s="433"/>
      <c r="C18" s="433"/>
      <c r="D18" s="433"/>
      <c r="E18" s="433"/>
      <c r="F18" s="433"/>
      <c r="G18" s="433"/>
      <c r="H18" s="433"/>
      <c r="I18" s="433"/>
      <c r="J18" s="433"/>
      <c r="K18" s="433"/>
      <c r="L18" s="433"/>
      <c r="M18" s="433"/>
      <c r="N18" s="433"/>
      <c r="O18" s="433"/>
      <c r="P18" s="433"/>
      <c r="Q18" s="433"/>
      <c r="R18" s="433"/>
      <c r="S18" s="433"/>
      <c r="T18" s="433"/>
      <c r="U18" s="433"/>
      <c r="V18" s="433"/>
      <c r="W18" s="433"/>
      <c r="X18" s="433"/>
      <c r="Y18" s="433"/>
      <c r="Z18" s="433"/>
      <c r="AA18" s="433"/>
      <c r="AB18" s="433"/>
      <c r="AC18" s="43"/>
      <c r="AD18" s="44"/>
      <c r="AE18" s="44"/>
      <c r="AF18" s="44"/>
      <c r="AG18" s="68">
        <f>SUM(AG3:AG17)</f>
        <v>0</v>
      </c>
    </row>
    <row r="19" spans="1:33" ht="21.75" customHeight="1" x14ac:dyDescent="0.2">
      <c r="A19" s="434"/>
      <c r="B19" s="435"/>
      <c r="C19" s="435"/>
      <c r="D19" s="435"/>
      <c r="E19" s="435"/>
      <c r="F19" s="435"/>
      <c r="G19" s="435"/>
      <c r="H19" s="435"/>
      <c r="I19" s="435"/>
      <c r="J19" s="435"/>
      <c r="K19" s="435"/>
      <c r="L19" s="435"/>
      <c r="M19" s="435"/>
      <c r="N19" s="435"/>
      <c r="O19" s="435"/>
      <c r="P19" s="435"/>
      <c r="Q19" s="435"/>
      <c r="R19" s="435"/>
      <c r="S19" s="435"/>
      <c r="T19" s="435"/>
      <c r="U19" s="435"/>
      <c r="V19" s="435"/>
      <c r="W19" s="435"/>
      <c r="X19" s="435"/>
      <c r="Y19" s="435"/>
      <c r="Z19" s="435"/>
      <c r="AA19" s="435"/>
      <c r="AB19" s="435"/>
      <c r="AC19" s="436" t="s">
        <v>2</v>
      </c>
      <c r="AD19" s="437"/>
      <c r="AE19" s="438">
        <v>0</v>
      </c>
      <c r="AF19" s="438"/>
      <c r="AG19" s="439"/>
    </row>
    <row r="20" spans="1:33" x14ac:dyDescent="0.2">
      <c r="A20" s="4"/>
      <c r="B20" s="4"/>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row>
  </sheetData>
  <mergeCells count="22">
    <mergeCell ref="A15:B15"/>
    <mergeCell ref="A17:B17"/>
    <mergeCell ref="A18:AB19"/>
    <mergeCell ref="AC19:AD19"/>
    <mergeCell ref="AE19:AG19"/>
    <mergeCell ref="A16:B16"/>
    <mergeCell ref="A14:B14"/>
    <mergeCell ref="A1:C1"/>
    <mergeCell ref="D1:AC1"/>
    <mergeCell ref="AD1:AG1"/>
    <mergeCell ref="A2:B2"/>
    <mergeCell ref="A3:B3"/>
    <mergeCell ref="A5:B5"/>
    <mergeCell ref="A4:B4"/>
    <mergeCell ref="A6:B6"/>
    <mergeCell ref="A7:B7"/>
    <mergeCell ref="A8:B8"/>
    <mergeCell ref="A12:B12"/>
    <mergeCell ref="A10:B10"/>
    <mergeCell ref="A13:B13"/>
    <mergeCell ref="A9:B9"/>
    <mergeCell ref="A11:B11"/>
  </mergeCells>
  <printOptions horizontalCentered="1" verticalCentered="1"/>
  <pageMargins left="0.39370078740157483" right="0.39370078740157483" top="0.74803149606299213" bottom="0.74803149606299213" header="0.31496062992125984" footer="0.51181102362204722"/>
  <pageSetup paperSize="9" scale="96" orientation="landscape" horizontalDpi="200" verticalDpi="200" r:id="rId1"/>
  <headerFooter>
    <oddFooter xml:space="preserve">&amp;C&amp;P de &amp;N&amp;Rwww.cpavitoria06.com   
info@cpavitoria06.com   </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tabColor rgb="FFFFFF00"/>
  </sheetPr>
  <dimension ref="A1:I51"/>
  <sheetViews>
    <sheetView workbookViewId="0">
      <selection activeCell="O13" sqref="O13"/>
    </sheetView>
  </sheetViews>
  <sheetFormatPr baseColWidth="10" defaultRowHeight="12.75" x14ac:dyDescent="0.2"/>
  <cols>
    <col min="1" max="1" width="23" style="5" customWidth="1"/>
    <col min="2" max="5" width="11.42578125" style="5"/>
    <col min="6" max="6" width="12.28515625" style="5" bestFit="1" customWidth="1"/>
    <col min="7" max="16384" width="11.42578125" style="5"/>
  </cols>
  <sheetData>
    <row r="1" spans="1:9" ht="72" customHeight="1" x14ac:dyDescent="0.2">
      <c r="A1" s="130"/>
      <c r="B1" s="149" t="s">
        <v>140</v>
      </c>
      <c r="C1" s="149"/>
      <c r="D1" s="149"/>
      <c r="E1" s="149"/>
      <c r="F1" s="149"/>
      <c r="G1" s="149"/>
      <c r="H1" s="150" t="s">
        <v>139</v>
      </c>
      <c r="I1" s="150"/>
    </row>
    <row r="2" spans="1:9" ht="27" customHeight="1" x14ac:dyDescent="0.2">
      <c r="A2" s="151" t="s">
        <v>141</v>
      </c>
      <c r="B2" s="151"/>
      <c r="C2" s="151"/>
      <c r="D2" s="151"/>
      <c r="E2" s="151"/>
      <c r="F2" s="151"/>
      <c r="G2" s="151"/>
      <c r="H2" s="151"/>
      <c r="I2" s="151"/>
    </row>
    <row r="4" spans="1:9" ht="12.75" customHeight="1" x14ac:dyDescent="0.2">
      <c r="A4" s="443" t="s">
        <v>149</v>
      </c>
      <c r="B4" s="444"/>
      <c r="C4" s="444"/>
      <c r="D4" s="444"/>
      <c r="E4" s="444"/>
      <c r="F4" s="444"/>
      <c r="G4" s="444"/>
      <c r="H4" s="444"/>
      <c r="I4" s="444"/>
    </row>
    <row r="5" spans="1:9" x14ac:dyDescent="0.2">
      <c r="A5" s="444"/>
      <c r="B5" s="444"/>
      <c r="C5" s="444"/>
      <c r="D5" s="444"/>
      <c r="E5" s="444"/>
      <c r="F5" s="444"/>
      <c r="G5" s="444"/>
      <c r="H5" s="444"/>
      <c r="I5" s="444"/>
    </row>
    <row r="8" spans="1:9" ht="23.25" customHeight="1" x14ac:dyDescent="0.2">
      <c r="E8" s="134" t="s">
        <v>143</v>
      </c>
      <c r="F8" s="132" t="s">
        <v>145</v>
      </c>
      <c r="G8" s="136"/>
      <c r="H8" s="136"/>
      <c r="I8" s="136"/>
    </row>
    <row r="9" spans="1:9" ht="13.5" customHeight="1" x14ac:dyDescent="0.2">
      <c r="A9" s="365" t="s">
        <v>138</v>
      </c>
      <c r="B9" s="366"/>
      <c r="C9" s="366"/>
      <c r="D9" s="367"/>
      <c r="E9" s="297"/>
      <c r="F9" s="442">
        <f>(E9+E11+E13)/3</f>
        <v>0</v>
      </c>
      <c r="G9" s="441"/>
      <c r="H9" s="441"/>
      <c r="I9" s="131"/>
    </row>
    <row r="10" spans="1:9" ht="13.5" customHeight="1" x14ac:dyDescent="0.2">
      <c r="A10" s="371"/>
      <c r="B10" s="372"/>
      <c r="C10" s="372"/>
      <c r="D10" s="373"/>
      <c r="E10" s="297"/>
      <c r="F10" s="442"/>
      <c r="G10" s="441"/>
      <c r="H10" s="441"/>
      <c r="I10" s="131"/>
    </row>
    <row r="11" spans="1:9" ht="13.5" customHeight="1" x14ac:dyDescent="0.2">
      <c r="A11" s="365" t="s">
        <v>147</v>
      </c>
      <c r="B11" s="366"/>
      <c r="C11" s="366"/>
      <c r="D11" s="367"/>
      <c r="E11" s="297"/>
      <c r="F11" s="442"/>
      <c r="G11" s="441"/>
      <c r="H11" s="441"/>
      <c r="I11" s="131"/>
    </row>
    <row r="12" spans="1:9" ht="13.5" customHeight="1" x14ac:dyDescent="0.2">
      <c r="A12" s="371"/>
      <c r="B12" s="372"/>
      <c r="C12" s="372"/>
      <c r="D12" s="373"/>
      <c r="E12" s="297"/>
      <c r="F12" s="442"/>
      <c r="G12" s="441"/>
      <c r="H12" s="441"/>
      <c r="I12" s="131"/>
    </row>
    <row r="13" spans="1:9" ht="13.5" customHeight="1" x14ac:dyDescent="0.2">
      <c r="A13" s="365" t="s">
        <v>142</v>
      </c>
      <c r="B13" s="366"/>
      <c r="C13" s="366"/>
      <c r="D13" s="367"/>
      <c r="E13" s="338"/>
      <c r="F13" s="442"/>
      <c r="G13" s="136"/>
      <c r="H13" s="136"/>
      <c r="I13" s="131"/>
    </row>
    <row r="14" spans="1:9" ht="13.5" customHeight="1" x14ac:dyDescent="0.2">
      <c r="A14" s="371"/>
      <c r="B14" s="372"/>
      <c r="C14" s="372"/>
      <c r="D14" s="373"/>
      <c r="E14" s="340"/>
      <c r="F14" s="442"/>
      <c r="G14" s="136"/>
      <c r="H14" s="136"/>
      <c r="I14" s="131"/>
    </row>
    <row r="15" spans="1:9" ht="13.5" customHeight="1" x14ac:dyDescent="0.2">
      <c r="A15" s="129"/>
      <c r="B15" s="129"/>
      <c r="C15" s="129"/>
      <c r="D15" s="129"/>
      <c r="E15" s="128"/>
      <c r="F15" s="128"/>
      <c r="G15" s="128"/>
      <c r="H15" s="128"/>
    </row>
    <row r="16" spans="1:9" x14ac:dyDescent="0.2">
      <c r="E16" s="440" t="s">
        <v>146</v>
      </c>
      <c r="F16" s="440"/>
      <c r="G16" s="440"/>
      <c r="H16" s="440"/>
      <c r="I16" s="440"/>
    </row>
    <row r="17" spans="1:9" x14ac:dyDescent="0.2">
      <c r="E17" s="135"/>
      <c r="F17" s="135"/>
      <c r="G17" s="135"/>
      <c r="H17" s="135"/>
      <c r="I17" s="135"/>
    </row>
    <row r="18" spans="1:9" x14ac:dyDescent="0.2">
      <c r="E18" s="135"/>
      <c r="F18" s="135"/>
      <c r="G18" s="135"/>
      <c r="H18" s="135"/>
      <c r="I18" s="135"/>
    </row>
    <row r="19" spans="1:9" x14ac:dyDescent="0.2">
      <c r="A19" s="445" t="s">
        <v>138</v>
      </c>
      <c r="B19" s="445"/>
      <c r="C19" s="445"/>
      <c r="D19" s="445" t="s">
        <v>150</v>
      </c>
      <c r="E19" s="445"/>
      <c r="F19" s="445"/>
      <c r="G19" s="445"/>
      <c r="H19" s="445"/>
      <c r="I19" s="445"/>
    </row>
    <row r="20" spans="1:9" x14ac:dyDescent="0.2">
      <c r="D20" s="445" t="s">
        <v>151</v>
      </c>
      <c r="E20" s="445"/>
      <c r="F20" s="445"/>
      <c r="G20" s="445"/>
      <c r="H20" s="445"/>
      <c r="I20" s="445"/>
    </row>
    <row r="21" spans="1:9" x14ac:dyDescent="0.2">
      <c r="D21" s="445" t="s">
        <v>152</v>
      </c>
      <c r="E21" s="445"/>
      <c r="F21" s="445"/>
      <c r="G21" s="445"/>
      <c r="H21" s="445"/>
      <c r="I21" s="445"/>
    </row>
    <row r="22" spans="1:9" x14ac:dyDescent="0.2">
      <c r="D22" s="137"/>
      <c r="E22" s="137"/>
      <c r="F22" s="137"/>
      <c r="G22" s="137"/>
      <c r="H22" s="137"/>
      <c r="I22" s="137"/>
    </row>
    <row r="23" spans="1:9" x14ac:dyDescent="0.2">
      <c r="A23" s="445" t="s">
        <v>147</v>
      </c>
      <c r="B23" s="445"/>
      <c r="C23" s="445"/>
      <c r="D23" s="445" t="s">
        <v>153</v>
      </c>
      <c r="E23" s="445"/>
      <c r="F23" s="445"/>
      <c r="G23" s="445"/>
      <c r="H23" s="445"/>
      <c r="I23" s="445"/>
    </row>
    <row r="24" spans="1:9" x14ac:dyDescent="0.2">
      <c r="A24" s="137"/>
      <c r="B24" s="137"/>
      <c r="C24" s="137"/>
      <c r="D24" s="445" t="s">
        <v>154</v>
      </c>
      <c r="E24" s="445"/>
      <c r="F24" s="445"/>
      <c r="G24" s="445"/>
      <c r="H24" s="445"/>
      <c r="I24" s="445"/>
    </row>
    <row r="25" spans="1:9" x14ac:dyDescent="0.2">
      <c r="A25" s="137"/>
      <c r="B25" s="137"/>
      <c r="C25" s="137"/>
      <c r="D25" s="445" t="s">
        <v>155</v>
      </c>
      <c r="E25" s="445"/>
      <c r="F25" s="445"/>
      <c r="G25" s="445"/>
      <c r="H25" s="445"/>
      <c r="I25" s="445"/>
    </row>
    <row r="26" spans="1:9" x14ac:dyDescent="0.2">
      <c r="A26" s="137"/>
      <c r="B26" s="137"/>
      <c r="C26" s="137"/>
      <c r="D26" s="137"/>
      <c r="E26" s="137"/>
      <c r="F26" s="137"/>
      <c r="G26" s="137"/>
      <c r="H26" s="137"/>
      <c r="I26" s="137"/>
    </row>
    <row r="27" spans="1:9" x14ac:dyDescent="0.2">
      <c r="A27" s="445" t="s">
        <v>142</v>
      </c>
      <c r="B27" s="445"/>
      <c r="C27" s="445"/>
      <c r="D27" s="445" t="s">
        <v>156</v>
      </c>
      <c r="E27" s="445"/>
      <c r="F27" s="445"/>
      <c r="G27" s="445"/>
      <c r="H27" s="445"/>
      <c r="I27" s="445"/>
    </row>
    <row r="28" spans="1:9" x14ac:dyDescent="0.2">
      <c r="D28" s="445" t="s">
        <v>157</v>
      </c>
      <c r="E28" s="445"/>
      <c r="F28" s="445"/>
      <c r="G28" s="445"/>
      <c r="H28" s="445"/>
      <c r="I28" s="445"/>
    </row>
    <row r="29" spans="1:9" x14ac:dyDescent="0.2">
      <c r="C29" s="138"/>
      <c r="D29" s="138"/>
      <c r="E29" s="138"/>
      <c r="F29" s="138"/>
    </row>
    <row r="30" spans="1:9" x14ac:dyDescent="0.2">
      <c r="A30" s="133" t="s">
        <v>144</v>
      </c>
      <c r="B30" s="61"/>
    </row>
    <row r="32" spans="1:9" x14ac:dyDescent="0.2">
      <c r="A32" s="297"/>
      <c r="B32" s="297"/>
      <c r="C32" s="297"/>
      <c r="D32" s="297"/>
      <c r="E32" s="297"/>
      <c r="F32" s="297"/>
      <c r="G32" s="297"/>
      <c r="H32" s="297"/>
      <c r="I32" s="297"/>
    </row>
    <row r="33" spans="1:9" x14ac:dyDescent="0.2">
      <c r="A33" s="297"/>
      <c r="B33" s="297"/>
      <c r="C33" s="297"/>
      <c r="D33" s="297"/>
      <c r="E33" s="297"/>
      <c r="F33" s="297"/>
      <c r="G33" s="297"/>
      <c r="H33" s="297"/>
      <c r="I33" s="297"/>
    </row>
    <row r="34" spans="1:9" x14ac:dyDescent="0.2">
      <c r="A34" s="297"/>
      <c r="B34" s="297"/>
      <c r="C34" s="297"/>
      <c r="D34" s="297"/>
      <c r="E34" s="297"/>
      <c r="F34" s="297"/>
      <c r="G34" s="297"/>
      <c r="H34" s="297"/>
      <c r="I34" s="297"/>
    </row>
    <row r="35" spans="1:9" x14ac:dyDescent="0.2">
      <c r="A35" s="297"/>
      <c r="B35" s="297"/>
      <c r="C35" s="297"/>
      <c r="D35" s="297"/>
      <c r="E35" s="297"/>
      <c r="F35" s="297"/>
      <c r="G35" s="297"/>
      <c r="H35" s="297"/>
      <c r="I35" s="297"/>
    </row>
    <row r="36" spans="1:9" x14ac:dyDescent="0.2">
      <c r="A36" s="297"/>
      <c r="B36" s="297"/>
      <c r="C36" s="297"/>
      <c r="D36" s="297"/>
      <c r="E36" s="297"/>
      <c r="F36" s="297"/>
      <c r="G36" s="297"/>
      <c r="H36" s="297"/>
      <c r="I36" s="297"/>
    </row>
    <row r="37" spans="1:9" x14ac:dyDescent="0.2">
      <c r="A37" s="297"/>
      <c r="B37" s="297"/>
      <c r="C37" s="297"/>
      <c r="D37" s="297"/>
      <c r="E37" s="297"/>
      <c r="F37" s="297"/>
      <c r="G37" s="297"/>
      <c r="H37" s="297"/>
      <c r="I37" s="297"/>
    </row>
    <row r="38" spans="1:9" x14ac:dyDescent="0.2">
      <c r="A38" s="297"/>
      <c r="B38" s="297"/>
      <c r="C38" s="297"/>
      <c r="D38" s="297"/>
      <c r="E38" s="297"/>
      <c r="F38" s="297"/>
      <c r="G38" s="297"/>
      <c r="H38" s="297"/>
      <c r="I38" s="297"/>
    </row>
    <row r="39" spans="1:9" x14ac:dyDescent="0.2">
      <c r="A39" s="297"/>
      <c r="B39" s="297"/>
      <c r="C39" s="297"/>
      <c r="D39" s="297"/>
      <c r="E39" s="297"/>
      <c r="F39" s="297"/>
      <c r="G39" s="297"/>
      <c r="H39" s="297"/>
      <c r="I39" s="297"/>
    </row>
    <row r="40" spans="1:9" x14ac:dyDescent="0.2">
      <c r="A40" s="297"/>
      <c r="B40" s="297"/>
      <c r="C40" s="297"/>
      <c r="D40" s="297"/>
      <c r="E40" s="297"/>
      <c r="F40" s="297"/>
      <c r="G40" s="297"/>
      <c r="H40" s="297"/>
      <c r="I40" s="297"/>
    </row>
    <row r="41" spans="1:9" x14ac:dyDescent="0.2">
      <c r="A41" s="297"/>
      <c r="B41" s="297"/>
      <c r="C41" s="297"/>
      <c r="D41" s="297"/>
      <c r="E41" s="297"/>
      <c r="F41" s="297"/>
      <c r="G41" s="297"/>
      <c r="H41" s="297"/>
      <c r="I41" s="297"/>
    </row>
    <row r="42" spans="1:9" x14ac:dyDescent="0.2">
      <c r="A42" s="297"/>
      <c r="B42" s="297"/>
      <c r="C42" s="297"/>
      <c r="D42" s="297"/>
      <c r="E42" s="297"/>
      <c r="F42" s="297"/>
      <c r="G42" s="297"/>
      <c r="H42" s="297"/>
      <c r="I42" s="297"/>
    </row>
    <row r="43" spans="1:9" x14ac:dyDescent="0.2">
      <c r="A43" s="297"/>
      <c r="B43" s="297"/>
      <c r="C43" s="297"/>
      <c r="D43" s="297"/>
      <c r="E43" s="297"/>
      <c r="F43" s="297"/>
      <c r="G43" s="297"/>
      <c r="H43" s="297"/>
      <c r="I43" s="297"/>
    </row>
    <row r="44" spans="1:9" x14ac:dyDescent="0.2">
      <c r="A44" s="297"/>
      <c r="B44" s="297"/>
      <c r="C44" s="297"/>
      <c r="D44" s="297"/>
      <c r="E44" s="297"/>
      <c r="F44" s="297"/>
      <c r="G44" s="297"/>
      <c r="H44" s="297"/>
      <c r="I44" s="297"/>
    </row>
    <row r="45" spans="1:9" x14ac:dyDescent="0.2">
      <c r="A45" s="297"/>
      <c r="B45" s="297"/>
      <c r="C45" s="297"/>
      <c r="D45" s="297"/>
      <c r="E45" s="297"/>
      <c r="F45" s="297"/>
      <c r="G45" s="297"/>
      <c r="H45" s="297"/>
      <c r="I45" s="297"/>
    </row>
    <row r="46" spans="1:9" x14ac:dyDescent="0.2">
      <c r="A46" s="297"/>
      <c r="B46" s="297"/>
      <c r="C46" s="297"/>
      <c r="D46" s="297"/>
      <c r="E46" s="297"/>
      <c r="F46" s="297"/>
      <c r="G46" s="297"/>
      <c r="H46" s="297"/>
      <c r="I46" s="297"/>
    </row>
    <row r="51" spans="1:5" ht="20.25" x14ac:dyDescent="0.2">
      <c r="A51" s="446" t="s">
        <v>148</v>
      </c>
      <c r="B51" s="446"/>
      <c r="C51" s="446"/>
      <c r="D51" s="446"/>
      <c r="E51" s="446"/>
    </row>
  </sheetData>
  <mergeCells count="29">
    <mergeCell ref="A51:E51"/>
    <mergeCell ref="D24:I24"/>
    <mergeCell ref="D25:I25"/>
    <mergeCell ref="A27:C27"/>
    <mergeCell ref="D27:I27"/>
    <mergeCell ref="D28:I28"/>
    <mergeCell ref="A32:I46"/>
    <mergeCell ref="A19:C19"/>
    <mergeCell ref="D19:I19"/>
    <mergeCell ref="D20:I20"/>
    <mergeCell ref="D21:I21"/>
    <mergeCell ref="A23:C23"/>
    <mergeCell ref="D23:I23"/>
    <mergeCell ref="B1:G1"/>
    <mergeCell ref="H1:I1"/>
    <mergeCell ref="A2:I2"/>
    <mergeCell ref="E16:I16"/>
    <mergeCell ref="G9:G10"/>
    <mergeCell ref="H9:H10"/>
    <mergeCell ref="E11:E12"/>
    <mergeCell ref="G11:G12"/>
    <mergeCell ref="H11:H12"/>
    <mergeCell ref="F9:F14"/>
    <mergeCell ref="A4:I5"/>
    <mergeCell ref="A9:D10"/>
    <mergeCell ref="A11:D12"/>
    <mergeCell ref="E9:E10"/>
    <mergeCell ref="A13:D14"/>
    <mergeCell ref="E13:E14"/>
  </mergeCells>
  <pageMargins left="0.25" right="0.25" top="0.75" bottom="0.75" header="0.3" footer="0.3"/>
  <pageSetup paperSize="9" scale="85"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CA619"/>
  <sheetViews>
    <sheetView workbookViewId="0">
      <selection activeCell="X6" sqref="X6"/>
    </sheetView>
  </sheetViews>
  <sheetFormatPr baseColWidth="10" defaultRowHeight="12.75" x14ac:dyDescent="0.2"/>
  <cols>
    <col min="1" max="1" width="12.28515625" style="142" customWidth="1"/>
    <col min="2" max="3" width="6.42578125" style="5" customWidth="1"/>
    <col min="4" max="4" width="10.140625" style="5" customWidth="1"/>
    <col min="5" max="5" width="8.28515625" style="5" customWidth="1"/>
    <col min="6" max="6" width="8.140625" style="5" customWidth="1"/>
    <col min="7" max="14" width="6.42578125" style="5" customWidth="1"/>
    <col min="15" max="15" width="5.28515625" style="5" customWidth="1"/>
    <col min="16" max="16" width="6.42578125" style="5" customWidth="1"/>
    <col min="17" max="17" width="10.7109375" style="5" customWidth="1"/>
    <col min="18" max="19" width="6.42578125" style="5" customWidth="1"/>
    <col min="20" max="20" width="6.5703125" style="5" customWidth="1"/>
    <col min="21" max="21" width="6.42578125" style="5" customWidth="1"/>
    <col min="22" max="22" width="8.5703125" style="5" customWidth="1"/>
    <col min="23" max="79" width="11.42578125" style="490"/>
    <col min="257" max="257" width="12.28515625" customWidth="1"/>
    <col min="258" max="259" width="6.42578125" customWidth="1"/>
    <col min="260" max="260" width="10.140625" customWidth="1"/>
    <col min="261" max="261" width="8.28515625" customWidth="1"/>
    <col min="262" max="262" width="8.140625" customWidth="1"/>
    <col min="263" max="270" width="6.42578125" customWidth="1"/>
    <col min="271" max="271" width="5.28515625" customWidth="1"/>
    <col min="272" max="272" width="6.42578125" customWidth="1"/>
    <col min="273" max="273" width="10.7109375" customWidth="1"/>
    <col min="274" max="275" width="6.42578125" customWidth="1"/>
    <col min="276" max="276" width="6.5703125" customWidth="1"/>
    <col min="277" max="277" width="6.42578125" customWidth="1"/>
    <col min="278" max="278" width="8.5703125" customWidth="1"/>
    <col min="513" max="513" width="12.28515625" customWidth="1"/>
    <col min="514" max="515" width="6.42578125" customWidth="1"/>
    <col min="516" max="516" width="10.140625" customWidth="1"/>
    <col min="517" max="517" width="8.28515625" customWidth="1"/>
    <col min="518" max="518" width="8.140625" customWidth="1"/>
    <col min="519" max="526" width="6.42578125" customWidth="1"/>
    <col min="527" max="527" width="5.28515625" customWidth="1"/>
    <col min="528" max="528" width="6.42578125" customWidth="1"/>
    <col min="529" max="529" width="10.7109375" customWidth="1"/>
    <col min="530" max="531" width="6.42578125" customWidth="1"/>
    <col min="532" max="532" width="6.5703125" customWidth="1"/>
    <col min="533" max="533" width="6.42578125" customWidth="1"/>
    <col min="534" max="534" width="8.5703125" customWidth="1"/>
    <col min="769" max="769" width="12.28515625" customWidth="1"/>
    <col min="770" max="771" width="6.42578125" customWidth="1"/>
    <col min="772" max="772" width="10.140625" customWidth="1"/>
    <col min="773" max="773" width="8.28515625" customWidth="1"/>
    <col min="774" max="774" width="8.140625" customWidth="1"/>
    <col min="775" max="782" width="6.42578125" customWidth="1"/>
    <col min="783" max="783" width="5.28515625" customWidth="1"/>
    <col min="784" max="784" width="6.42578125" customWidth="1"/>
    <col min="785" max="785" width="10.7109375" customWidth="1"/>
    <col min="786" max="787" width="6.42578125" customWidth="1"/>
    <col min="788" max="788" width="6.5703125" customWidth="1"/>
    <col min="789" max="789" width="6.42578125" customWidth="1"/>
    <col min="790" max="790" width="8.5703125" customWidth="1"/>
    <col min="1025" max="1025" width="12.28515625" customWidth="1"/>
    <col min="1026" max="1027" width="6.42578125" customWidth="1"/>
    <col min="1028" max="1028" width="10.140625" customWidth="1"/>
    <col min="1029" max="1029" width="8.28515625" customWidth="1"/>
    <col min="1030" max="1030" width="8.140625" customWidth="1"/>
    <col min="1031" max="1038" width="6.42578125" customWidth="1"/>
    <col min="1039" max="1039" width="5.28515625" customWidth="1"/>
    <col min="1040" max="1040" width="6.42578125" customWidth="1"/>
    <col min="1041" max="1041" width="10.7109375" customWidth="1"/>
    <col min="1042" max="1043" width="6.42578125" customWidth="1"/>
    <col min="1044" max="1044" width="6.5703125" customWidth="1"/>
    <col min="1045" max="1045" width="6.42578125" customWidth="1"/>
    <col min="1046" max="1046" width="8.5703125" customWidth="1"/>
    <col min="1281" max="1281" width="12.28515625" customWidth="1"/>
    <col min="1282" max="1283" width="6.42578125" customWidth="1"/>
    <col min="1284" max="1284" width="10.140625" customWidth="1"/>
    <col min="1285" max="1285" width="8.28515625" customWidth="1"/>
    <col min="1286" max="1286" width="8.140625" customWidth="1"/>
    <col min="1287" max="1294" width="6.42578125" customWidth="1"/>
    <col min="1295" max="1295" width="5.28515625" customWidth="1"/>
    <col min="1296" max="1296" width="6.42578125" customWidth="1"/>
    <col min="1297" max="1297" width="10.7109375" customWidth="1"/>
    <col min="1298" max="1299" width="6.42578125" customWidth="1"/>
    <col min="1300" max="1300" width="6.5703125" customWidth="1"/>
    <col min="1301" max="1301" width="6.42578125" customWidth="1"/>
    <col min="1302" max="1302" width="8.5703125" customWidth="1"/>
    <col min="1537" max="1537" width="12.28515625" customWidth="1"/>
    <col min="1538" max="1539" width="6.42578125" customWidth="1"/>
    <col min="1540" max="1540" width="10.140625" customWidth="1"/>
    <col min="1541" max="1541" width="8.28515625" customWidth="1"/>
    <col min="1542" max="1542" width="8.140625" customWidth="1"/>
    <col min="1543" max="1550" width="6.42578125" customWidth="1"/>
    <col min="1551" max="1551" width="5.28515625" customWidth="1"/>
    <col min="1552" max="1552" width="6.42578125" customWidth="1"/>
    <col min="1553" max="1553" width="10.7109375" customWidth="1"/>
    <col min="1554" max="1555" width="6.42578125" customWidth="1"/>
    <col min="1556" max="1556" width="6.5703125" customWidth="1"/>
    <col min="1557" max="1557" width="6.42578125" customWidth="1"/>
    <col min="1558" max="1558" width="8.5703125" customWidth="1"/>
    <col min="1793" max="1793" width="12.28515625" customWidth="1"/>
    <col min="1794" max="1795" width="6.42578125" customWidth="1"/>
    <col min="1796" max="1796" width="10.140625" customWidth="1"/>
    <col min="1797" max="1797" width="8.28515625" customWidth="1"/>
    <col min="1798" max="1798" width="8.140625" customWidth="1"/>
    <col min="1799" max="1806" width="6.42578125" customWidth="1"/>
    <col min="1807" max="1807" width="5.28515625" customWidth="1"/>
    <col min="1808" max="1808" width="6.42578125" customWidth="1"/>
    <col min="1809" max="1809" width="10.7109375" customWidth="1"/>
    <col min="1810" max="1811" width="6.42578125" customWidth="1"/>
    <col min="1812" max="1812" width="6.5703125" customWidth="1"/>
    <col min="1813" max="1813" width="6.42578125" customWidth="1"/>
    <col min="1814" max="1814" width="8.5703125" customWidth="1"/>
    <col min="2049" max="2049" width="12.28515625" customWidth="1"/>
    <col min="2050" max="2051" width="6.42578125" customWidth="1"/>
    <col min="2052" max="2052" width="10.140625" customWidth="1"/>
    <col min="2053" max="2053" width="8.28515625" customWidth="1"/>
    <col min="2054" max="2054" width="8.140625" customWidth="1"/>
    <col min="2055" max="2062" width="6.42578125" customWidth="1"/>
    <col min="2063" max="2063" width="5.28515625" customWidth="1"/>
    <col min="2064" max="2064" width="6.42578125" customWidth="1"/>
    <col min="2065" max="2065" width="10.7109375" customWidth="1"/>
    <col min="2066" max="2067" width="6.42578125" customWidth="1"/>
    <col min="2068" max="2068" width="6.5703125" customWidth="1"/>
    <col min="2069" max="2069" width="6.42578125" customWidth="1"/>
    <col min="2070" max="2070" width="8.5703125" customWidth="1"/>
    <col min="2305" max="2305" width="12.28515625" customWidth="1"/>
    <col min="2306" max="2307" width="6.42578125" customWidth="1"/>
    <col min="2308" max="2308" width="10.140625" customWidth="1"/>
    <col min="2309" max="2309" width="8.28515625" customWidth="1"/>
    <col min="2310" max="2310" width="8.140625" customWidth="1"/>
    <col min="2311" max="2318" width="6.42578125" customWidth="1"/>
    <col min="2319" max="2319" width="5.28515625" customWidth="1"/>
    <col min="2320" max="2320" width="6.42578125" customWidth="1"/>
    <col min="2321" max="2321" width="10.7109375" customWidth="1"/>
    <col min="2322" max="2323" width="6.42578125" customWidth="1"/>
    <col min="2324" max="2324" width="6.5703125" customWidth="1"/>
    <col min="2325" max="2325" width="6.42578125" customWidth="1"/>
    <col min="2326" max="2326" width="8.5703125" customWidth="1"/>
    <col min="2561" max="2561" width="12.28515625" customWidth="1"/>
    <col min="2562" max="2563" width="6.42578125" customWidth="1"/>
    <col min="2564" max="2564" width="10.140625" customWidth="1"/>
    <col min="2565" max="2565" width="8.28515625" customWidth="1"/>
    <col min="2566" max="2566" width="8.140625" customWidth="1"/>
    <col min="2567" max="2574" width="6.42578125" customWidth="1"/>
    <col min="2575" max="2575" width="5.28515625" customWidth="1"/>
    <col min="2576" max="2576" width="6.42578125" customWidth="1"/>
    <col min="2577" max="2577" width="10.7109375" customWidth="1"/>
    <col min="2578" max="2579" width="6.42578125" customWidth="1"/>
    <col min="2580" max="2580" width="6.5703125" customWidth="1"/>
    <col min="2581" max="2581" width="6.42578125" customWidth="1"/>
    <col min="2582" max="2582" width="8.5703125" customWidth="1"/>
    <col min="2817" max="2817" width="12.28515625" customWidth="1"/>
    <col min="2818" max="2819" width="6.42578125" customWidth="1"/>
    <col min="2820" max="2820" width="10.140625" customWidth="1"/>
    <col min="2821" max="2821" width="8.28515625" customWidth="1"/>
    <col min="2822" max="2822" width="8.140625" customWidth="1"/>
    <col min="2823" max="2830" width="6.42578125" customWidth="1"/>
    <col min="2831" max="2831" width="5.28515625" customWidth="1"/>
    <col min="2832" max="2832" width="6.42578125" customWidth="1"/>
    <col min="2833" max="2833" width="10.7109375" customWidth="1"/>
    <col min="2834" max="2835" width="6.42578125" customWidth="1"/>
    <col min="2836" max="2836" width="6.5703125" customWidth="1"/>
    <col min="2837" max="2837" width="6.42578125" customWidth="1"/>
    <col min="2838" max="2838" width="8.5703125" customWidth="1"/>
    <col min="3073" max="3073" width="12.28515625" customWidth="1"/>
    <col min="3074" max="3075" width="6.42578125" customWidth="1"/>
    <col min="3076" max="3076" width="10.140625" customWidth="1"/>
    <col min="3077" max="3077" width="8.28515625" customWidth="1"/>
    <col min="3078" max="3078" width="8.140625" customWidth="1"/>
    <col min="3079" max="3086" width="6.42578125" customWidth="1"/>
    <col min="3087" max="3087" width="5.28515625" customWidth="1"/>
    <col min="3088" max="3088" width="6.42578125" customWidth="1"/>
    <col min="3089" max="3089" width="10.7109375" customWidth="1"/>
    <col min="3090" max="3091" width="6.42578125" customWidth="1"/>
    <col min="3092" max="3092" width="6.5703125" customWidth="1"/>
    <col min="3093" max="3093" width="6.42578125" customWidth="1"/>
    <col min="3094" max="3094" width="8.5703125" customWidth="1"/>
    <col min="3329" max="3329" width="12.28515625" customWidth="1"/>
    <col min="3330" max="3331" width="6.42578125" customWidth="1"/>
    <col min="3332" max="3332" width="10.140625" customWidth="1"/>
    <col min="3333" max="3333" width="8.28515625" customWidth="1"/>
    <col min="3334" max="3334" width="8.140625" customWidth="1"/>
    <col min="3335" max="3342" width="6.42578125" customWidth="1"/>
    <col min="3343" max="3343" width="5.28515625" customWidth="1"/>
    <col min="3344" max="3344" width="6.42578125" customWidth="1"/>
    <col min="3345" max="3345" width="10.7109375" customWidth="1"/>
    <col min="3346" max="3347" width="6.42578125" customWidth="1"/>
    <col min="3348" max="3348" width="6.5703125" customWidth="1"/>
    <col min="3349" max="3349" width="6.42578125" customWidth="1"/>
    <col min="3350" max="3350" width="8.5703125" customWidth="1"/>
    <col min="3585" max="3585" width="12.28515625" customWidth="1"/>
    <col min="3586" max="3587" width="6.42578125" customWidth="1"/>
    <col min="3588" max="3588" width="10.140625" customWidth="1"/>
    <col min="3589" max="3589" width="8.28515625" customWidth="1"/>
    <col min="3590" max="3590" width="8.140625" customWidth="1"/>
    <col min="3591" max="3598" width="6.42578125" customWidth="1"/>
    <col min="3599" max="3599" width="5.28515625" customWidth="1"/>
    <col min="3600" max="3600" width="6.42578125" customWidth="1"/>
    <col min="3601" max="3601" width="10.7109375" customWidth="1"/>
    <col min="3602" max="3603" width="6.42578125" customWidth="1"/>
    <col min="3604" max="3604" width="6.5703125" customWidth="1"/>
    <col min="3605" max="3605" width="6.42578125" customWidth="1"/>
    <col min="3606" max="3606" width="8.5703125" customWidth="1"/>
    <col min="3841" max="3841" width="12.28515625" customWidth="1"/>
    <col min="3842" max="3843" width="6.42578125" customWidth="1"/>
    <col min="3844" max="3844" width="10.140625" customWidth="1"/>
    <col min="3845" max="3845" width="8.28515625" customWidth="1"/>
    <col min="3846" max="3846" width="8.140625" customWidth="1"/>
    <col min="3847" max="3854" width="6.42578125" customWidth="1"/>
    <col min="3855" max="3855" width="5.28515625" customWidth="1"/>
    <col min="3856" max="3856" width="6.42578125" customWidth="1"/>
    <col min="3857" max="3857" width="10.7109375" customWidth="1"/>
    <col min="3858" max="3859" width="6.42578125" customWidth="1"/>
    <col min="3860" max="3860" width="6.5703125" customWidth="1"/>
    <col min="3861" max="3861" width="6.42578125" customWidth="1"/>
    <col min="3862" max="3862" width="8.5703125" customWidth="1"/>
    <col min="4097" max="4097" width="12.28515625" customWidth="1"/>
    <col min="4098" max="4099" width="6.42578125" customWidth="1"/>
    <col min="4100" max="4100" width="10.140625" customWidth="1"/>
    <col min="4101" max="4101" width="8.28515625" customWidth="1"/>
    <col min="4102" max="4102" width="8.140625" customWidth="1"/>
    <col min="4103" max="4110" width="6.42578125" customWidth="1"/>
    <col min="4111" max="4111" width="5.28515625" customWidth="1"/>
    <col min="4112" max="4112" width="6.42578125" customWidth="1"/>
    <col min="4113" max="4113" width="10.7109375" customWidth="1"/>
    <col min="4114" max="4115" width="6.42578125" customWidth="1"/>
    <col min="4116" max="4116" width="6.5703125" customWidth="1"/>
    <col min="4117" max="4117" width="6.42578125" customWidth="1"/>
    <col min="4118" max="4118" width="8.5703125" customWidth="1"/>
    <col min="4353" max="4353" width="12.28515625" customWidth="1"/>
    <col min="4354" max="4355" width="6.42578125" customWidth="1"/>
    <col min="4356" max="4356" width="10.140625" customWidth="1"/>
    <col min="4357" max="4357" width="8.28515625" customWidth="1"/>
    <col min="4358" max="4358" width="8.140625" customWidth="1"/>
    <col min="4359" max="4366" width="6.42578125" customWidth="1"/>
    <col min="4367" max="4367" width="5.28515625" customWidth="1"/>
    <col min="4368" max="4368" width="6.42578125" customWidth="1"/>
    <col min="4369" max="4369" width="10.7109375" customWidth="1"/>
    <col min="4370" max="4371" width="6.42578125" customWidth="1"/>
    <col min="4372" max="4372" width="6.5703125" customWidth="1"/>
    <col min="4373" max="4373" width="6.42578125" customWidth="1"/>
    <col min="4374" max="4374" width="8.5703125" customWidth="1"/>
    <col min="4609" max="4609" width="12.28515625" customWidth="1"/>
    <col min="4610" max="4611" width="6.42578125" customWidth="1"/>
    <col min="4612" max="4612" width="10.140625" customWidth="1"/>
    <col min="4613" max="4613" width="8.28515625" customWidth="1"/>
    <col min="4614" max="4614" width="8.140625" customWidth="1"/>
    <col min="4615" max="4622" width="6.42578125" customWidth="1"/>
    <col min="4623" max="4623" width="5.28515625" customWidth="1"/>
    <col min="4624" max="4624" width="6.42578125" customWidth="1"/>
    <col min="4625" max="4625" width="10.7109375" customWidth="1"/>
    <col min="4626" max="4627" width="6.42578125" customWidth="1"/>
    <col min="4628" max="4628" width="6.5703125" customWidth="1"/>
    <col min="4629" max="4629" width="6.42578125" customWidth="1"/>
    <col min="4630" max="4630" width="8.5703125" customWidth="1"/>
    <col min="4865" max="4865" width="12.28515625" customWidth="1"/>
    <col min="4866" max="4867" width="6.42578125" customWidth="1"/>
    <col min="4868" max="4868" width="10.140625" customWidth="1"/>
    <col min="4869" max="4869" width="8.28515625" customWidth="1"/>
    <col min="4870" max="4870" width="8.140625" customWidth="1"/>
    <col min="4871" max="4878" width="6.42578125" customWidth="1"/>
    <col min="4879" max="4879" width="5.28515625" customWidth="1"/>
    <col min="4880" max="4880" width="6.42578125" customWidth="1"/>
    <col min="4881" max="4881" width="10.7109375" customWidth="1"/>
    <col min="4882" max="4883" width="6.42578125" customWidth="1"/>
    <col min="4884" max="4884" width="6.5703125" customWidth="1"/>
    <col min="4885" max="4885" width="6.42578125" customWidth="1"/>
    <col min="4886" max="4886" width="8.5703125" customWidth="1"/>
    <col min="5121" max="5121" width="12.28515625" customWidth="1"/>
    <col min="5122" max="5123" width="6.42578125" customWidth="1"/>
    <col min="5124" max="5124" width="10.140625" customWidth="1"/>
    <col min="5125" max="5125" width="8.28515625" customWidth="1"/>
    <col min="5126" max="5126" width="8.140625" customWidth="1"/>
    <col min="5127" max="5134" width="6.42578125" customWidth="1"/>
    <col min="5135" max="5135" width="5.28515625" customWidth="1"/>
    <col min="5136" max="5136" width="6.42578125" customWidth="1"/>
    <col min="5137" max="5137" width="10.7109375" customWidth="1"/>
    <col min="5138" max="5139" width="6.42578125" customWidth="1"/>
    <col min="5140" max="5140" width="6.5703125" customWidth="1"/>
    <col min="5141" max="5141" width="6.42578125" customWidth="1"/>
    <col min="5142" max="5142" width="8.5703125" customWidth="1"/>
    <col min="5377" max="5377" width="12.28515625" customWidth="1"/>
    <col min="5378" max="5379" width="6.42578125" customWidth="1"/>
    <col min="5380" max="5380" width="10.140625" customWidth="1"/>
    <col min="5381" max="5381" width="8.28515625" customWidth="1"/>
    <col min="5382" max="5382" width="8.140625" customWidth="1"/>
    <col min="5383" max="5390" width="6.42578125" customWidth="1"/>
    <col min="5391" max="5391" width="5.28515625" customWidth="1"/>
    <col min="5392" max="5392" width="6.42578125" customWidth="1"/>
    <col min="5393" max="5393" width="10.7109375" customWidth="1"/>
    <col min="5394" max="5395" width="6.42578125" customWidth="1"/>
    <col min="5396" max="5396" width="6.5703125" customWidth="1"/>
    <col min="5397" max="5397" width="6.42578125" customWidth="1"/>
    <col min="5398" max="5398" width="8.5703125" customWidth="1"/>
    <col min="5633" max="5633" width="12.28515625" customWidth="1"/>
    <col min="5634" max="5635" width="6.42578125" customWidth="1"/>
    <col min="5636" max="5636" width="10.140625" customWidth="1"/>
    <col min="5637" max="5637" width="8.28515625" customWidth="1"/>
    <col min="5638" max="5638" width="8.140625" customWidth="1"/>
    <col min="5639" max="5646" width="6.42578125" customWidth="1"/>
    <col min="5647" max="5647" width="5.28515625" customWidth="1"/>
    <col min="5648" max="5648" width="6.42578125" customWidth="1"/>
    <col min="5649" max="5649" width="10.7109375" customWidth="1"/>
    <col min="5650" max="5651" width="6.42578125" customWidth="1"/>
    <col min="5652" max="5652" width="6.5703125" customWidth="1"/>
    <col min="5653" max="5653" width="6.42578125" customWidth="1"/>
    <col min="5654" max="5654" width="8.5703125" customWidth="1"/>
    <col min="5889" max="5889" width="12.28515625" customWidth="1"/>
    <col min="5890" max="5891" width="6.42578125" customWidth="1"/>
    <col min="5892" max="5892" width="10.140625" customWidth="1"/>
    <col min="5893" max="5893" width="8.28515625" customWidth="1"/>
    <col min="5894" max="5894" width="8.140625" customWidth="1"/>
    <col min="5895" max="5902" width="6.42578125" customWidth="1"/>
    <col min="5903" max="5903" width="5.28515625" customWidth="1"/>
    <col min="5904" max="5904" width="6.42578125" customWidth="1"/>
    <col min="5905" max="5905" width="10.7109375" customWidth="1"/>
    <col min="5906" max="5907" width="6.42578125" customWidth="1"/>
    <col min="5908" max="5908" width="6.5703125" customWidth="1"/>
    <col min="5909" max="5909" width="6.42578125" customWidth="1"/>
    <col min="5910" max="5910" width="8.5703125" customWidth="1"/>
    <col min="6145" max="6145" width="12.28515625" customWidth="1"/>
    <col min="6146" max="6147" width="6.42578125" customWidth="1"/>
    <col min="6148" max="6148" width="10.140625" customWidth="1"/>
    <col min="6149" max="6149" width="8.28515625" customWidth="1"/>
    <col min="6150" max="6150" width="8.140625" customWidth="1"/>
    <col min="6151" max="6158" width="6.42578125" customWidth="1"/>
    <col min="6159" max="6159" width="5.28515625" customWidth="1"/>
    <col min="6160" max="6160" width="6.42578125" customWidth="1"/>
    <col min="6161" max="6161" width="10.7109375" customWidth="1"/>
    <col min="6162" max="6163" width="6.42578125" customWidth="1"/>
    <col min="6164" max="6164" width="6.5703125" customWidth="1"/>
    <col min="6165" max="6165" width="6.42578125" customWidth="1"/>
    <col min="6166" max="6166" width="8.5703125" customWidth="1"/>
    <col min="6401" max="6401" width="12.28515625" customWidth="1"/>
    <col min="6402" max="6403" width="6.42578125" customWidth="1"/>
    <col min="6404" max="6404" width="10.140625" customWidth="1"/>
    <col min="6405" max="6405" width="8.28515625" customWidth="1"/>
    <col min="6406" max="6406" width="8.140625" customWidth="1"/>
    <col min="6407" max="6414" width="6.42578125" customWidth="1"/>
    <col min="6415" max="6415" width="5.28515625" customWidth="1"/>
    <col min="6416" max="6416" width="6.42578125" customWidth="1"/>
    <col min="6417" max="6417" width="10.7109375" customWidth="1"/>
    <col min="6418" max="6419" width="6.42578125" customWidth="1"/>
    <col min="6420" max="6420" width="6.5703125" customWidth="1"/>
    <col min="6421" max="6421" width="6.42578125" customWidth="1"/>
    <col min="6422" max="6422" width="8.5703125" customWidth="1"/>
    <col min="6657" max="6657" width="12.28515625" customWidth="1"/>
    <col min="6658" max="6659" width="6.42578125" customWidth="1"/>
    <col min="6660" max="6660" width="10.140625" customWidth="1"/>
    <col min="6661" max="6661" width="8.28515625" customWidth="1"/>
    <col min="6662" max="6662" width="8.140625" customWidth="1"/>
    <col min="6663" max="6670" width="6.42578125" customWidth="1"/>
    <col min="6671" max="6671" width="5.28515625" customWidth="1"/>
    <col min="6672" max="6672" width="6.42578125" customWidth="1"/>
    <col min="6673" max="6673" width="10.7109375" customWidth="1"/>
    <col min="6674" max="6675" width="6.42578125" customWidth="1"/>
    <col min="6676" max="6676" width="6.5703125" customWidth="1"/>
    <col min="6677" max="6677" width="6.42578125" customWidth="1"/>
    <col min="6678" max="6678" width="8.5703125" customWidth="1"/>
    <col min="6913" max="6913" width="12.28515625" customWidth="1"/>
    <col min="6914" max="6915" width="6.42578125" customWidth="1"/>
    <col min="6916" max="6916" width="10.140625" customWidth="1"/>
    <col min="6917" max="6917" width="8.28515625" customWidth="1"/>
    <col min="6918" max="6918" width="8.140625" customWidth="1"/>
    <col min="6919" max="6926" width="6.42578125" customWidth="1"/>
    <col min="6927" max="6927" width="5.28515625" customWidth="1"/>
    <col min="6928" max="6928" width="6.42578125" customWidth="1"/>
    <col min="6929" max="6929" width="10.7109375" customWidth="1"/>
    <col min="6930" max="6931" width="6.42578125" customWidth="1"/>
    <col min="6932" max="6932" width="6.5703125" customWidth="1"/>
    <col min="6933" max="6933" width="6.42578125" customWidth="1"/>
    <col min="6934" max="6934" width="8.5703125" customWidth="1"/>
    <col min="7169" max="7169" width="12.28515625" customWidth="1"/>
    <col min="7170" max="7171" width="6.42578125" customWidth="1"/>
    <col min="7172" max="7172" width="10.140625" customWidth="1"/>
    <col min="7173" max="7173" width="8.28515625" customWidth="1"/>
    <col min="7174" max="7174" width="8.140625" customWidth="1"/>
    <col min="7175" max="7182" width="6.42578125" customWidth="1"/>
    <col min="7183" max="7183" width="5.28515625" customWidth="1"/>
    <col min="7184" max="7184" width="6.42578125" customWidth="1"/>
    <col min="7185" max="7185" width="10.7109375" customWidth="1"/>
    <col min="7186" max="7187" width="6.42578125" customWidth="1"/>
    <col min="7188" max="7188" width="6.5703125" customWidth="1"/>
    <col min="7189" max="7189" width="6.42578125" customWidth="1"/>
    <col min="7190" max="7190" width="8.5703125" customWidth="1"/>
    <col min="7425" max="7425" width="12.28515625" customWidth="1"/>
    <col min="7426" max="7427" width="6.42578125" customWidth="1"/>
    <col min="7428" max="7428" width="10.140625" customWidth="1"/>
    <col min="7429" max="7429" width="8.28515625" customWidth="1"/>
    <col min="7430" max="7430" width="8.140625" customWidth="1"/>
    <col min="7431" max="7438" width="6.42578125" customWidth="1"/>
    <col min="7439" max="7439" width="5.28515625" customWidth="1"/>
    <col min="7440" max="7440" width="6.42578125" customWidth="1"/>
    <col min="7441" max="7441" width="10.7109375" customWidth="1"/>
    <col min="7442" max="7443" width="6.42578125" customWidth="1"/>
    <col min="7444" max="7444" width="6.5703125" customWidth="1"/>
    <col min="7445" max="7445" width="6.42578125" customWidth="1"/>
    <col min="7446" max="7446" width="8.5703125" customWidth="1"/>
    <col min="7681" max="7681" width="12.28515625" customWidth="1"/>
    <col min="7682" max="7683" width="6.42578125" customWidth="1"/>
    <col min="7684" max="7684" width="10.140625" customWidth="1"/>
    <col min="7685" max="7685" width="8.28515625" customWidth="1"/>
    <col min="7686" max="7686" width="8.140625" customWidth="1"/>
    <col min="7687" max="7694" width="6.42578125" customWidth="1"/>
    <col min="7695" max="7695" width="5.28515625" customWidth="1"/>
    <col min="7696" max="7696" width="6.42578125" customWidth="1"/>
    <col min="7697" max="7697" width="10.7109375" customWidth="1"/>
    <col min="7698" max="7699" width="6.42578125" customWidth="1"/>
    <col min="7700" max="7700" width="6.5703125" customWidth="1"/>
    <col min="7701" max="7701" width="6.42578125" customWidth="1"/>
    <col min="7702" max="7702" width="8.5703125" customWidth="1"/>
    <col min="7937" max="7937" width="12.28515625" customWidth="1"/>
    <col min="7938" max="7939" width="6.42578125" customWidth="1"/>
    <col min="7940" max="7940" width="10.140625" customWidth="1"/>
    <col min="7941" max="7941" width="8.28515625" customWidth="1"/>
    <col min="7942" max="7942" width="8.140625" customWidth="1"/>
    <col min="7943" max="7950" width="6.42578125" customWidth="1"/>
    <col min="7951" max="7951" width="5.28515625" customWidth="1"/>
    <col min="7952" max="7952" width="6.42578125" customWidth="1"/>
    <col min="7953" max="7953" width="10.7109375" customWidth="1"/>
    <col min="7954" max="7955" width="6.42578125" customWidth="1"/>
    <col min="7956" max="7956" width="6.5703125" customWidth="1"/>
    <col min="7957" max="7957" width="6.42578125" customWidth="1"/>
    <col min="7958" max="7958" width="8.5703125" customWidth="1"/>
    <col min="8193" max="8193" width="12.28515625" customWidth="1"/>
    <col min="8194" max="8195" width="6.42578125" customWidth="1"/>
    <col min="8196" max="8196" width="10.140625" customWidth="1"/>
    <col min="8197" max="8197" width="8.28515625" customWidth="1"/>
    <col min="8198" max="8198" width="8.140625" customWidth="1"/>
    <col min="8199" max="8206" width="6.42578125" customWidth="1"/>
    <col min="8207" max="8207" width="5.28515625" customWidth="1"/>
    <col min="8208" max="8208" width="6.42578125" customWidth="1"/>
    <col min="8209" max="8209" width="10.7109375" customWidth="1"/>
    <col min="8210" max="8211" width="6.42578125" customWidth="1"/>
    <col min="8212" max="8212" width="6.5703125" customWidth="1"/>
    <col min="8213" max="8213" width="6.42578125" customWidth="1"/>
    <col min="8214" max="8214" width="8.5703125" customWidth="1"/>
    <col min="8449" max="8449" width="12.28515625" customWidth="1"/>
    <col min="8450" max="8451" width="6.42578125" customWidth="1"/>
    <col min="8452" max="8452" width="10.140625" customWidth="1"/>
    <col min="8453" max="8453" width="8.28515625" customWidth="1"/>
    <col min="8454" max="8454" width="8.140625" customWidth="1"/>
    <col min="8455" max="8462" width="6.42578125" customWidth="1"/>
    <col min="8463" max="8463" width="5.28515625" customWidth="1"/>
    <col min="8464" max="8464" width="6.42578125" customWidth="1"/>
    <col min="8465" max="8465" width="10.7109375" customWidth="1"/>
    <col min="8466" max="8467" width="6.42578125" customWidth="1"/>
    <col min="8468" max="8468" width="6.5703125" customWidth="1"/>
    <col min="8469" max="8469" width="6.42578125" customWidth="1"/>
    <col min="8470" max="8470" width="8.5703125" customWidth="1"/>
    <col min="8705" max="8705" width="12.28515625" customWidth="1"/>
    <col min="8706" max="8707" width="6.42578125" customWidth="1"/>
    <col min="8708" max="8708" width="10.140625" customWidth="1"/>
    <col min="8709" max="8709" width="8.28515625" customWidth="1"/>
    <col min="8710" max="8710" width="8.140625" customWidth="1"/>
    <col min="8711" max="8718" width="6.42578125" customWidth="1"/>
    <col min="8719" max="8719" width="5.28515625" customWidth="1"/>
    <col min="8720" max="8720" width="6.42578125" customWidth="1"/>
    <col min="8721" max="8721" width="10.7109375" customWidth="1"/>
    <col min="8722" max="8723" width="6.42578125" customWidth="1"/>
    <col min="8724" max="8724" width="6.5703125" customWidth="1"/>
    <col min="8725" max="8725" width="6.42578125" customWidth="1"/>
    <col min="8726" max="8726" width="8.5703125" customWidth="1"/>
    <col min="8961" max="8961" width="12.28515625" customWidth="1"/>
    <col min="8962" max="8963" width="6.42578125" customWidth="1"/>
    <col min="8964" max="8964" width="10.140625" customWidth="1"/>
    <col min="8965" max="8965" width="8.28515625" customWidth="1"/>
    <col min="8966" max="8966" width="8.140625" customWidth="1"/>
    <col min="8967" max="8974" width="6.42578125" customWidth="1"/>
    <col min="8975" max="8975" width="5.28515625" customWidth="1"/>
    <col min="8976" max="8976" width="6.42578125" customWidth="1"/>
    <col min="8977" max="8977" width="10.7109375" customWidth="1"/>
    <col min="8978" max="8979" width="6.42578125" customWidth="1"/>
    <col min="8980" max="8980" width="6.5703125" customWidth="1"/>
    <col min="8981" max="8981" width="6.42578125" customWidth="1"/>
    <col min="8982" max="8982" width="8.5703125" customWidth="1"/>
    <col min="9217" max="9217" width="12.28515625" customWidth="1"/>
    <col min="9218" max="9219" width="6.42578125" customWidth="1"/>
    <col min="9220" max="9220" width="10.140625" customWidth="1"/>
    <col min="9221" max="9221" width="8.28515625" customWidth="1"/>
    <col min="9222" max="9222" width="8.140625" customWidth="1"/>
    <col min="9223" max="9230" width="6.42578125" customWidth="1"/>
    <col min="9231" max="9231" width="5.28515625" customWidth="1"/>
    <col min="9232" max="9232" width="6.42578125" customWidth="1"/>
    <col min="9233" max="9233" width="10.7109375" customWidth="1"/>
    <col min="9234" max="9235" width="6.42578125" customWidth="1"/>
    <col min="9236" max="9236" width="6.5703125" customWidth="1"/>
    <col min="9237" max="9237" width="6.42578125" customWidth="1"/>
    <col min="9238" max="9238" width="8.5703125" customWidth="1"/>
    <col min="9473" max="9473" width="12.28515625" customWidth="1"/>
    <col min="9474" max="9475" width="6.42578125" customWidth="1"/>
    <col min="9476" max="9476" width="10.140625" customWidth="1"/>
    <col min="9477" max="9477" width="8.28515625" customWidth="1"/>
    <col min="9478" max="9478" width="8.140625" customWidth="1"/>
    <col min="9479" max="9486" width="6.42578125" customWidth="1"/>
    <col min="9487" max="9487" width="5.28515625" customWidth="1"/>
    <col min="9488" max="9488" width="6.42578125" customWidth="1"/>
    <col min="9489" max="9489" width="10.7109375" customWidth="1"/>
    <col min="9490" max="9491" width="6.42578125" customWidth="1"/>
    <col min="9492" max="9492" width="6.5703125" customWidth="1"/>
    <col min="9493" max="9493" width="6.42578125" customWidth="1"/>
    <col min="9494" max="9494" width="8.5703125" customWidth="1"/>
    <col min="9729" max="9729" width="12.28515625" customWidth="1"/>
    <col min="9730" max="9731" width="6.42578125" customWidth="1"/>
    <col min="9732" max="9732" width="10.140625" customWidth="1"/>
    <col min="9733" max="9733" width="8.28515625" customWidth="1"/>
    <col min="9734" max="9734" width="8.140625" customWidth="1"/>
    <col min="9735" max="9742" width="6.42578125" customWidth="1"/>
    <col min="9743" max="9743" width="5.28515625" customWidth="1"/>
    <col min="9744" max="9744" width="6.42578125" customWidth="1"/>
    <col min="9745" max="9745" width="10.7109375" customWidth="1"/>
    <col min="9746" max="9747" width="6.42578125" customWidth="1"/>
    <col min="9748" max="9748" width="6.5703125" customWidth="1"/>
    <col min="9749" max="9749" width="6.42578125" customWidth="1"/>
    <col min="9750" max="9750" width="8.5703125" customWidth="1"/>
    <col min="9985" max="9985" width="12.28515625" customWidth="1"/>
    <col min="9986" max="9987" width="6.42578125" customWidth="1"/>
    <col min="9988" max="9988" width="10.140625" customWidth="1"/>
    <col min="9989" max="9989" width="8.28515625" customWidth="1"/>
    <col min="9990" max="9990" width="8.140625" customWidth="1"/>
    <col min="9991" max="9998" width="6.42578125" customWidth="1"/>
    <col min="9999" max="9999" width="5.28515625" customWidth="1"/>
    <col min="10000" max="10000" width="6.42578125" customWidth="1"/>
    <col min="10001" max="10001" width="10.7109375" customWidth="1"/>
    <col min="10002" max="10003" width="6.42578125" customWidth="1"/>
    <col min="10004" max="10004" width="6.5703125" customWidth="1"/>
    <col min="10005" max="10005" width="6.42578125" customWidth="1"/>
    <col min="10006" max="10006" width="8.5703125" customWidth="1"/>
    <col min="10241" max="10241" width="12.28515625" customWidth="1"/>
    <col min="10242" max="10243" width="6.42578125" customWidth="1"/>
    <col min="10244" max="10244" width="10.140625" customWidth="1"/>
    <col min="10245" max="10245" width="8.28515625" customWidth="1"/>
    <col min="10246" max="10246" width="8.140625" customWidth="1"/>
    <col min="10247" max="10254" width="6.42578125" customWidth="1"/>
    <col min="10255" max="10255" width="5.28515625" customWidth="1"/>
    <col min="10256" max="10256" width="6.42578125" customWidth="1"/>
    <col min="10257" max="10257" width="10.7109375" customWidth="1"/>
    <col min="10258" max="10259" width="6.42578125" customWidth="1"/>
    <col min="10260" max="10260" width="6.5703125" customWidth="1"/>
    <col min="10261" max="10261" width="6.42578125" customWidth="1"/>
    <col min="10262" max="10262" width="8.5703125" customWidth="1"/>
    <col min="10497" max="10497" width="12.28515625" customWidth="1"/>
    <col min="10498" max="10499" width="6.42578125" customWidth="1"/>
    <col min="10500" max="10500" width="10.140625" customWidth="1"/>
    <col min="10501" max="10501" width="8.28515625" customWidth="1"/>
    <col min="10502" max="10502" width="8.140625" customWidth="1"/>
    <col min="10503" max="10510" width="6.42578125" customWidth="1"/>
    <col min="10511" max="10511" width="5.28515625" customWidth="1"/>
    <col min="10512" max="10512" width="6.42578125" customWidth="1"/>
    <col min="10513" max="10513" width="10.7109375" customWidth="1"/>
    <col min="10514" max="10515" width="6.42578125" customWidth="1"/>
    <col min="10516" max="10516" width="6.5703125" customWidth="1"/>
    <col min="10517" max="10517" width="6.42578125" customWidth="1"/>
    <col min="10518" max="10518" width="8.5703125" customWidth="1"/>
    <col min="10753" max="10753" width="12.28515625" customWidth="1"/>
    <col min="10754" max="10755" width="6.42578125" customWidth="1"/>
    <col min="10756" max="10756" width="10.140625" customWidth="1"/>
    <col min="10757" max="10757" width="8.28515625" customWidth="1"/>
    <col min="10758" max="10758" width="8.140625" customWidth="1"/>
    <col min="10759" max="10766" width="6.42578125" customWidth="1"/>
    <col min="10767" max="10767" width="5.28515625" customWidth="1"/>
    <col min="10768" max="10768" width="6.42578125" customWidth="1"/>
    <col min="10769" max="10769" width="10.7109375" customWidth="1"/>
    <col min="10770" max="10771" width="6.42578125" customWidth="1"/>
    <col min="10772" max="10772" width="6.5703125" customWidth="1"/>
    <col min="10773" max="10773" width="6.42578125" customWidth="1"/>
    <col min="10774" max="10774" width="8.5703125" customWidth="1"/>
    <col min="11009" max="11009" width="12.28515625" customWidth="1"/>
    <col min="11010" max="11011" width="6.42578125" customWidth="1"/>
    <col min="11012" max="11012" width="10.140625" customWidth="1"/>
    <col min="11013" max="11013" width="8.28515625" customWidth="1"/>
    <col min="11014" max="11014" width="8.140625" customWidth="1"/>
    <col min="11015" max="11022" width="6.42578125" customWidth="1"/>
    <col min="11023" max="11023" width="5.28515625" customWidth="1"/>
    <col min="11024" max="11024" width="6.42578125" customWidth="1"/>
    <col min="11025" max="11025" width="10.7109375" customWidth="1"/>
    <col min="11026" max="11027" width="6.42578125" customWidth="1"/>
    <col min="11028" max="11028" width="6.5703125" customWidth="1"/>
    <col min="11029" max="11029" width="6.42578125" customWidth="1"/>
    <col min="11030" max="11030" width="8.5703125" customWidth="1"/>
    <col min="11265" max="11265" width="12.28515625" customWidth="1"/>
    <col min="11266" max="11267" width="6.42578125" customWidth="1"/>
    <col min="11268" max="11268" width="10.140625" customWidth="1"/>
    <col min="11269" max="11269" width="8.28515625" customWidth="1"/>
    <col min="11270" max="11270" width="8.140625" customWidth="1"/>
    <col min="11271" max="11278" width="6.42578125" customWidth="1"/>
    <col min="11279" max="11279" width="5.28515625" customWidth="1"/>
    <col min="11280" max="11280" width="6.42578125" customWidth="1"/>
    <col min="11281" max="11281" width="10.7109375" customWidth="1"/>
    <col min="11282" max="11283" width="6.42578125" customWidth="1"/>
    <col min="11284" max="11284" width="6.5703125" customWidth="1"/>
    <col min="11285" max="11285" width="6.42578125" customWidth="1"/>
    <col min="11286" max="11286" width="8.5703125" customWidth="1"/>
    <col min="11521" max="11521" width="12.28515625" customWidth="1"/>
    <col min="11522" max="11523" width="6.42578125" customWidth="1"/>
    <col min="11524" max="11524" width="10.140625" customWidth="1"/>
    <col min="11525" max="11525" width="8.28515625" customWidth="1"/>
    <col min="11526" max="11526" width="8.140625" customWidth="1"/>
    <col min="11527" max="11534" width="6.42578125" customWidth="1"/>
    <col min="11535" max="11535" width="5.28515625" customWidth="1"/>
    <col min="11536" max="11536" width="6.42578125" customWidth="1"/>
    <col min="11537" max="11537" width="10.7109375" customWidth="1"/>
    <col min="11538" max="11539" width="6.42578125" customWidth="1"/>
    <col min="11540" max="11540" width="6.5703125" customWidth="1"/>
    <col min="11541" max="11541" width="6.42578125" customWidth="1"/>
    <col min="11542" max="11542" width="8.5703125" customWidth="1"/>
    <col min="11777" max="11777" width="12.28515625" customWidth="1"/>
    <col min="11778" max="11779" width="6.42578125" customWidth="1"/>
    <col min="11780" max="11780" width="10.140625" customWidth="1"/>
    <col min="11781" max="11781" width="8.28515625" customWidth="1"/>
    <col min="11782" max="11782" width="8.140625" customWidth="1"/>
    <col min="11783" max="11790" width="6.42578125" customWidth="1"/>
    <col min="11791" max="11791" width="5.28515625" customWidth="1"/>
    <col min="11792" max="11792" width="6.42578125" customWidth="1"/>
    <col min="11793" max="11793" width="10.7109375" customWidth="1"/>
    <col min="11794" max="11795" width="6.42578125" customWidth="1"/>
    <col min="11796" max="11796" width="6.5703125" customWidth="1"/>
    <col min="11797" max="11797" width="6.42578125" customWidth="1"/>
    <col min="11798" max="11798" width="8.5703125" customWidth="1"/>
    <col min="12033" max="12033" width="12.28515625" customWidth="1"/>
    <col min="12034" max="12035" width="6.42578125" customWidth="1"/>
    <col min="12036" max="12036" width="10.140625" customWidth="1"/>
    <col min="12037" max="12037" width="8.28515625" customWidth="1"/>
    <col min="12038" max="12038" width="8.140625" customWidth="1"/>
    <col min="12039" max="12046" width="6.42578125" customWidth="1"/>
    <col min="12047" max="12047" width="5.28515625" customWidth="1"/>
    <col min="12048" max="12048" width="6.42578125" customWidth="1"/>
    <col min="12049" max="12049" width="10.7109375" customWidth="1"/>
    <col min="12050" max="12051" width="6.42578125" customWidth="1"/>
    <col min="12052" max="12052" width="6.5703125" customWidth="1"/>
    <col min="12053" max="12053" width="6.42578125" customWidth="1"/>
    <col min="12054" max="12054" width="8.5703125" customWidth="1"/>
    <col min="12289" max="12289" width="12.28515625" customWidth="1"/>
    <col min="12290" max="12291" width="6.42578125" customWidth="1"/>
    <col min="12292" max="12292" width="10.140625" customWidth="1"/>
    <col min="12293" max="12293" width="8.28515625" customWidth="1"/>
    <col min="12294" max="12294" width="8.140625" customWidth="1"/>
    <col min="12295" max="12302" width="6.42578125" customWidth="1"/>
    <col min="12303" max="12303" width="5.28515625" customWidth="1"/>
    <col min="12304" max="12304" width="6.42578125" customWidth="1"/>
    <col min="12305" max="12305" width="10.7109375" customWidth="1"/>
    <col min="12306" max="12307" width="6.42578125" customWidth="1"/>
    <col min="12308" max="12308" width="6.5703125" customWidth="1"/>
    <col min="12309" max="12309" width="6.42578125" customWidth="1"/>
    <col min="12310" max="12310" width="8.5703125" customWidth="1"/>
    <col min="12545" max="12545" width="12.28515625" customWidth="1"/>
    <col min="12546" max="12547" width="6.42578125" customWidth="1"/>
    <col min="12548" max="12548" width="10.140625" customWidth="1"/>
    <col min="12549" max="12549" width="8.28515625" customWidth="1"/>
    <col min="12550" max="12550" width="8.140625" customWidth="1"/>
    <col min="12551" max="12558" width="6.42578125" customWidth="1"/>
    <col min="12559" max="12559" width="5.28515625" customWidth="1"/>
    <col min="12560" max="12560" width="6.42578125" customWidth="1"/>
    <col min="12561" max="12561" width="10.7109375" customWidth="1"/>
    <col min="12562" max="12563" width="6.42578125" customWidth="1"/>
    <col min="12564" max="12564" width="6.5703125" customWidth="1"/>
    <col min="12565" max="12565" width="6.42578125" customWidth="1"/>
    <col min="12566" max="12566" width="8.5703125" customWidth="1"/>
    <col min="12801" max="12801" width="12.28515625" customWidth="1"/>
    <col min="12802" max="12803" width="6.42578125" customWidth="1"/>
    <col min="12804" max="12804" width="10.140625" customWidth="1"/>
    <col min="12805" max="12805" width="8.28515625" customWidth="1"/>
    <col min="12806" max="12806" width="8.140625" customWidth="1"/>
    <col min="12807" max="12814" width="6.42578125" customWidth="1"/>
    <col min="12815" max="12815" width="5.28515625" customWidth="1"/>
    <col min="12816" max="12816" width="6.42578125" customWidth="1"/>
    <col min="12817" max="12817" width="10.7109375" customWidth="1"/>
    <col min="12818" max="12819" width="6.42578125" customWidth="1"/>
    <col min="12820" max="12820" width="6.5703125" customWidth="1"/>
    <col min="12821" max="12821" width="6.42578125" customWidth="1"/>
    <col min="12822" max="12822" width="8.5703125" customWidth="1"/>
    <col min="13057" max="13057" width="12.28515625" customWidth="1"/>
    <col min="13058" max="13059" width="6.42578125" customWidth="1"/>
    <col min="13060" max="13060" width="10.140625" customWidth="1"/>
    <col min="13061" max="13061" width="8.28515625" customWidth="1"/>
    <col min="13062" max="13062" width="8.140625" customWidth="1"/>
    <col min="13063" max="13070" width="6.42578125" customWidth="1"/>
    <col min="13071" max="13071" width="5.28515625" customWidth="1"/>
    <col min="13072" max="13072" width="6.42578125" customWidth="1"/>
    <col min="13073" max="13073" width="10.7109375" customWidth="1"/>
    <col min="13074" max="13075" width="6.42578125" customWidth="1"/>
    <col min="13076" max="13076" width="6.5703125" customWidth="1"/>
    <col min="13077" max="13077" width="6.42578125" customWidth="1"/>
    <col min="13078" max="13078" width="8.5703125" customWidth="1"/>
    <col min="13313" max="13313" width="12.28515625" customWidth="1"/>
    <col min="13314" max="13315" width="6.42578125" customWidth="1"/>
    <col min="13316" max="13316" width="10.140625" customWidth="1"/>
    <col min="13317" max="13317" width="8.28515625" customWidth="1"/>
    <col min="13318" max="13318" width="8.140625" customWidth="1"/>
    <col min="13319" max="13326" width="6.42578125" customWidth="1"/>
    <col min="13327" max="13327" width="5.28515625" customWidth="1"/>
    <col min="13328" max="13328" width="6.42578125" customWidth="1"/>
    <col min="13329" max="13329" width="10.7109375" customWidth="1"/>
    <col min="13330" max="13331" width="6.42578125" customWidth="1"/>
    <col min="13332" max="13332" width="6.5703125" customWidth="1"/>
    <col min="13333" max="13333" width="6.42578125" customWidth="1"/>
    <col min="13334" max="13334" width="8.5703125" customWidth="1"/>
    <col min="13569" max="13569" width="12.28515625" customWidth="1"/>
    <col min="13570" max="13571" width="6.42578125" customWidth="1"/>
    <col min="13572" max="13572" width="10.140625" customWidth="1"/>
    <col min="13573" max="13573" width="8.28515625" customWidth="1"/>
    <col min="13574" max="13574" width="8.140625" customWidth="1"/>
    <col min="13575" max="13582" width="6.42578125" customWidth="1"/>
    <col min="13583" max="13583" width="5.28515625" customWidth="1"/>
    <col min="13584" max="13584" width="6.42578125" customWidth="1"/>
    <col min="13585" max="13585" width="10.7109375" customWidth="1"/>
    <col min="13586" max="13587" width="6.42578125" customWidth="1"/>
    <col min="13588" max="13588" width="6.5703125" customWidth="1"/>
    <col min="13589" max="13589" width="6.42578125" customWidth="1"/>
    <col min="13590" max="13590" width="8.5703125" customWidth="1"/>
    <col min="13825" max="13825" width="12.28515625" customWidth="1"/>
    <col min="13826" max="13827" width="6.42578125" customWidth="1"/>
    <col min="13828" max="13828" width="10.140625" customWidth="1"/>
    <col min="13829" max="13829" width="8.28515625" customWidth="1"/>
    <col min="13830" max="13830" width="8.140625" customWidth="1"/>
    <col min="13831" max="13838" width="6.42578125" customWidth="1"/>
    <col min="13839" max="13839" width="5.28515625" customWidth="1"/>
    <col min="13840" max="13840" width="6.42578125" customWidth="1"/>
    <col min="13841" max="13841" width="10.7109375" customWidth="1"/>
    <col min="13842" max="13843" width="6.42578125" customWidth="1"/>
    <col min="13844" max="13844" width="6.5703125" customWidth="1"/>
    <col min="13845" max="13845" width="6.42578125" customWidth="1"/>
    <col min="13846" max="13846" width="8.5703125" customWidth="1"/>
    <col min="14081" max="14081" width="12.28515625" customWidth="1"/>
    <col min="14082" max="14083" width="6.42578125" customWidth="1"/>
    <col min="14084" max="14084" width="10.140625" customWidth="1"/>
    <col min="14085" max="14085" width="8.28515625" customWidth="1"/>
    <col min="14086" max="14086" width="8.140625" customWidth="1"/>
    <col min="14087" max="14094" width="6.42578125" customWidth="1"/>
    <col min="14095" max="14095" width="5.28515625" customWidth="1"/>
    <col min="14096" max="14096" width="6.42578125" customWidth="1"/>
    <col min="14097" max="14097" width="10.7109375" customWidth="1"/>
    <col min="14098" max="14099" width="6.42578125" customWidth="1"/>
    <col min="14100" max="14100" width="6.5703125" customWidth="1"/>
    <col min="14101" max="14101" width="6.42578125" customWidth="1"/>
    <col min="14102" max="14102" width="8.5703125" customWidth="1"/>
    <col min="14337" max="14337" width="12.28515625" customWidth="1"/>
    <col min="14338" max="14339" width="6.42578125" customWidth="1"/>
    <col min="14340" max="14340" width="10.140625" customWidth="1"/>
    <col min="14341" max="14341" width="8.28515625" customWidth="1"/>
    <col min="14342" max="14342" width="8.140625" customWidth="1"/>
    <col min="14343" max="14350" width="6.42578125" customWidth="1"/>
    <col min="14351" max="14351" width="5.28515625" customWidth="1"/>
    <col min="14352" max="14352" width="6.42578125" customWidth="1"/>
    <col min="14353" max="14353" width="10.7109375" customWidth="1"/>
    <col min="14354" max="14355" width="6.42578125" customWidth="1"/>
    <col min="14356" max="14356" width="6.5703125" customWidth="1"/>
    <col min="14357" max="14357" width="6.42578125" customWidth="1"/>
    <col min="14358" max="14358" width="8.5703125" customWidth="1"/>
    <col min="14593" max="14593" width="12.28515625" customWidth="1"/>
    <col min="14594" max="14595" width="6.42578125" customWidth="1"/>
    <col min="14596" max="14596" width="10.140625" customWidth="1"/>
    <col min="14597" max="14597" width="8.28515625" customWidth="1"/>
    <col min="14598" max="14598" width="8.140625" customWidth="1"/>
    <col min="14599" max="14606" width="6.42578125" customWidth="1"/>
    <col min="14607" max="14607" width="5.28515625" customWidth="1"/>
    <col min="14608" max="14608" width="6.42578125" customWidth="1"/>
    <col min="14609" max="14609" width="10.7109375" customWidth="1"/>
    <col min="14610" max="14611" width="6.42578125" customWidth="1"/>
    <col min="14612" max="14612" width="6.5703125" customWidth="1"/>
    <col min="14613" max="14613" width="6.42578125" customWidth="1"/>
    <col min="14614" max="14614" width="8.5703125" customWidth="1"/>
    <col min="14849" max="14849" width="12.28515625" customWidth="1"/>
    <col min="14850" max="14851" width="6.42578125" customWidth="1"/>
    <col min="14852" max="14852" width="10.140625" customWidth="1"/>
    <col min="14853" max="14853" width="8.28515625" customWidth="1"/>
    <col min="14854" max="14854" width="8.140625" customWidth="1"/>
    <col min="14855" max="14862" width="6.42578125" customWidth="1"/>
    <col min="14863" max="14863" width="5.28515625" customWidth="1"/>
    <col min="14864" max="14864" width="6.42578125" customWidth="1"/>
    <col min="14865" max="14865" width="10.7109375" customWidth="1"/>
    <col min="14866" max="14867" width="6.42578125" customWidth="1"/>
    <col min="14868" max="14868" width="6.5703125" customWidth="1"/>
    <col min="14869" max="14869" width="6.42578125" customWidth="1"/>
    <col min="14870" max="14870" width="8.5703125" customWidth="1"/>
    <col min="15105" max="15105" width="12.28515625" customWidth="1"/>
    <col min="15106" max="15107" width="6.42578125" customWidth="1"/>
    <col min="15108" max="15108" width="10.140625" customWidth="1"/>
    <col min="15109" max="15109" width="8.28515625" customWidth="1"/>
    <col min="15110" max="15110" width="8.140625" customWidth="1"/>
    <col min="15111" max="15118" width="6.42578125" customWidth="1"/>
    <col min="15119" max="15119" width="5.28515625" customWidth="1"/>
    <col min="15120" max="15120" width="6.42578125" customWidth="1"/>
    <col min="15121" max="15121" width="10.7109375" customWidth="1"/>
    <col min="15122" max="15123" width="6.42578125" customWidth="1"/>
    <col min="15124" max="15124" width="6.5703125" customWidth="1"/>
    <col min="15125" max="15125" width="6.42578125" customWidth="1"/>
    <col min="15126" max="15126" width="8.5703125" customWidth="1"/>
    <col min="15361" max="15361" width="12.28515625" customWidth="1"/>
    <col min="15362" max="15363" width="6.42578125" customWidth="1"/>
    <col min="15364" max="15364" width="10.140625" customWidth="1"/>
    <col min="15365" max="15365" width="8.28515625" customWidth="1"/>
    <col min="15366" max="15366" width="8.140625" customWidth="1"/>
    <col min="15367" max="15374" width="6.42578125" customWidth="1"/>
    <col min="15375" max="15375" width="5.28515625" customWidth="1"/>
    <col min="15376" max="15376" width="6.42578125" customWidth="1"/>
    <col min="15377" max="15377" width="10.7109375" customWidth="1"/>
    <col min="15378" max="15379" width="6.42578125" customWidth="1"/>
    <col min="15380" max="15380" width="6.5703125" customWidth="1"/>
    <col min="15381" max="15381" width="6.42578125" customWidth="1"/>
    <col min="15382" max="15382" width="8.5703125" customWidth="1"/>
    <col min="15617" max="15617" width="12.28515625" customWidth="1"/>
    <col min="15618" max="15619" width="6.42578125" customWidth="1"/>
    <col min="15620" max="15620" width="10.140625" customWidth="1"/>
    <col min="15621" max="15621" width="8.28515625" customWidth="1"/>
    <col min="15622" max="15622" width="8.140625" customWidth="1"/>
    <col min="15623" max="15630" width="6.42578125" customWidth="1"/>
    <col min="15631" max="15631" width="5.28515625" customWidth="1"/>
    <col min="15632" max="15632" width="6.42578125" customWidth="1"/>
    <col min="15633" max="15633" width="10.7109375" customWidth="1"/>
    <col min="15634" max="15635" width="6.42578125" customWidth="1"/>
    <col min="15636" max="15636" width="6.5703125" customWidth="1"/>
    <col min="15637" max="15637" width="6.42578125" customWidth="1"/>
    <col min="15638" max="15638" width="8.5703125" customWidth="1"/>
    <col min="15873" max="15873" width="12.28515625" customWidth="1"/>
    <col min="15874" max="15875" width="6.42578125" customWidth="1"/>
    <col min="15876" max="15876" width="10.140625" customWidth="1"/>
    <col min="15877" max="15877" width="8.28515625" customWidth="1"/>
    <col min="15878" max="15878" width="8.140625" customWidth="1"/>
    <col min="15879" max="15886" width="6.42578125" customWidth="1"/>
    <col min="15887" max="15887" width="5.28515625" customWidth="1"/>
    <col min="15888" max="15888" width="6.42578125" customWidth="1"/>
    <col min="15889" max="15889" width="10.7109375" customWidth="1"/>
    <col min="15890" max="15891" width="6.42578125" customWidth="1"/>
    <col min="15892" max="15892" width="6.5703125" customWidth="1"/>
    <col min="15893" max="15893" width="6.42578125" customWidth="1"/>
    <col min="15894" max="15894" width="8.5703125" customWidth="1"/>
    <col min="16129" max="16129" width="12.28515625" customWidth="1"/>
    <col min="16130" max="16131" width="6.42578125" customWidth="1"/>
    <col min="16132" max="16132" width="10.140625" customWidth="1"/>
    <col min="16133" max="16133" width="8.28515625" customWidth="1"/>
    <col min="16134" max="16134" width="8.140625" customWidth="1"/>
    <col min="16135" max="16142" width="6.42578125" customWidth="1"/>
    <col min="16143" max="16143" width="5.28515625" customWidth="1"/>
    <col min="16144" max="16144" width="6.42578125" customWidth="1"/>
    <col min="16145" max="16145" width="10.7109375" customWidth="1"/>
    <col min="16146" max="16147" width="6.42578125" customWidth="1"/>
    <col min="16148" max="16148" width="6.5703125" customWidth="1"/>
    <col min="16149" max="16149" width="6.42578125" customWidth="1"/>
    <col min="16150" max="16150" width="8.5703125" customWidth="1"/>
  </cols>
  <sheetData>
    <row r="1" spans="1:79" s="5" customFormat="1" ht="36" customHeight="1" x14ac:dyDescent="0.2">
      <c r="A1" s="297"/>
      <c r="B1" s="297"/>
      <c r="C1" s="297"/>
      <c r="D1" s="297"/>
      <c r="E1" s="297"/>
      <c r="F1" s="449" t="s">
        <v>158</v>
      </c>
      <c r="G1" s="449"/>
      <c r="H1" s="449"/>
      <c r="I1" s="449"/>
      <c r="J1" s="449"/>
      <c r="K1" s="449"/>
      <c r="L1" s="449"/>
      <c r="M1" s="449"/>
      <c r="N1" s="449"/>
      <c r="O1" s="450" t="s">
        <v>159</v>
      </c>
      <c r="P1" s="450"/>
      <c r="Q1" s="450"/>
      <c r="R1" s="451"/>
      <c r="S1" s="451"/>
      <c r="T1" s="451"/>
      <c r="U1" s="451"/>
      <c r="V1" s="451"/>
      <c r="W1" s="491"/>
      <c r="X1" s="491"/>
      <c r="Y1" s="491"/>
      <c r="Z1" s="491"/>
      <c r="AA1" s="491"/>
      <c r="AB1" s="491"/>
      <c r="AC1" s="491"/>
      <c r="AD1" s="491"/>
      <c r="AE1" s="491"/>
      <c r="AF1" s="491"/>
      <c r="AG1" s="491"/>
      <c r="AH1" s="491"/>
      <c r="AI1" s="491"/>
      <c r="AJ1" s="491"/>
      <c r="AK1" s="491"/>
      <c r="AL1" s="491"/>
      <c r="AM1" s="491"/>
      <c r="AN1" s="491"/>
      <c r="AO1" s="491"/>
      <c r="AP1" s="491"/>
      <c r="AQ1" s="491"/>
      <c r="AR1" s="491"/>
      <c r="AS1" s="491"/>
      <c r="AT1" s="491"/>
      <c r="AU1" s="491"/>
      <c r="AV1" s="491"/>
      <c r="AW1" s="491"/>
      <c r="AX1" s="491"/>
      <c r="AY1" s="491"/>
      <c r="AZ1" s="491"/>
      <c r="BA1" s="491"/>
      <c r="BB1" s="491"/>
      <c r="BC1" s="491"/>
      <c r="BD1" s="491"/>
      <c r="BE1" s="491"/>
      <c r="BF1" s="491"/>
      <c r="BG1" s="491"/>
      <c r="BH1" s="491"/>
      <c r="BI1" s="491"/>
      <c r="BJ1" s="491"/>
      <c r="BK1" s="491"/>
      <c r="BL1" s="491"/>
      <c r="BM1" s="491"/>
      <c r="BN1" s="491"/>
      <c r="BO1" s="491"/>
      <c r="BP1" s="491"/>
      <c r="BQ1" s="491"/>
      <c r="BR1" s="491"/>
      <c r="BS1" s="491"/>
      <c r="BT1" s="491"/>
      <c r="BU1" s="491"/>
      <c r="BV1" s="491"/>
      <c r="BW1" s="491"/>
      <c r="BX1" s="491"/>
      <c r="BY1" s="491"/>
      <c r="BZ1" s="491"/>
      <c r="CA1" s="491"/>
    </row>
    <row r="2" spans="1:79" s="5" customFormat="1" ht="36" customHeight="1" x14ac:dyDescent="0.2">
      <c r="A2" s="297"/>
      <c r="B2" s="297"/>
      <c r="C2" s="297"/>
      <c r="D2" s="297"/>
      <c r="E2" s="297"/>
      <c r="F2" s="449"/>
      <c r="G2" s="449"/>
      <c r="H2" s="449"/>
      <c r="I2" s="449"/>
      <c r="J2" s="449"/>
      <c r="K2" s="449"/>
      <c r="L2" s="449"/>
      <c r="M2" s="449"/>
      <c r="N2" s="449"/>
      <c r="O2" s="450" t="s">
        <v>160</v>
      </c>
      <c r="P2" s="450"/>
      <c r="Q2" s="450"/>
      <c r="R2" s="452"/>
      <c r="S2" s="451"/>
      <c r="T2" s="451"/>
      <c r="U2" s="451"/>
      <c r="V2" s="451"/>
      <c r="W2" s="491"/>
      <c r="X2" s="491"/>
      <c r="Y2" s="491"/>
      <c r="Z2" s="491"/>
      <c r="AA2" s="491"/>
      <c r="AB2" s="491"/>
      <c r="AC2" s="491"/>
      <c r="AD2" s="491"/>
      <c r="AE2" s="491"/>
      <c r="AF2" s="491"/>
      <c r="AG2" s="491"/>
      <c r="AH2" s="491"/>
      <c r="AI2" s="491"/>
      <c r="AJ2" s="491"/>
      <c r="AK2" s="491"/>
      <c r="AL2" s="491"/>
      <c r="AM2" s="491"/>
      <c r="AN2" s="491"/>
      <c r="AO2" s="491"/>
      <c r="AP2" s="491"/>
      <c r="AQ2" s="491"/>
      <c r="AR2" s="491"/>
      <c r="AS2" s="491"/>
      <c r="AT2" s="491"/>
      <c r="AU2" s="491"/>
      <c r="AV2" s="491"/>
      <c r="AW2" s="491"/>
      <c r="AX2" s="491"/>
      <c r="AY2" s="491"/>
      <c r="AZ2" s="491"/>
      <c r="BA2" s="491"/>
      <c r="BB2" s="491"/>
      <c r="BC2" s="491"/>
      <c r="BD2" s="491"/>
      <c r="BE2" s="491"/>
      <c r="BF2" s="491"/>
      <c r="BG2" s="491"/>
      <c r="BH2" s="491"/>
      <c r="BI2" s="491"/>
      <c r="BJ2" s="491"/>
      <c r="BK2" s="491"/>
      <c r="BL2" s="491"/>
      <c r="BM2" s="491"/>
      <c r="BN2" s="491"/>
      <c r="BO2" s="491"/>
      <c r="BP2" s="491"/>
      <c r="BQ2" s="491"/>
      <c r="BR2" s="491"/>
      <c r="BS2" s="491"/>
      <c r="BT2" s="491"/>
      <c r="BU2" s="491"/>
      <c r="BV2" s="491"/>
      <c r="BW2" s="491"/>
      <c r="BX2" s="491"/>
      <c r="BY2" s="491"/>
      <c r="BZ2" s="491"/>
      <c r="CA2" s="491"/>
    </row>
    <row r="3" spans="1:79" s="5" customFormat="1" ht="34.5" customHeight="1" x14ac:dyDescent="0.2">
      <c r="A3" s="453" t="s">
        <v>161</v>
      </c>
      <c r="B3" s="454"/>
      <c r="C3" s="454"/>
      <c r="D3" s="455"/>
      <c r="E3" s="456"/>
      <c r="F3" s="456"/>
      <c r="G3" s="456"/>
      <c r="H3" s="456"/>
      <c r="I3" s="456"/>
      <c r="J3" s="456"/>
      <c r="K3" s="456"/>
      <c r="L3" s="456"/>
      <c r="M3" s="456"/>
      <c r="N3" s="456"/>
      <c r="O3" s="456"/>
      <c r="P3" s="456"/>
      <c r="Q3" s="456"/>
      <c r="R3" s="456"/>
      <c r="S3" s="456"/>
      <c r="T3" s="456"/>
      <c r="U3" s="456"/>
      <c r="V3" s="456"/>
      <c r="W3" s="491"/>
      <c r="X3" s="491"/>
      <c r="Y3" s="491"/>
      <c r="Z3" s="491"/>
      <c r="AA3" s="491"/>
      <c r="AB3" s="491"/>
      <c r="AC3" s="491"/>
      <c r="AD3" s="491"/>
      <c r="AE3" s="491"/>
      <c r="AF3" s="491"/>
      <c r="AG3" s="491"/>
      <c r="AH3" s="491"/>
      <c r="AI3" s="491"/>
      <c r="AJ3" s="491"/>
      <c r="AK3" s="491"/>
      <c r="AL3" s="491"/>
      <c r="AM3" s="491"/>
      <c r="AN3" s="491"/>
      <c r="AO3" s="491"/>
      <c r="AP3" s="491"/>
      <c r="AQ3" s="491"/>
      <c r="AR3" s="491"/>
      <c r="AS3" s="491"/>
      <c r="AT3" s="491"/>
      <c r="AU3" s="491"/>
      <c r="AV3" s="491"/>
      <c r="AW3" s="491"/>
      <c r="AX3" s="491"/>
      <c r="AY3" s="491"/>
      <c r="AZ3" s="491"/>
      <c r="BA3" s="491"/>
      <c r="BB3" s="491"/>
      <c r="BC3" s="491"/>
      <c r="BD3" s="491"/>
      <c r="BE3" s="491"/>
      <c r="BF3" s="491"/>
      <c r="BG3" s="491"/>
      <c r="BH3" s="491"/>
      <c r="BI3" s="491"/>
      <c r="BJ3" s="491"/>
      <c r="BK3" s="491"/>
      <c r="BL3" s="491"/>
      <c r="BM3" s="491"/>
      <c r="BN3" s="491"/>
      <c r="BO3" s="491"/>
      <c r="BP3" s="491"/>
      <c r="BQ3" s="491"/>
      <c r="BR3" s="491"/>
      <c r="BS3" s="491"/>
      <c r="BT3" s="491"/>
      <c r="BU3" s="491"/>
      <c r="BV3" s="491"/>
      <c r="BW3" s="491"/>
      <c r="BX3" s="491"/>
      <c r="BY3" s="491"/>
      <c r="BZ3" s="491"/>
      <c r="CA3" s="491"/>
    </row>
    <row r="4" spans="1:79" s="5" customFormat="1" ht="30" customHeight="1" x14ac:dyDescent="0.2">
      <c r="A4" s="453" t="s">
        <v>162</v>
      </c>
      <c r="B4" s="454"/>
      <c r="C4" s="454"/>
      <c r="D4" s="455"/>
      <c r="E4" s="457"/>
      <c r="F4" s="457"/>
      <c r="G4" s="457"/>
      <c r="H4" s="457"/>
      <c r="I4" s="457"/>
      <c r="J4" s="457"/>
      <c r="K4" s="457"/>
      <c r="L4" s="457"/>
      <c r="M4" s="457"/>
      <c r="N4" s="457"/>
      <c r="O4" s="457"/>
      <c r="P4" s="457"/>
      <c r="Q4" s="457"/>
      <c r="R4" s="457"/>
      <c r="S4" s="457"/>
      <c r="T4" s="457"/>
      <c r="U4" s="457"/>
      <c r="V4" s="457"/>
      <c r="W4" s="491"/>
      <c r="X4" s="491"/>
      <c r="Y4" s="491"/>
      <c r="Z4" s="491"/>
      <c r="AA4" s="491"/>
      <c r="AB4" s="491"/>
      <c r="AC4" s="491"/>
      <c r="AD4" s="491"/>
      <c r="AE4" s="491"/>
      <c r="AF4" s="491"/>
      <c r="AG4" s="491"/>
      <c r="AH4" s="491"/>
      <c r="AI4" s="491"/>
      <c r="AJ4" s="491"/>
      <c r="AK4" s="491"/>
      <c r="AL4" s="491"/>
      <c r="AM4" s="491"/>
      <c r="AN4" s="491"/>
      <c r="AO4" s="491"/>
      <c r="AP4" s="491"/>
      <c r="AQ4" s="491"/>
      <c r="AR4" s="491"/>
      <c r="AS4" s="491"/>
      <c r="AT4" s="491"/>
      <c r="AU4" s="491"/>
      <c r="AV4" s="491"/>
      <c r="AW4" s="491"/>
      <c r="AX4" s="491"/>
      <c r="AY4" s="491"/>
      <c r="AZ4" s="491"/>
      <c r="BA4" s="491"/>
      <c r="BB4" s="491"/>
      <c r="BC4" s="491"/>
      <c r="BD4" s="491"/>
      <c r="BE4" s="491"/>
      <c r="BF4" s="491"/>
      <c r="BG4" s="491"/>
      <c r="BH4" s="491"/>
      <c r="BI4" s="491"/>
      <c r="BJ4" s="491"/>
      <c r="BK4" s="491"/>
      <c r="BL4" s="491"/>
      <c r="BM4" s="491"/>
      <c r="BN4" s="491"/>
      <c r="BO4" s="491"/>
      <c r="BP4" s="491"/>
      <c r="BQ4" s="491"/>
      <c r="BR4" s="491"/>
      <c r="BS4" s="491"/>
      <c r="BT4" s="491"/>
      <c r="BU4" s="491"/>
      <c r="BV4" s="491"/>
      <c r="BW4" s="491"/>
      <c r="BX4" s="491"/>
      <c r="BY4" s="491"/>
      <c r="BZ4" s="491"/>
      <c r="CA4" s="491"/>
    </row>
    <row r="5" spans="1:79" s="5" customFormat="1" ht="30" customHeight="1" x14ac:dyDescent="0.2">
      <c r="A5" s="453" t="s">
        <v>163</v>
      </c>
      <c r="B5" s="454"/>
      <c r="C5" s="454"/>
      <c r="D5" s="455"/>
      <c r="E5" s="457"/>
      <c r="F5" s="457"/>
      <c r="G5" s="457"/>
      <c r="H5" s="457"/>
      <c r="I5" s="457"/>
      <c r="J5" s="457"/>
      <c r="K5" s="457"/>
      <c r="L5" s="457"/>
      <c r="M5" s="457"/>
      <c r="N5" s="457"/>
      <c r="O5" s="457"/>
      <c r="P5" s="457"/>
      <c r="Q5" s="457"/>
      <c r="R5" s="457"/>
      <c r="S5" s="457"/>
      <c r="T5" s="457"/>
      <c r="U5" s="457"/>
      <c r="V5" s="457"/>
      <c r="W5" s="491"/>
      <c r="X5" s="491"/>
      <c r="Y5" s="491"/>
      <c r="Z5" s="491"/>
      <c r="AA5" s="491"/>
      <c r="AB5" s="491"/>
      <c r="AC5" s="491"/>
      <c r="AD5" s="491"/>
      <c r="AE5" s="491"/>
      <c r="AF5" s="491"/>
      <c r="AG5" s="491"/>
      <c r="AH5" s="491"/>
      <c r="AI5" s="491"/>
      <c r="AJ5" s="491"/>
      <c r="AK5" s="491"/>
      <c r="AL5" s="491"/>
      <c r="AM5" s="491"/>
      <c r="AN5" s="491"/>
      <c r="AO5" s="491"/>
      <c r="AP5" s="491"/>
      <c r="AQ5" s="491"/>
      <c r="AR5" s="491"/>
      <c r="AS5" s="491"/>
      <c r="AT5" s="491"/>
      <c r="AU5" s="491"/>
      <c r="AV5" s="491"/>
      <c r="AW5" s="491"/>
      <c r="AX5" s="491"/>
      <c r="AY5" s="491"/>
      <c r="AZ5" s="491"/>
      <c r="BA5" s="491"/>
      <c r="BB5" s="491"/>
      <c r="BC5" s="491"/>
      <c r="BD5" s="491"/>
      <c r="BE5" s="491"/>
      <c r="BF5" s="491"/>
      <c r="BG5" s="491"/>
      <c r="BH5" s="491"/>
      <c r="BI5" s="491"/>
      <c r="BJ5" s="491"/>
      <c r="BK5" s="491"/>
      <c r="BL5" s="491"/>
      <c r="BM5" s="491"/>
      <c r="BN5" s="491"/>
      <c r="BO5" s="491"/>
      <c r="BP5" s="491"/>
      <c r="BQ5" s="491"/>
      <c r="BR5" s="491"/>
      <c r="BS5" s="491"/>
      <c r="BT5" s="491"/>
      <c r="BU5" s="491"/>
      <c r="BV5" s="491"/>
      <c r="BW5" s="491"/>
      <c r="BX5" s="491"/>
      <c r="BY5" s="491"/>
      <c r="BZ5" s="491"/>
      <c r="CA5" s="491"/>
    </row>
    <row r="6" spans="1:79" s="144" customFormat="1" ht="38.25" customHeight="1" x14ac:dyDescent="0.2">
      <c r="A6" s="143" t="s">
        <v>164</v>
      </c>
      <c r="B6" s="458" t="s">
        <v>165</v>
      </c>
      <c r="C6" s="458"/>
      <c r="D6" s="458"/>
      <c r="E6" s="458"/>
      <c r="F6" s="458"/>
      <c r="G6" s="458"/>
      <c r="H6" s="458"/>
      <c r="I6" s="458"/>
      <c r="J6" s="458"/>
      <c r="K6" s="458"/>
      <c r="L6" s="458"/>
      <c r="M6" s="458"/>
      <c r="N6" s="448" t="s">
        <v>166</v>
      </c>
      <c r="O6" s="448"/>
      <c r="P6" s="448"/>
      <c r="Q6" s="448"/>
      <c r="R6" s="448" t="s">
        <v>167</v>
      </c>
      <c r="S6" s="448"/>
      <c r="T6" s="448"/>
      <c r="U6" s="448"/>
      <c r="V6" s="448"/>
      <c r="W6" s="492"/>
      <c r="X6" s="492"/>
      <c r="Y6" s="492"/>
      <c r="Z6" s="492"/>
      <c r="AA6" s="492"/>
      <c r="AB6" s="492"/>
      <c r="AC6" s="492"/>
      <c r="AD6" s="492"/>
      <c r="AE6" s="492"/>
      <c r="AF6" s="492"/>
      <c r="AG6" s="492"/>
      <c r="AH6" s="492"/>
      <c r="AI6" s="492"/>
      <c r="AJ6" s="492"/>
      <c r="AK6" s="492"/>
      <c r="AL6" s="492"/>
      <c r="AM6" s="492"/>
      <c r="AN6" s="492"/>
      <c r="AO6" s="492"/>
      <c r="AP6" s="492"/>
      <c r="AQ6" s="492"/>
      <c r="AR6" s="492"/>
      <c r="AS6" s="492"/>
      <c r="AT6" s="492"/>
      <c r="AU6" s="492"/>
      <c r="AV6" s="492"/>
      <c r="AW6" s="492"/>
      <c r="AX6" s="492"/>
      <c r="AY6" s="492"/>
      <c r="AZ6" s="492"/>
      <c r="BA6" s="492"/>
      <c r="BB6" s="492"/>
      <c r="BC6" s="492"/>
      <c r="BD6" s="492"/>
      <c r="BE6" s="492"/>
      <c r="BF6" s="492"/>
      <c r="BG6" s="492"/>
      <c r="BH6" s="492"/>
      <c r="BI6" s="492"/>
      <c r="BJ6" s="492"/>
      <c r="BK6" s="492"/>
      <c r="BL6" s="492"/>
      <c r="BM6" s="492"/>
      <c r="BN6" s="492"/>
      <c r="BO6" s="492"/>
      <c r="BP6" s="492"/>
      <c r="BQ6" s="492"/>
      <c r="BR6" s="492"/>
      <c r="BS6" s="492"/>
      <c r="BT6" s="492"/>
      <c r="BU6" s="492"/>
      <c r="BV6" s="492"/>
      <c r="BW6" s="492"/>
      <c r="BX6" s="492"/>
      <c r="BY6" s="492"/>
      <c r="BZ6" s="492"/>
      <c r="CA6" s="492"/>
    </row>
    <row r="7" spans="1:79" s="141" customFormat="1" ht="33.75" customHeight="1" x14ac:dyDescent="0.2">
      <c r="A7" s="140">
        <v>1</v>
      </c>
      <c r="B7" s="447"/>
      <c r="C7" s="447"/>
      <c r="D7" s="447"/>
      <c r="E7" s="447"/>
      <c r="F7" s="447"/>
      <c r="G7" s="447"/>
      <c r="H7" s="447"/>
      <c r="I7" s="447"/>
      <c r="J7" s="447"/>
      <c r="K7" s="447"/>
      <c r="L7" s="447"/>
      <c r="M7" s="447"/>
      <c r="N7" s="297"/>
      <c r="O7" s="297"/>
      <c r="P7" s="297"/>
      <c r="Q7" s="297"/>
      <c r="R7" s="353"/>
      <c r="S7" s="297"/>
      <c r="T7" s="297"/>
      <c r="U7" s="297"/>
      <c r="V7" s="297"/>
      <c r="W7" s="493"/>
      <c r="X7" s="493"/>
      <c r="Y7" s="493"/>
      <c r="Z7" s="493"/>
      <c r="AA7" s="493"/>
      <c r="AB7" s="493"/>
      <c r="AC7" s="493"/>
      <c r="AD7" s="493"/>
      <c r="AE7" s="493"/>
      <c r="AF7" s="493"/>
      <c r="AG7" s="493"/>
      <c r="AH7" s="493"/>
      <c r="AI7" s="493"/>
      <c r="AJ7" s="493"/>
      <c r="AK7" s="493"/>
      <c r="AL7" s="493"/>
      <c r="AM7" s="493"/>
      <c r="AN7" s="493"/>
      <c r="AO7" s="493"/>
      <c r="AP7" s="493"/>
      <c r="AQ7" s="493"/>
      <c r="AR7" s="493"/>
      <c r="AS7" s="493"/>
      <c r="AT7" s="493"/>
      <c r="AU7" s="493"/>
      <c r="AV7" s="493"/>
      <c r="AW7" s="493"/>
      <c r="AX7" s="493"/>
      <c r="AY7" s="493"/>
      <c r="AZ7" s="493"/>
      <c r="BA7" s="493"/>
      <c r="BB7" s="493"/>
      <c r="BC7" s="493"/>
      <c r="BD7" s="493"/>
      <c r="BE7" s="493"/>
      <c r="BF7" s="493"/>
      <c r="BG7" s="493"/>
      <c r="BH7" s="493"/>
      <c r="BI7" s="493"/>
      <c r="BJ7" s="493"/>
      <c r="BK7" s="493"/>
      <c r="BL7" s="493"/>
      <c r="BM7" s="493"/>
      <c r="BN7" s="493"/>
      <c r="BO7" s="493"/>
      <c r="BP7" s="493"/>
      <c r="BQ7" s="493"/>
      <c r="BR7" s="493"/>
      <c r="BS7" s="493"/>
      <c r="BT7" s="493"/>
      <c r="BU7" s="493"/>
      <c r="BV7" s="493"/>
      <c r="BW7" s="493"/>
      <c r="BX7" s="493"/>
      <c r="BY7" s="493"/>
      <c r="BZ7" s="493"/>
      <c r="CA7" s="493"/>
    </row>
    <row r="8" spans="1:79" s="141" customFormat="1" ht="33.75" customHeight="1" x14ac:dyDescent="0.2">
      <c r="A8" s="140">
        <v>2</v>
      </c>
      <c r="B8" s="447"/>
      <c r="C8" s="447"/>
      <c r="D8" s="447"/>
      <c r="E8" s="447"/>
      <c r="F8" s="447"/>
      <c r="G8" s="447"/>
      <c r="H8" s="447"/>
      <c r="I8" s="447"/>
      <c r="J8" s="447"/>
      <c r="K8" s="447"/>
      <c r="L8" s="447"/>
      <c r="M8" s="447"/>
      <c r="N8" s="297"/>
      <c r="O8" s="297"/>
      <c r="P8" s="297"/>
      <c r="Q8" s="297"/>
      <c r="R8" s="353"/>
      <c r="S8" s="297"/>
      <c r="T8" s="297"/>
      <c r="U8" s="297"/>
      <c r="V8" s="297"/>
      <c r="W8" s="493"/>
      <c r="X8" s="493"/>
      <c r="Y8" s="493"/>
      <c r="Z8" s="493"/>
      <c r="AA8" s="493"/>
      <c r="AB8" s="493"/>
      <c r="AC8" s="493"/>
      <c r="AD8" s="493"/>
      <c r="AE8" s="493"/>
      <c r="AF8" s="493"/>
      <c r="AG8" s="493"/>
      <c r="AH8" s="493"/>
      <c r="AI8" s="493"/>
      <c r="AJ8" s="493"/>
      <c r="AK8" s="493"/>
      <c r="AL8" s="493"/>
      <c r="AM8" s="493"/>
      <c r="AN8" s="493"/>
      <c r="AO8" s="493"/>
      <c r="AP8" s="493"/>
      <c r="AQ8" s="493"/>
      <c r="AR8" s="493"/>
      <c r="AS8" s="493"/>
      <c r="AT8" s="493"/>
      <c r="AU8" s="493"/>
      <c r="AV8" s="493"/>
      <c r="AW8" s="493"/>
      <c r="AX8" s="493"/>
      <c r="AY8" s="493"/>
      <c r="AZ8" s="493"/>
      <c r="BA8" s="493"/>
      <c r="BB8" s="493"/>
      <c r="BC8" s="493"/>
      <c r="BD8" s="493"/>
      <c r="BE8" s="493"/>
      <c r="BF8" s="493"/>
      <c r="BG8" s="493"/>
      <c r="BH8" s="493"/>
      <c r="BI8" s="493"/>
      <c r="BJ8" s="493"/>
      <c r="BK8" s="493"/>
      <c r="BL8" s="493"/>
      <c r="BM8" s="493"/>
      <c r="BN8" s="493"/>
      <c r="BO8" s="493"/>
      <c r="BP8" s="493"/>
      <c r="BQ8" s="493"/>
      <c r="BR8" s="493"/>
      <c r="BS8" s="493"/>
      <c r="BT8" s="493"/>
      <c r="BU8" s="493"/>
      <c r="BV8" s="493"/>
      <c r="BW8" s="493"/>
      <c r="BX8" s="493"/>
      <c r="BY8" s="493"/>
      <c r="BZ8" s="493"/>
      <c r="CA8" s="493"/>
    </row>
    <row r="9" spans="1:79" s="141" customFormat="1" ht="33.75" customHeight="1" x14ac:dyDescent="0.2">
      <c r="A9" s="140">
        <v>3</v>
      </c>
      <c r="B9" s="447"/>
      <c r="C9" s="447"/>
      <c r="D9" s="447"/>
      <c r="E9" s="447"/>
      <c r="F9" s="447"/>
      <c r="G9" s="447"/>
      <c r="H9" s="447"/>
      <c r="I9" s="447"/>
      <c r="J9" s="447"/>
      <c r="K9" s="447"/>
      <c r="L9" s="447"/>
      <c r="M9" s="447"/>
      <c r="N9" s="297"/>
      <c r="O9" s="297"/>
      <c r="P9" s="297"/>
      <c r="Q9" s="297"/>
      <c r="R9" s="297"/>
      <c r="S9" s="297"/>
      <c r="T9" s="297"/>
      <c r="U9" s="297"/>
      <c r="V9" s="297"/>
      <c r="W9" s="493"/>
      <c r="X9" s="493"/>
      <c r="Y9" s="493"/>
      <c r="Z9" s="493"/>
      <c r="AA9" s="493"/>
      <c r="AB9" s="493"/>
      <c r="AC9" s="493"/>
      <c r="AD9" s="493"/>
      <c r="AE9" s="493"/>
      <c r="AF9" s="493"/>
      <c r="AG9" s="493"/>
      <c r="AH9" s="493"/>
      <c r="AI9" s="493"/>
      <c r="AJ9" s="493"/>
      <c r="AK9" s="493"/>
      <c r="AL9" s="493"/>
      <c r="AM9" s="493"/>
      <c r="AN9" s="493"/>
      <c r="AO9" s="493"/>
      <c r="AP9" s="493"/>
      <c r="AQ9" s="493"/>
      <c r="AR9" s="493"/>
      <c r="AS9" s="493"/>
      <c r="AT9" s="493"/>
      <c r="AU9" s="493"/>
      <c r="AV9" s="493"/>
      <c r="AW9" s="493"/>
      <c r="AX9" s="493"/>
      <c r="AY9" s="493"/>
      <c r="AZ9" s="493"/>
      <c r="BA9" s="493"/>
      <c r="BB9" s="493"/>
      <c r="BC9" s="493"/>
      <c r="BD9" s="493"/>
      <c r="BE9" s="493"/>
      <c r="BF9" s="493"/>
      <c r="BG9" s="493"/>
      <c r="BH9" s="493"/>
      <c r="BI9" s="493"/>
      <c r="BJ9" s="493"/>
      <c r="BK9" s="493"/>
      <c r="BL9" s="493"/>
      <c r="BM9" s="493"/>
      <c r="BN9" s="493"/>
      <c r="BO9" s="493"/>
      <c r="BP9" s="493"/>
      <c r="BQ9" s="493"/>
      <c r="BR9" s="493"/>
      <c r="BS9" s="493"/>
      <c r="BT9" s="493"/>
      <c r="BU9" s="493"/>
      <c r="BV9" s="493"/>
      <c r="BW9" s="493"/>
      <c r="BX9" s="493"/>
      <c r="BY9" s="493"/>
      <c r="BZ9" s="493"/>
      <c r="CA9" s="493"/>
    </row>
    <row r="10" spans="1:79" s="141" customFormat="1" ht="33.75" customHeight="1" x14ac:dyDescent="0.2">
      <c r="A10" s="140">
        <v>4</v>
      </c>
      <c r="B10" s="447"/>
      <c r="C10" s="447"/>
      <c r="D10" s="447"/>
      <c r="E10" s="447"/>
      <c r="F10" s="447"/>
      <c r="G10" s="447"/>
      <c r="H10" s="447"/>
      <c r="I10" s="447"/>
      <c r="J10" s="447"/>
      <c r="K10" s="447"/>
      <c r="L10" s="447"/>
      <c r="M10" s="447"/>
      <c r="N10" s="297"/>
      <c r="O10" s="297"/>
      <c r="P10" s="297"/>
      <c r="Q10" s="297"/>
      <c r="R10" s="297"/>
      <c r="S10" s="297"/>
      <c r="T10" s="297"/>
      <c r="U10" s="297"/>
      <c r="V10" s="297"/>
      <c r="W10" s="493"/>
      <c r="X10" s="493"/>
      <c r="Y10" s="493"/>
      <c r="Z10" s="493"/>
      <c r="AA10" s="493"/>
      <c r="AB10" s="493"/>
      <c r="AC10" s="493"/>
      <c r="AD10" s="493"/>
      <c r="AE10" s="493"/>
      <c r="AF10" s="493"/>
      <c r="AG10" s="493"/>
      <c r="AH10" s="493"/>
      <c r="AI10" s="493"/>
      <c r="AJ10" s="493"/>
      <c r="AK10" s="493"/>
      <c r="AL10" s="493"/>
      <c r="AM10" s="493"/>
      <c r="AN10" s="493"/>
      <c r="AO10" s="493"/>
      <c r="AP10" s="493"/>
      <c r="AQ10" s="493"/>
      <c r="AR10" s="493"/>
      <c r="AS10" s="493"/>
      <c r="AT10" s="493"/>
      <c r="AU10" s="493"/>
      <c r="AV10" s="493"/>
      <c r="AW10" s="493"/>
      <c r="AX10" s="493"/>
      <c r="AY10" s="493"/>
      <c r="AZ10" s="493"/>
      <c r="BA10" s="493"/>
      <c r="BB10" s="493"/>
      <c r="BC10" s="493"/>
      <c r="BD10" s="493"/>
      <c r="BE10" s="493"/>
      <c r="BF10" s="493"/>
      <c r="BG10" s="493"/>
      <c r="BH10" s="493"/>
      <c r="BI10" s="493"/>
      <c r="BJ10" s="493"/>
      <c r="BK10" s="493"/>
      <c r="BL10" s="493"/>
      <c r="BM10" s="493"/>
      <c r="BN10" s="493"/>
      <c r="BO10" s="493"/>
      <c r="BP10" s="493"/>
      <c r="BQ10" s="493"/>
      <c r="BR10" s="493"/>
      <c r="BS10" s="493"/>
      <c r="BT10" s="493"/>
      <c r="BU10" s="493"/>
      <c r="BV10" s="493"/>
      <c r="BW10" s="493"/>
      <c r="BX10" s="493"/>
      <c r="BY10" s="493"/>
      <c r="BZ10" s="493"/>
      <c r="CA10" s="493"/>
    </row>
    <row r="11" spans="1:79" s="141" customFormat="1" ht="33.75" customHeight="1" x14ac:dyDescent="0.2">
      <c r="A11" s="140">
        <v>5</v>
      </c>
      <c r="B11" s="447"/>
      <c r="C11" s="447"/>
      <c r="D11" s="447"/>
      <c r="E11" s="447"/>
      <c r="F11" s="447"/>
      <c r="G11" s="447"/>
      <c r="H11" s="447"/>
      <c r="I11" s="447"/>
      <c r="J11" s="447"/>
      <c r="K11" s="447"/>
      <c r="L11" s="447"/>
      <c r="M11" s="447"/>
      <c r="N11" s="297"/>
      <c r="O11" s="297"/>
      <c r="P11" s="297"/>
      <c r="Q11" s="297"/>
      <c r="R11" s="297"/>
      <c r="S11" s="297"/>
      <c r="T11" s="297"/>
      <c r="U11" s="297"/>
      <c r="V11" s="297"/>
      <c r="W11" s="493"/>
      <c r="X11" s="493"/>
      <c r="Y11" s="493"/>
      <c r="Z11" s="493"/>
      <c r="AA11" s="493"/>
      <c r="AB11" s="493"/>
      <c r="AC11" s="493"/>
      <c r="AD11" s="493"/>
      <c r="AE11" s="493"/>
      <c r="AF11" s="493"/>
      <c r="AG11" s="493"/>
      <c r="AH11" s="493"/>
      <c r="AI11" s="493"/>
      <c r="AJ11" s="493"/>
      <c r="AK11" s="493"/>
      <c r="AL11" s="493"/>
      <c r="AM11" s="493"/>
      <c r="AN11" s="493"/>
      <c r="AO11" s="493"/>
      <c r="AP11" s="493"/>
      <c r="AQ11" s="493"/>
      <c r="AR11" s="493"/>
      <c r="AS11" s="493"/>
      <c r="AT11" s="493"/>
      <c r="AU11" s="493"/>
      <c r="AV11" s="493"/>
      <c r="AW11" s="493"/>
      <c r="AX11" s="493"/>
      <c r="AY11" s="493"/>
      <c r="AZ11" s="493"/>
      <c r="BA11" s="493"/>
      <c r="BB11" s="493"/>
      <c r="BC11" s="493"/>
      <c r="BD11" s="493"/>
      <c r="BE11" s="493"/>
      <c r="BF11" s="493"/>
      <c r="BG11" s="493"/>
      <c r="BH11" s="493"/>
      <c r="BI11" s="493"/>
      <c r="BJ11" s="493"/>
      <c r="BK11" s="493"/>
      <c r="BL11" s="493"/>
      <c r="BM11" s="493"/>
      <c r="BN11" s="493"/>
      <c r="BO11" s="493"/>
      <c r="BP11" s="493"/>
      <c r="BQ11" s="493"/>
      <c r="BR11" s="493"/>
      <c r="BS11" s="493"/>
      <c r="BT11" s="493"/>
      <c r="BU11" s="493"/>
      <c r="BV11" s="493"/>
      <c r="BW11" s="493"/>
      <c r="BX11" s="493"/>
      <c r="BY11" s="493"/>
      <c r="BZ11" s="493"/>
      <c r="CA11" s="493"/>
    </row>
    <row r="12" spans="1:79" s="141" customFormat="1" ht="33.75" customHeight="1" x14ac:dyDescent="0.2">
      <c r="A12" s="140">
        <v>6</v>
      </c>
      <c r="B12" s="447"/>
      <c r="C12" s="447"/>
      <c r="D12" s="447"/>
      <c r="E12" s="447"/>
      <c r="F12" s="447"/>
      <c r="G12" s="447"/>
      <c r="H12" s="447"/>
      <c r="I12" s="447"/>
      <c r="J12" s="447"/>
      <c r="K12" s="447"/>
      <c r="L12" s="447"/>
      <c r="M12" s="447"/>
      <c r="N12" s="297"/>
      <c r="O12" s="297"/>
      <c r="P12" s="297"/>
      <c r="Q12" s="297"/>
      <c r="R12" s="297"/>
      <c r="S12" s="297"/>
      <c r="T12" s="297"/>
      <c r="U12" s="297"/>
      <c r="V12" s="297"/>
      <c r="W12" s="493"/>
      <c r="X12" s="493"/>
      <c r="Y12" s="493"/>
      <c r="Z12" s="493"/>
      <c r="AA12" s="493"/>
      <c r="AB12" s="493"/>
      <c r="AC12" s="493"/>
      <c r="AD12" s="493"/>
      <c r="AE12" s="493"/>
      <c r="AF12" s="493"/>
      <c r="AG12" s="493"/>
      <c r="AH12" s="493"/>
      <c r="AI12" s="493"/>
      <c r="AJ12" s="493"/>
      <c r="AK12" s="493"/>
      <c r="AL12" s="493"/>
      <c r="AM12" s="493"/>
      <c r="AN12" s="493"/>
      <c r="AO12" s="493"/>
      <c r="AP12" s="493"/>
      <c r="AQ12" s="493"/>
      <c r="AR12" s="493"/>
      <c r="AS12" s="493"/>
      <c r="AT12" s="493"/>
      <c r="AU12" s="493"/>
      <c r="AV12" s="493"/>
      <c r="AW12" s="493"/>
      <c r="AX12" s="493"/>
      <c r="AY12" s="493"/>
      <c r="AZ12" s="493"/>
      <c r="BA12" s="493"/>
      <c r="BB12" s="493"/>
      <c r="BC12" s="493"/>
      <c r="BD12" s="493"/>
      <c r="BE12" s="493"/>
      <c r="BF12" s="493"/>
      <c r="BG12" s="493"/>
      <c r="BH12" s="493"/>
      <c r="BI12" s="493"/>
      <c r="BJ12" s="493"/>
      <c r="BK12" s="493"/>
      <c r="BL12" s="493"/>
      <c r="BM12" s="493"/>
      <c r="BN12" s="493"/>
      <c r="BO12" s="493"/>
      <c r="BP12" s="493"/>
      <c r="BQ12" s="493"/>
      <c r="BR12" s="493"/>
      <c r="BS12" s="493"/>
      <c r="BT12" s="493"/>
      <c r="BU12" s="493"/>
      <c r="BV12" s="493"/>
      <c r="BW12" s="493"/>
      <c r="BX12" s="493"/>
      <c r="BY12" s="493"/>
      <c r="BZ12" s="493"/>
      <c r="CA12" s="493"/>
    </row>
    <row r="13" spans="1:79" s="141" customFormat="1" ht="33.75" customHeight="1" x14ac:dyDescent="0.2">
      <c r="A13" s="140">
        <v>7</v>
      </c>
      <c r="B13" s="447"/>
      <c r="C13" s="447"/>
      <c r="D13" s="447"/>
      <c r="E13" s="447"/>
      <c r="F13" s="447"/>
      <c r="G13" s="447"/>
      <c r="H13" s="447"/>
      <c r="I13" s="447"/>
      <c r="J13" s="447"/>
      <c r="K13" s="447"/>
      <c r="L13" s="447"/>
      <c r="M13" s="447"/>
      <c r="N13" s="297"/>
      <c r="O13" s="297"/>
      <c r="P13" s="297"/>
      <c r="Q13" s="297"/>
      <c r="R13" s="297"/>
      <c r="S13" s="297"/>
      <c r="T13" s="297"/>
      <c r="U13" s="297"/>
      <c r="V13" s="297"/>
      <c r="W13" s="493"/>
      <c r="X13" s="493"/>
      <c r="Y13" s="493"/>
      <c r="Z13" s="493"/>
      <c r="AA13" s="493"/>
      <c r="AB13" s="493"/>
      <c r="AC13" s="493"/>
      <c r="AD13" s="493"/>
      <c r="AE13" s="493"/>
      <c r="AF13" s="493"/>
      <c r="AG13" s="493"/>
      <c r="AH13" s="493"/>
      <c r="AI13" s="493"/>
      <c r="AJ13" s="493"/>
      <c r="AK13" s="493"/>
      <c r="AL13" s="493"/>
      <c r="AM13" s="493"/>
      <c r="AN13" s="493"/>
      <c r="AO13" s="493"/>
      <c r="AP13" s="493"/>
      <c r="AQ13" s="493"/>
      <c r="AR13" s="493"/>
      <c r="AS13" s="493"/>
      <c r="AT13" s="493"/>
      <c r="AU13" s="493"/>
      <c r="AV13" s="493"/>
      <c r="AW13" s="493"/>
      <c r="AX13" s="493"/>
      <c r="AY13" s="493"/>
      <c r="AZ13" s="493"/>
      <c r="BA13" s="493"/>
      <c r="BB13" s="493"/>
      <c r="BC13" s="493"/>
      <c r="BD13" s="493"/>
      <c r="BE13" s="493"/>
      <c r="BF13" s="493"/>
      <c r="BG13" s="493"/>
      <c r="BH13" s="493"/>
      <c r="BI13" s="493"/>
      <c r="BJ13" s="493"/>
      <c r="BK13" s="493"/>
      <c r="BL13" s="493"/>
      <c r="BM13" s="493"/>
      <c r="BN13" s="493"/>
      <c r="BO13" s="493"/>
      <c r="BP13" s="493"/>
      <c r="BQ13" s="493"/>
      <c r="BR13" s="493"/>
      <c r="BS13" s="493"/>
      <c r="BT13" s="493"/>
      <c r="BU13" s="493"/>
      <c r="BV13" s="493"/>
      <c r="BW13" s="493"/>
      <c r="BX13" s="493"/>
      <c r="BY13" s="493"/>
      <c r="BZ13" s="493"/>
      <c r="CA13" s="493"/>
    </row>
    <row r="14" spans="1:79" s="141" customFormat="1" ht="33.75" customHeight="1" x14ac:dyDescent="0.2">
      <c r="A14" s="140">
        <v>8</v>
      </c>
      <c r="B14" s="447"/>
      <c r="C14" s="447"/>
      <c r="D14" s="447"/>
      <c r="E14" s="447"/>
      <c r="F14" s="447"/>
      <c r="G14" s="447"/>
      <c r="H14" s="447"/>
      <c r="I14" s="447"/>
      <c r="J14" s="447"/>
      <c r="K14" s="447"/>
      <c r="L14" s="447"/>
      <c r="M14" s="447"/>
      <c r="N14" s="297"/>
      <c r="O14" s="297"/>
      <c r="P14" s="297"/>
      <c r="Q14" s="297"/>
      <c r="R14" s="297"/>
      <c r="S14" s="297"/>
      <c r="T14" s="297"/>
      <c r="U14" s="297"/>
      <c r="V14" s="297"/>
      <c r="W14" s="493"/>
      <c r="X14" s="493"/>
      <c r="Y14" s="493"/>
      <c r="Z14" s="493"/>
      <c r="AA14" s="493"/>
      <c r="AB14" s="493"/>
      <c r="AC14" s="493"/>
      <c r="AD14" s="493"/>
      <c r="AE14" s="493"/>
      <c r="AF14" s="493"/>
      <c r="AG14" s="493"/>
      <c r="AH14" s="493"/>
      <c r="AI14" s="493"/>
      <c r="AJ14" s="493"/>
      <c r="AK14" s="493"/>
      <c r="AL14" s="493"/>
      <c r="AM14" s="493"/>
      <c r="AN14" s="493"/>
      <c r="AO14" s="493"/>
      <c r="AP14" s="493"/>
      <c r="AQ14" s="493"/>
      <c r="AR14" s="493"/>
      <c r="AS14" s="493"/>
      <c r="AT14" s="493"/>
      <c r="AU14" s="493"/>
      <c r="AV14" s="493"/>
      <c r="AW14" s="493"/>
      <c r="AX14" s="493"/>
      <c r="AY14" s="493"/>
      <c r="AZ14" s="493"/>
      <c r="BA14" s="493"/>
      <c r="BB14" s="493"/>
      <c r="BC14" s="493"/>
      <c r="BD14" s="493"/>
      <c r="BE14" s="493"/>
      <c r="BF14" s="493"/>
      <c r="BG14" s="493"/>
      <c r="BH14" s="493"/>
      <c r="BI14" s="493"/>
      <c r="BJ14" s="493"/>
      <c r="BK14" s="493"/>
      <c r="BL14" s="493"/>
      <c r="BM14" s="493"/>
      <c r="BN14" s="493"/>
      <c r="BO14" s="493"/>
      <c r="BP14" s="493"/>
      <c r="BQ14" s="493"/>
      <c r="BR14" s="493"/>
      <c r="BS14" s="493"/>
      <c r="BT14" s="493"/>
      <c r="BU14" s="493"/>
      <c r="BV14" s="493"/>
      <c r="BW14" s="493"/>
      <c r="BX14" s="493"/>
      <c r="BY14" s="493"/>
      <c r="BZ14" s="493"/>
      <c r="CA14" s="493"/>
    </row>
    <row r="15" spans="1:79" s="141" customFormat="1" ht="33.75" customHeight="1" x14ac:dyDescent="0.2">
      <c r="A15" s="140">
        <v>9</v>
      </c>
      <c r="B15" s="447"/>
      <c r="C15" s="447"/>
      <c r="D15" s="447"/>
      <c r="E15" s="447"/>
      <c r="F15" s="447"/>
      <c r="G15" s="447"/>
      <c r="H15" s="447"/>
      <c r="I15" s="447"/>
      <c r="J15" s="447"/>
      <c r="K15" s="447"/>
      <c r="L15" s="447"/>
      <c r="M15" s="447"/>
      <c r="N15" s="297"/>
      <c r="O15" s="297"/>
      <c r="P15" s="297"/>
      <c r="Q15" s="297"/>
      <c r="R15" s="297"/>
      <c r="S15" s="297"/>
      <c r="T15" s="297"/>
      <c r="U15" s="297"/>
      <c r="V15" s="297"/>
      <c r="W15" s="493"/>
      <c r="X15" s="493"/>
      <c r="Y15" s="493"/>
      <c r="Z15" s="493"/>
      <c r="AA15" s="493"/>
      <c r="AB15" s="493"/>
      <c r="AC15" s="493"/>
      <c r="AD15" s="493"/>
      <c r="AE15" s="493"/>
      <c r="AF15" s="493"/>
      <c r="AG15" s="493"/>
      <c r="AH15" s="493"/>
      <c r="AI15" s="493"/>
      <c r="AJ15" s="493"/>
      <c r="AK15" s="493"/>
      <c r="AL15" s="493"/>
      <c r="AM15" s="493"/>
      <c r="AN15" s="493"/>
      <c r="AO15" s="493"/>
      <c r="AP15" s="493"/>
      <c r="AQ15" s="493"/>
      <c r="AR15" s="493"/>
      <c r="AS15" s="493"/>
      <c r="AT15" s="493"/>
      <c r="AU15" s="493"/>
      <c r="AV15" s="493"/>
      <c r="AW15" s="493"/>
      <c r="AX15" s="493"/>
      <c r="AY15" s="493"/>
      <c r="AZ15" s="493"/>
      <c r="BA15" s="493"/>
      <c r="BB15" s="493"/>
      <c r="BC15" s="493"/>
      <c r="BD15" s="493"/>
      <c r="BE15" s="493"/>
      <c r="BF15" s="493"/>
      <c r="BG15" s="493"/>
      <c r="BH15" s="493"/>
      <c r="BI15" s="493"/>
      <c r="BJ15" s="493"/>
      <c r="BK15" s="493"/>
      <c r="BL15" s="493"/>
      <c r="BM15" s="493"/>
      <c r="BN15" s="493"/>
      <c r="BO15" s="493"/>
      <c r="BP15" s="493"/>
      <c r="BQ15" s="493"/>
      <c r="BR15" s="493"/>
      <c r="BS15" s="493"/>
      <c r="BT15" s="493"/>
      <c r="BU15" s="493"/>
      <c r="BV15" s="493"/>
      <c r="BW15" s="493"/>
      <c r="BX15" s="493"/>
      <c r="BY15" s="493"/>
      <c r="BZ15" s="493"/>
      <c r="CA15" s="493"/>
    </row>
    <row r="16" spans="1:79" s="141" customFormat="1" ht="33.75" customHeight="1" x14ac:dyDescent="0.2">
      <c r="A16" s="140">
        <v>10</v>
      </c>
      <c r="B16" s="447"/>
      <c r="C16" s="447"/>
      <c r="D16" s="447"/>
      <c r="E16" s="447"/>
      <c r="F16" s="447"/>
      <c r="G16" s="447"/>
      <c r="H16" s="447"/>
      <c r="I16" s="447"/>
      <c r="J16" s="447"/>
      <c r="K16" s="447"/>
      <c r="L16" s="447"/>
      <c r="M16" s="447"/>
      <c r="N16" s="297"/>
      <c r="O16" s="297"/>
      <c r="P16" s="297"/>
      <c r="Q16" s="297"/>
      <c r="R16" s="297"/>
      <c r="S16" s="297"/>
      <c r="T16" s="297"/>
      <c r="U16" s="297"/>
      <c r="V16" s="297"/>
      <c r="W16" s="493"/>
      <c r="X16" s="493"/>
      <c r="Y16" s="493"/>
      <c r="Z16" s="493"/>
      <c r="AA16" s="493"/>
      <c r="AB16" s="493"/>
      <c r="AC16" s="493"/>
      <c r="AD16" s="493"/>
      <c r="AE16" s="493"/>
      <c r="AF16" s="493"/>
      <c r="AG16" s="493"/>
      <c r="AH16" s="493"/>
      <c r="AI16" s="493"/>
      <c r="AJ16" s="493"/>
      <c r="AK16" s="493"/>
      <c r="AL16" s="493"/>
      <c r="AM16" s="493"/>
      <c r="AN16" s="493"/>
      <c r="AO16" s="493"/>
      <c r="AP16" s="493"/>
      <c r="AQ16" s="493"/>
      <c r="AR16" s="493"/>
      <c r="AS16" s="493"/>
      <c r="AT16" s="493"/>
      <c r="AU16" s="493"/>
      <c r="AV16" s="493"/>
      <c r="AW16" s="493"/>
      <c r="AX16" s="493"/>
      <c r="AY16" s="493"/>
      <c r="AZ16" s="493"/>
      <c r="BA16" s="493"/>
      <c r="BB16" s="493"/>
      <c r="BC16" s="493"/>
      <c r="BD16" s="493"/>
      <c r="BE16" s="493"/>
      <c r="BF16" s="493"/>
      <c r="BG16" s="493"/>
      <c r="BH16" s="493"/>
      <c r="BI16" s="493"/>
      <c r="BJ16" s="493"/>
      <c r="BK16" s="493"/>
      <c r="BL16" s="493"/>
      <c r="BM16" s="493"/>
      <c r="BN16" s="493"/>
      <c r="BO16" s="493"/>
      <c r="BP16" s="493"/>
      <c r="BQ16" s="493"/>
      <c r="BR16" s="493"/>
      <c r="BS16" s="493"/>
      <c r="BT16" s="493"/>
      <c r="BU16" s="493"/>
      <c r="BV16" s="493"/>
      <c r="BW16" s="493"/>
      <c r="BX16" s="493"/>
      <c r="BY16" s="493"/>
      <c r="BZ16" s="493"/>
      <c r="CA16" s="493"/>
    </row>
    <row r="17" spans="1:22" s="491" customFormat="1" x14ac:dyDescent="0.2">
      <c r="A17" s="494"/>
    </row>
    <row r="18" spans="1:22" s="491" customFormat="1" x14ac:dyDescent="0.2">
      <c r="A18" s="495" t="s">
        <v>168</v>
      </c>
      <c r="B18" s="495"/>
      <c r="C18" s="495"/>
      <c r="D18" s="495"/>
      <c r="E18" s="495"/>
      <c r="F18" s="495"/>
      <c r="G18" s="495"/>
      <c r="H18" s="495"/>
      <c r="I18" s="495"/>
      <c r="J18" s="495"/>
      <c r="K18" s="495"/>
      <c r="L18" s="495"/>
      <c r="M18" s="495"/>
      <c r="N18" s="495"/>
      <c r="O18" s="495"/>
      <c r="P18" s="495"/>
      <c r="Q18" s="495"/>
      <c r="R18" s="495"/>
      <c r="S18" s="495"/>
      <c r="T18" s="495"/>
      <c r="U18" s="495"/>
      <c r="V18" s="495"/>
    </row>
    <row r="19" spans="1:22" s="491" customFormat="1" x14ac:dyDescent="0.2">
      <c r="A19" s="494"/>
    </row>
    <row r="20" spans="1:22" s="491" customFormat="1" x14ac:dyDescent="0.2">
      <c r="A20" s="495" t="s">
        <v>169</v>
      </c>
      <c r="B20" s="495"/>
      <c r="C20" s="495"/>
      <c r="D20" s="495"/>
      <c r="E20" s="495"/>
      <c r="F20" s="495"/>
      <c r="G20" s="495"/>
      <c r="H20" s="495"/>
      <c r="I20" s="495"/>
      <c r="J20" s="495"/>
      <c r="K20" s="495"/>
      <c r="L20" s="495"/>
      <c r="M20" s="495"/>
      <c r="N20" s="495"/>
      <c r="O20" s="495"/>
      <c r="P20" s="495"/>
      <c r="Q20" s="495"/>
      <c r="R20" s="495"/>
      <c r="S20" s="495"/>
      <c r="T20" s="495"/>
      <c r="U20" s="495"/>
      <c r="V20" s="495"/>
    </row>
    <row r="21" spans="1:22" s="490" customFormat="1" x14ac:dyDescent="0.2">
      <c r="A21" s="494"/>
      <c r="B21" s="491"/>
      <c r="C21" s="491"/>
      <c r="D21" s="491"/>
      <c r="E21" s="491"/>
      <c r="F21" s="491"/>
      <c r="G21" s="491"/>
      <c r="H21" s="491"/>
      <c r="I21" s="491"/>
      <c r="J21" s="491"/>
      <c r="K21" s="491"/>
      <c r="L21" s="491"/>
      <c r="M21" s="491"/>
      <c r="N21" s="491"/>
      <c r="O21" s="491"/>
      <c r="P21" s="491"/>
      <c r="Q21" s="491"/>
      <c r="R21" s="491"/>
      <c r="S21" s="491"/>
      <c r="T21" s="491"/>
      <c r="U21" s="491"/>
      <c r="V21" s="491"/>
    </row>
    <row r="22" spans="1:22" s="490" customFormat="1" x14ac:dyDescent="0.2">
      <c r="A22" s="494"/>
      <c r="B22" s="491"/>
      <c r="C22" s="491"/>
      <c r="D22" s="491"/>
      <c r="E22" s="491"/>
      <c r="F22" s="491"/>
      <c r="G22" s="491"/>
      <c r="H22" s="491"/>
      <c r="I22" s="491"/>
      <c r="J22" s="491"/>
      <c r="K22" s="491"/>
      <c r="L22" s="491"/>
      <c r="M22" s="491"/>
      <c r="N22" s="491"/>
      <c r="O22" s="491"/>
      <c r="P22" s="491"/>
      <c r="Q22" s="491"/>
      <c r="R22" s="491"/>
      <c r="S22" s="491"/>
      <c r="T22" s="491"/>
      <c r="U22" s="491"/>
      <c r="V22" s="491"/>
    </row>
    <row r="23" spans="1:22" s="490" customFormat="1" x14ac:dyDescent="0.2">
      <c r="A23" s="494"/>
      <c r="B23" s="491"/>
      <c r="C23" s="491"/>
      <c r="D23" s="491"/>
      <c r="E23" s="491"/>
      <c r="F23" s="491"/>
      <c r="G23" s="491"/>
      <c r="H23" s="491"/>
      <c r="I23" s="491"/>
      <c r="J23" s="491"/>
      <c r="K23" s="491"/>
      <c r="L23" s="491"/>
      <c r="M23" s="491"/>
      <c r="N23" s="491"/>
      <c r="O23" s="491"/>
      <c r="P23" s="491"/>
      <c r="Q23" s="491"/>
      <c r="R23" s="491"/>
      <c r="S23" s="491"/>
      <c r="T23" s="491"/>
      <c r="U23" s="491"/>
      <c r="V23" s="491"/>
    </row>
    <row r="24" spans="1:22" s="490" customFormat="1" x14ac:dyDescent="0.2">
      <c r="A24" s="494"/>
      <c r="B24" s="491"/>
      <c r="C24" s="491"/>
      <c r="D24" s="491"/>
      <c r="E24" s="491"/>
      <c r="F24" s="491"/>
      <c r="G24" s="491"/>
      <c r="H24" s="491"/>
      <c r="I24" s="491"/>
      <c r="J24" s="491"/>
      <c r="K24" s="491"/>
      <c r="L24" s="491"/>
      <c r="M24" s="491"/>
      <c r="N24" s="491"/>
      <c r="O24" s="491"/>
      <c r="P24" s="491"/>
      <c r="Q24" s="491"/>
      <c r="R24" s="491"/>
      <c r="S24" s="491"/>
      <c r="T24" s="491"/>
      <c r="U24" s="491"/>
      <c r="V24" s="491"/>
    </row>
    <row r="25" spans="1:22" s="490" customFormat="1" x14ac:dyDescent="0.2">
      <c r="A25" s="494"/>
      <c r="B25" s="491"/>
      <c r="C25" s="491"/>
      <c r="D25" s="491"/>
      <c r="E25" s="491"/>
      <c r="F25" s="491"/>
      <c r="G25" s="491"/>
      <c r="H25" s="491"/>
      <c r="I25" s="491"/>
      <c r="J25" s="491"/>
      <c r="K25" s="491"/>
      <c r="L25" s="491"/>
      <c r="M25" s="491"/>
      <c r="N25" s="491"/>
      <c r="O25" s="491"/>
      <c r="P25" s="491"/>
      <c r="Q25" s="491"/>
      <c r="R25" s="491"/>
      <c r="S25" s="491"/>
      <c r="T25" s="491"/>
      <c r="U25" s="491"/>
      <c r="V25" s="491"/>
    </row>
    <row r="26" spans="1:22" s="490" customFormat="1" x14ac:dyDescent="0.2">
      <c r="A26" s="494"/>
      <c r="B26" s="491"/>
      <c r="C26" s="491"/>
      <c r="D26" s="491"/>
      <c r="E26" s="491"/>
      <c r="F26" s="491"/>
      <c r="G26" s="491"/>
      <c r="H26" s="491"/>
      <c r="I26" s="491"/>
      <c r="J26" s="491"/>
      <c r="K26" s="491"/>
      <c r="L26" s="491"/>
      <c r="M26" s="491"/>
      <c r="N26" s="491"/>
      <c r="O26" s="491"/>
      <c r="P26" s="491"/>
      <c r="Q26" s="491"/>
      <c r="R26" s="491"/>
      <c r="S26" s="491"/>
      <c r="T26" s="491"/>
      <c r="U26" s="491"/>
      <c r="V26" s="491"/>
    </row>
    <row r="27" spans="1:22" s="490" customFormat="1" x14ac:dyDescent="0.2">
      <c r="A27" s="494"/>
      <c r="B27" s="491"/>
      <c r="C27" s="491"/>
      <c r="D27" s="491"/>
      <c r="E27" s="491"/>
      <c r="F27" s="491"/>
      <c r="G27" s="491"/>
      <c r="H27" s="491"/>
      <c r="I27" s="491"/>
      <c r="J27" s="491"/>
      <c r="K27" s="491"/>
      <c r="L27" s="491"/>
      <c r="M27" s="491"/>
      <c r="N27" s="491"/>
      <c r="O27" s="491"/>
      <c r="P27" s="491"/>
      <c r="Q27" s="491"/>
      <c r="R27" s="491"/>
      <c r="S27" s="491"/>
      <c r="T27" s="491"/>
      <c r="U27" s="491"/>
      <c r="V27" s="491"/>
    </row>
    <row r="28" spans="1:22" s="490" customFormat="1" x14ac:dyDescent="0.2">
      <c r="A28" s="494"/>
      <c r="B28" s="491"/>
      <c r="C28" s="491"/>
      <c r="D28" s="491"/>
      <c r="E28" s="491"/>
      <c r="F28" s="491"/>
      <c r="G28" s="491"/>
      <c r="H28" s="491"/>
      <c r="I28" s="491"/>
      <c r="J28" s="491"/>
      <c r="K28" s="491"/>
      <c r="L28" s="491"/>
      <c r="M28" s="491"/>
      <c r="N28" s="491"/>
      <c r="O28" s="491"/>
      <c r="P28" s="491"/>
      <c r="Q28" s="491"/>
      <c r="R28" s="491"/>
      <c r="S28" s="491"/>
      <c r="T28" s="491"/>
      <c r="U28" s="491"/>
      <c r="V28" s="491"/>
    </row>
    <row r="29" spans="1:22" s="490" customFormat="1" x14ac:dyDescent="0.2">
      <c r="A29" s="494"/>
      <c r="B29" s="491"/>
      <c r="C29" s="491"/>
      <c r="D29" s="491"/>
      <c r="E29" s="491"/>
      <c r="F29" s="491"/>
      <c r="G29" s="491"/>
      <c r="H29" s="491"/>
      <c r="I29" s="491"/>
      <c r="J29" s="491"/>
      <c r="K29" s="491"/>
      <c r="L29" s="491"/>
      <c r="M29" s="491"/>
      <c r="N29" s="491"/>
      <c r="O29" s="491"/>
      <c r="P29" s="491"/>
      <c r="Q29" s="491"/>
      <c r="R29" s="491"/>
      <c r="S29" s="491"/>
      <c r="T29" s="491"/>
      <c r="U29" s="491"/>
      <c r="V29" s="491"/>
    </row>
    <row r="30" spans="1:22" s="490" customFormat="1" x14ac:dyDescent="0.2">
      <c r="A30" s="494"/>
      <c r="B30" s="491"/>
      <c r="C30" s="491"/>
      <c r="D30" s="491"/>
      <c r="E30" s="491"/>
      <c r="F30" s="491"/>
      <c r="G30" s="491"/>
      <c r="H30" s="491"/>
      <c r="I30" s="491"/>
      <c r="J30" s="491"/>
      <c r="K30" s="491"/>
      <c r="L30" s="491"/>
      <c r="M30" s="491"/>
      <c r="N30" s="491"/>
      <c r="O30" s="491"/>
      <c r="P30" s="491"/>
      <c r="Q30" s="491"/>
      <c r="R30" s="491"/>
      <c r="S30" s="491"/>
      <c r="T30" s="491"/>
      <c r="U30" s="491"/>
      <c r="V30" s="491"/>
    </row>
    <row r="31" spans="1:22" s="490" customFormat="1" x14ac:dyDescent="0.2">
      <c r="A31" s="494"/>
      <c r="B31" s="491"/>
      <c r="C31" s="491"/>
      <c r="D31" s="491"/>
      <c r="E31" s="491"/>
      <c r="F31" s="491"/>
      <c r="G31" s="491"/>
      <c r="H31" s="491"/>
      <c r="I31" s="491"/>
      <c r="J31" s="491"/>
      <c r="K31" s="491"/>
      <c r="L31" s="491"/>
      <c r="M31" s="491"/>
      <c r="N31" s="491"/>
      <c r="O31" s="491"/>
      <c r="P31" s="491"/>
      <c r="Q31" s="491"/>
      <c r="R31" s="491"/>
      <c r="S31" s="491"/>
      <c r="T31" s="491"/>
      <c r="U31" s="491"/>
      <c r="V31" s="491"/>
    </row>
    <row r="32" spans="1:22" s="490" customFormat="1" x14ac:dyDescent="0.2">
      <c r="A32" s="494"/>
      <c r="B32" s="491"/>
      <c r="C32" s="491"/>
      <c r="D32" s="491"/>
      <c r="E32" s="491"/>
      <c r="F32" s="491"/>
      <c r="G32" s="491"/>
      <c r="H32" s="491"/>
      <c r="I32" s="491"/>
      <c r="J32" s="491"/>
      <c r="K32" s="491"/>
      <c r="L32" s="491"/>
      <c r="M32" s="491"/>
      <c r="N32" s="491"/>
      <c r="O32" s="491"/>
      <c r="P32" s="491"/>
      <c r="Q32" s="491"/>
      <c r="R32" s="491"/>
      <c r="S32" s="491"/>
      <c r="T32" s="491"/>
      <c r="U32" s="491"/>
      <c r="V32" s="491"/>
    </row>
    <row r="33" spans="1:22" s="490" customFormat="1" x14ac:dyDescent="0.2">
      <c r="A33" s="494"/>
      <c r="B33" s="491"/>
      <c r="C33" s="491"/>
      <c r="D33" s="491"/>
      <c r="E33" s="491"/>
      <c r="F33" s="491"/>
      <c r="G33" s="491"/>
      <c r="H33" s="491"/>
      <c r="I33" s="491"/>
      <c r="J33" s="491"/>
      <c r="K33" s="491"/>
      <c r="L33" s="491"/>
      <c r="M33" s="491"/>
      <c r="N33" s="491"/>
      <c r="O33" s="491"/>
      <c r="P33" s="491"/>
      <c r="Q33" s="491"/>
      <c r="R33" s="491"/>
      <c r="S33" s="491"/>
      <c r="T33" s="491"/>
      <c r="U33" s="491"/>
      <c r="V33" s="491"/>
    </row>
    <row r="34" spans="1:22" s="490" customFormat="1" x14ac:dyDescent="0.2">
      <c r="A34" s="494"/>
      <c r="B34" s="491"/>
      <c r="C34" s="491"/>
      <c r="D34" s="491"/>
      <c r="E34" s="491"/>
      <c r="F34" s="491"/>
      <c r="G34" s="491"/>
      <c r="H34" s="491"/>
      <c r="I34" s="491"/>
      <c r="J34" s="491"/>
      <c r="K34" s="491"/>
      <c r="L34" s="491"/>
      <c r="M34" s="491"/>
      <c r="N34" s="491"/>
      <c r="O34" s="491"/>
      <c r="P34" s="491"/>
      <c r="Q34" s="491"/>
      <c r="R34" s="491"/>
      <c r="S34" s="491"/>
      <c r="T34" s="491"/>
      <c r="U34" s="491"/>
      <c r="V34" s="491"/>
    </row>
    <row r="35" spans="1:22" s="490" customFormat="1" x14ac:dyDescent="0.2">
      <c r="A35" s="494"/>
      <c r="B35" s="491"/>
      <c r="C35" s="491"/>
      <c r="D35" s="491"/>
      <c r="E35" s="491"/>
      <c r="F35" s="491"/>
      <c r="G35" s="491"/>
      <c r="H35" s="491"/>
      <c r="I35" s="491"/>
      <c r="J35" s="491"/>
      <c r="K35" s="491"/>
      <c r="L35" s="491"/>
      <c r="M35" s="491"/>
      <c r="N35" s="491"/>
      <c r="O35" s="491"/>
      <c r="P35" s="491"/>
      <c r="Q35" s="491"/>
      <c r="R35" s="491"/>
      <c r="S35" s="491"/>
      <c r="T35" s="491"/>
      <c r="U35" s="491"/>
      <c r="V35" s="491"/>
    </row>
    <row r="36" spans="1:22" s="490" customFormat="1" x14ac:dyDescent="0.2">
      <c r="A36" s="494"/>
      <c r="B36" s="491"/>
      <c r="C36" s="491"/>
      <c r="D36" s="491"/>
      <c r="E36" s="491"/>
      <c r="F36" s="491"/>
      <c r="G36" s="491"/>
      <c r="H36" s="491"/>
      <c r="I36" s="491"/>
      <c r="J36" s="491"/>
      <c r="K36" s="491"/>
      <c r="L36" s="491"/>
      <c r="M36" s="491"/>
      <c r="N36" s="491"/>
      <c r="O36" s="491"/>
      <c r="P36" s="491"/>
      <c r="Q36" s="491"/>
      <c r="R36" s="491"/>
      <c r="S36" s="491"/>
      <c r="T36" s="491"/>
      <c r="U36" s="491"/>
      <c r="V36" s="491"/>
    </row>
    <row r="37" spans="1:22" s="490" customFormat="1" x14ac:dyDescent="0.2">
      <c r="A37" s="494"/>
      <c r="B37" s="491"/>
      <c r="C37" s="491"/>
      <c r="D37" s="491"/>
      <c r="E37" s="491"/>
      <c r="F37" s="491"/>
      <c r="G37" s="491"/>
      <c r="H37" s="491"/>
      <c r="I37" s="491"/>
      <c r="J37" s="491"/>
      <c r="K37" s="491"/>
      <c r="L37" s="491"/>
      <c r="M37" s="491"/>
      <c r="N37" s="491"/>
      <c r="O37" s="491"/>
      <c r="P37" s="491"/>
      <c r="Q37" s="491"/>
      <c r="R37" s="491"/>
      <c r="S37" s="491"/>
      <c r="T37" s="491"/>
      <c r="U37" s="491"/>
      <c r="V37" s="491"/>
    </row>
    <row r="38" spans="1:22" s="490" customFormat="1" x14ac:dyDescent="0.2">
      <c r="A38" s="494"/>
      <c r="B38" s="491"/>
      <c r="C38" s="491"/>
      <c r="D38" s="491"/>
      <c r="E38" s="491"/>
      <c r="F38" s="491"/>
      <c r="G38" s="491"/>
      <c r="H38" s="491"/>
      <c r="I38" s="491"/>
      <c r="J38" s="491"/>
      <c r="K38" s="491"/>
      <c r="L38" s="491"/>
      <c r="M38" s="491"/>
      <c r="N38" s="491"/>
      <c r="O38" s="491"/>
      <c r="P38" s="491"/>
      <c r="Q38" s="491"/>
      <c r="R38" s="491"/>
      <c r="S38" s="491"/>
      <c r="T38" s="491"/>
      <c r="U38" s="491"/>
      <c r="V38" s="491"/>
    </row>
    <row r="39" spans="1:22" s="490" customFormat="1" x14ac:dyDescent="0.2">
      <c r="A39" s="494"/>
      <c r="B39" s="491"/>
      <c r="C39" s="491"/>
      <c r="D39" s="491"/>
      <c r="E39" s="491"/>
      <c r="F39" s="491"/>
      <c r="G39" s="491"/>
      <c r="H39" s="491"/>
      <c r="I39" s="491"/>
      <c r="J39" s="491"/>
      <c r="K39" s="491"/>
      <c r="L39" s="491"/>
      <c r="M39" s="491"/>
      <c r="N39" s="491"/>
      <c r="O39" s="491"/>
      <c r="P39" s="491"/>
      <c r="Q39" s="491"/>
      <c r="R39" s="491"/>
      <c r="S39" s="491"/>
      <c r="T39" s="491"/>
      <c r="U39" s="491"/>
      <c r="V39" s="491"/>
    </row>
    <row r="40" spans="1:22" s="490" customFormat="1" x14ac:dyDescent="0.2">
      <c r="A40" s="494"/>
      <c r="B40" s="491"/>
      <c r="C40" s="491"/>
      <c r="D40" s="491"/>
      <c r="E40" s="491"/>
      <c r="F40" s="491"/>
      <c r="G40" s="491"/>
      <c r="H40" s="491"/>
      <c r="I40" s="491"/>
      <c r="J40" s="491"/>
      <c r="K40" s="491"/>
      <c r="L40" s="491"/>
      <c r="M40" s="491"/>
      <c r="N40" s="491"/>
      <c r="O40" s="491"/>
      <c r="P40" s="491"/>
      <c r="Q40" s="491"/>
      <c r="R40" s="491"/>
      <c r="S40" s="491"/>
      <c r="T40" s="491"/>
      <c r="U40" s="491"/>
      <c r="V40" s="491"/>
    </row>
    <row r="41" spans="1:22" s="490" customFormat="1" x14ac:dyDescent="0.2">
      <c r="A41" s="494"/>
      <c r="B41" s="491"/>
      <c r="C41" s="491"/>
      <c r="D41" s="491"/>
      <c r="E41" s="491"/>
      <c r="F41" s="491"/>
      <c r="G41" s="491"/>
      <c r="H41" s="491"/>
      <c r="I41" s="491"/>
      <c r="J41" s="491"/>
      <c r="K41" s="491"/>
      <c r="L41" s="491"/>
      <c r="M41" s="491"/>
      <c r="N41" s="491"/>
      <c r="O41" s="491"/>
      <c r="P41" s="491"/>
      <c r="Q41" s="491"/>
      <c r="R41" s="491"/>
      <c r="S41" s="491"/>
      <c r="T41" s="491"/>
      <c r="U41" s="491"/>
      <c r="V41" s="491"/>
    </row>
    <row r="42" spans="1:22" s="490" customFormat="1" x14ac:dyDescent="0.2">
      <c r="A42" s="494"/>
      <c r="B42" s="491"/>
      <c r="C42" s="491"/>
      <c r="D42" s="491"/>
      <c r="E42" s="491"/>
      <c r="F42" s="491"/>
      <c r="G42" s="491"/>
      <c r="H42" s="491"/>
      <c r="I42" s="491"/>
      <c r="J42" s="491"/>
      <c r="K42" s="491"/>
      <c r="L42" s="491"/>
      <c r="M42" s="491"/>
      <c r="N42" s="491"/>
      <c r="O42" s="491"/>
      <c r="P42" s="491"/>
      <c r="Q42" s="491"/>
      <c r="R42" s="491"/>
      <c r="S42" s="491"/>
      <c r="T42" s="491"/>
      <c r="U42" s="491"/>
      <c r="V42" s="491"/>
    </row>
    <row r="43" spans="1:22" s="490" customFormat="1" x14ac:dyDescent="0.2">
      <c r="A43" s="494"/>
      <c r="B43" s="491"/>
      <c r="C43" s="491"/>
      <c r="D43" s="491"/>
      <c r="E43" s="491"/>
      <c r="F43" s="491"/>
      <c r="G43" s="491"/>
      <c r="H43" s="491"/>
      <c r="I43" s="491"/>
      <c r="J43" s="491"/>
      <c r="K43" s="491"/>
      <c r="L43" s="491"/>
      <c r="M43" s="491"/>
      <c r="N43" s="491"/>
      <c r="O43" s="491"/>
      <c r="P43" s="491"/>
      <c r="Q43" s="491"/>
      <c r="R43" s="491"/>
      <c r="S43" s="491"/>
      <c r="T43" s="491"/>
      <c r="U43" s="491"/>
      <c r="V43" s="491"/>
    </row>
    <row r="44" spans="1:22" s="490" customFormat="1" x14ac:dyDescent="0.2">
      <c r="A44" s="494"/>
      <c r="B44" s="491"/>
      <c r="C44" s="491"/>
      <c r="D44" s="491"/>
      <c r="E44" s="491"/>
      <c r="F44" s="491"/>
      <c r="G44" s="491"/>
      <c r="H44" s="491"/>
      <c r="I44" s="491"/>
      <c r="J44" s="491"/>
      <c r="K44" s="491"/>
      <c r="L44" s="491"/>
      <c r="M44" s="491"/>
      <c r="N44" s="491"/>
      <c r="O44" s="491"/>
      <c r="P44" s="491"/>
      <c r="Q44" s="491"/>
      <c r="R44" s="491"/>
      <c r="S44" s="491"/>
      <c r="T44" s="491"/>
      <c r="U44" s="491"/>
      <c r="V44" s="491"/>
    </row>
    <row r="45" spans="1:22" s="490" customFormat="1" x14ac:dyDescent="0.2">
      <c r="A45" s="494"/>
      <c r="B45" s="491"/>
      <c r="C45" s="491"/>
      <c r="D45" s="491"/>
      <c r="E45" s="491"/>
      <c r="F45" s="491"/>
      <c r="G45" s="491"/>
      <c r="H45" s="491"/>
      <c r="I45" s="491"/>
      <c r="J45" s="491"/>
      <c r="K45" s="491"/>
      <c r="L45" s="491"/>
      <c r="M45" s="491"/>
      <c r="N45" s="491"/>
      <c r="O45" s="491"/>
      <c r="P45" s="491"/>
      <c r="Q45" s="491"/>
      <c r="R45" s="491"/>
      <c r="S45" s="491"/>
      <c r="T45" s="491"/>
      <c r="U45" s="491"/>
      <c r="V45" s="491"/>
    </row>
    <row r="46" spans="1:22" s="490" customFormat="1" x14ac:dyDescent="0.2">
      <c r="A46" s="494"/>
      <c r="B46" s="491"/>
      <c r="C46" s="491"/>
      <c r="D46" s="491"/>
      <c r="E46" s="491"/>
      <c r="F46" s="491"/>
      <c r="G46" s="491"/>
      <c r="H46" s="491"/>
      <c r="I46" s="491"/>
      <c r="J46" s="491"/>
      <c r="K46" s="491"/>
      <c r="L46" s="491"/>
      <c r="M46" s="491"/>
      <c r="N46" s="491"/>
      <c r="O46" s="491"/>
      <c r="P46" s="491"/>
      <c r="Q46" s="491"/>
      <c r="R46" s="491"/>
      <c r="S46" s="491"/>
      <c r="T46" s="491"/>
      <c r="U46" s="491"/>
      <c r="V46" s="491"/>
    </row>
    <row r="47" spans="1:22" s="490" customFormat="1" x14ac:dyDescent="0.2">
      <c r="A47" s="494"/>
      <c r="B47" s="491"/>
      <c r="C47" s="491"/>
      <c r="D47" s="491"/>
      <c r="E47" s="491"/>
      <c r="F47" s="491"/>
      <c r="G47" s="491"/>
      <c r="H47" s="491"/>
      <c r="I47" s="491"/>
      <c r="J47" s="491"/>
      <c r="K47" s="491"/>
      <c r="L47" s="491"/>
      <c r="M47" s="491"/>
      <c r="N47" s="491"/>
      <c r="O47" s="491"/>
      <c r="P47" s="491"/>
      <c r="Q47" s="491"/>
      <c r="R47" s="491"/>
      <c r="S47" s="491"/>
      <c r="T47" s="491"/>
      <c r="U47" s="491"/>
      <c r="V47" s="491"/>
    </row>
    <row r="48" spans="1:22" s="490" customFormat="1" x14ac:dyDescent="0.2">
      <c r="A48" s="494"/>
      <c r="B48" s="491"/>
      <c r="C48" s="491"/>
      <c r="D48" s="491"/>
      <c r="E48" s="491"/>
      <c r="F48" s="491"/>
      <c r="G48" s="491"/>
      <c r="H48" s="491"/>
      <c r="I48" s="491"/>
      <c r="J48" s="491"/>
      <c r="K48" s="491"/>
      <c r="L48" s="491"/>
      <c r="M48" s="491"/>
      <c r="N48" s="491"/>
      <c r="O48" s="491"/>
      <c r="P48" s="491"/>
      <c r="Q48" s="491"/>
      <c r="R48" s="491"/>
      <c r="S48" s="491"/>
      <c r="T48" s="491"/>
      <c r="U48" s="491"/>
      <c r="V48" s="491"/>
    </row>
    <row r="49" spans="1:22" s="490" customFormat="1" x14ac:dyDescent="0.2">
      <c r="A49" s="494"/>
      <c r="B49" s="491"/>
      <c r="C49" s="491"/>
      <c r="D49" s="491"/>
      <c r="E49" s="491"/>
      <c r="F49" s="491"/>
      <c r="G49" s="491"/>
      <c r="H49" s="491"/>
      <c r="I49" s="491"/>
      <c r="J49" s="491"/>
      <c r="K49" s="491"/>
      <c r="L49" s="491"/>
      <c r="M49" s="491"/>
      <c r="N49" s="491"/>
      <c r="O49" s="491"/>
      <c r="P49" s="491"/>
      <c r="Q49" s="491"/>
      <c r="R49" s="491"/>
      <c r="S49" s="491"/>
      <c r="T49" s="491"/>
      <c r="U49" s="491"/>
      <c r="V49" s="491"/>
    </row>
    <row r="50" spans="1:22" s="490" customFormat="1" x14ac:dyDescent="0.2">
      <c r="A50" s="494"/>
      <c r="B50" s="491"/>
      <c r="C50" s="491"/>
      <c r="D50" s="491"/>
      <c r="E50" s="491"/>
      <c r="F50" s="491"/>
      <c r="G50" s="491"/>
      <c r="H50" s="491"/>
      <c r="I50" s="491"/>
      <c r="J50" s="491"/>
      <c r="K50" s="491"/>
      <c r="L50" s="491"/>
      <c r="M50" s="491"/>
      <c r="N50" s="491"/>
      <c r="O50" s="491"/>
      <c r="P50" s="491"/>
      <c r="Q50" s="491"/>
      <c r="R50" s="491"/>
      <c r="S50" s="491"/>
      <c r="T50" s="491"/>
      <c r="U50" s="491"/>
      <c r="V50" s="491"/>
    </row>
    <row r="51" spans="1:22" s="490" customFormat="1" x14ac:dyDescent="0.2">
      <c r="A51" s="494"/>
      <c r="B51" s="491"/>
      <c r="C51" s="491"/>
      <c r="D51" s="491"/>
      <c r="E51" s="491"/>
      <c r="F51" s="491"/>
      <c r="G51" s="491"/>
      <c r="H51" s="491"/>
      <c r="I51" s="491"/>
      <c r="J51" s="491"/>
      <c r="K51" s="491"/>
      <c r="L51" s="491"/>
      <c r="M51" s="491"/>
      <c r="N51" s="491"/>
      <c r="O51" s="491"/>
      <c r="P51" s="491"/>
      <c r="Q51" s="491"/>
      <c r="R51" s="491"/>
      <c r="S51" s="491"/>
      <c r="T51" s="491"/>
      <c r="U51" s="491"/>
      <c r="V51" s="491"/>
    </row>
    <row r="52" spans="1:22" s="490" customFormat="1" x14ac:dyDescent="0.2">
      <c r="A52" s="494"/>
      <c r="B52" s="491"/>
      <c r="C52" s="491"/>
      <c r="D52" s="491"/>
      <c r="E52" s="491"/>
      <c r="F52" s="491"/>
      <c r="G52" s="491"/>
      <c r="H52" s="491"/>
      <c r="I52" s="491"/>
      <c r="J52" s="491"/>
      <c r="K52" s="491"/>
      <c r="L52" s="491"/>
      <c r="M52" s="491"/>
      <c r="N52" s="491"/>
      <c r="O52" s="491"/>
      <c r="P52" s="491"/>
      <c r="Q52" s="491"/>
      <c r="R52" s="491"/>
      <c r="S52" s="491"/>
      <c r="T52" s="491"/>
      <c r="U52" s="491"/>
      <c r="V52" s="491"/>
    </row>
    <row r="53" spans="1:22" s="490" customFormat="1" x14ac:dyDescent="0.2">
      <c r="A53" s="494"/>
      <c r="B53" s="491"/>
      <c r="C53" s="491"/>
      <c r="D53" s="491"/>
      <c r="E53" s="491"/>
      <c r="F53" s="491"/>
      <c r="G53" s="491"/>
      <c r="H53" s="491"/>
      <c r="I53" s="491"/>
      <c r="J53" s="491"/>
      <c r="K53" s="491"/>
      <c r="L53" s="491"/>
      <c r="M53" s="491"/>
      <c r="N53" s="491"/>
      <c r="O53" s="491"/>
      <c r="P53" s="491"/>
      <c r="Q53" s="491"/>
      <c r="R53" s="491"/>
      <c r="S53" s="491"/>
      <c r="T53" s="491"/>
      <c r="U53" s="491"/>
      <c r="V53" s="491"/>
    </row>
    <row r="54" spans="1:22" s="490" customFormat="1" x14ac:dyDescent="0.2">
      <c r="A54" s="494"/>
      <c r="B54" s="491"/>
      <c r="C54" s="491"/>
      <c r="D54" s="491"/>
      <c r="E54" s="491"/>
      <c r="F54" s="491"/>
      <c r="G54" s="491"/>
      <c r="H54" s="491"/>
      <c r="I54" s="491"/>
      <c r="J54" s="491"/>
      <c r="K54" s="491"/>
      <c r="L54" s="491"/>
      <c r="M54" s="491"/>
      <c r="N54" s="491"/>
      <c r="O54" s="491"/>
      <c r="P54" s="491"/>
      <c r="Q54" s="491"/>
      <c r="R54" s="491"/>
      <c r="S54" s="491"/>
      <c r="T54" s="491"/>
      <c r="U54" s="491"/>
      <c r="V54" s="491"/>
    </row>
    <row r="55" spans="1:22" s="490" customFormat="1" x14ac:dyDescent="0.2">
      <c r="A55" s="494"/>
      <c r="B55" s="491"/>
      <c r="C55" s="491"/>
      <c r="D55" s="491"/>
      <c r="E55" s="491"/>
      <c r="F55" s="491"/>
      <c r="G55" s="491"/>
      <c r="H55" s="491"/>
      <c r="I55" s="491"/>
      <c r="J55" s="491"/>
      <c r="K55" s="491"/>
      <c r="L55" s="491"/>
      <c r="M55" s="491"/>
      <c r="N55" s="491"/>
      <c r="O55" s="491"/>
      <c r="P55" s="491"/>
      <c r="Q55" s="491"/>
      <c r="R55" s="491"/>
      <c r="S55" s="491"/>
      <c r="T55" s="491"/>
      <c r="U55" s="491"/>
      <c r="V55" s="491"/>
    </row>
    <row r="56" spans="1:22" s="490" customFormat="1" x14ac:dyDescent="0.2">
      <c r="A56" s="494"/>
      <c r="B56" s="491"/>
      <c r="C56" s="491"/>
      <c r="D56" s="491"/>
      <c r="E56" s="491"/>
      <c r="F56" s="491"/>
      <c r="G56" s="491"/>
      <c r="H56" s="491"/>
      <c r="I56" s="491"/>
      <c r="J56" s="491"/>
      <c r="K56" s="491"/>
      <c r="L56" s="491"/>
      <c r="M56" s="491"/>
      <c r="N56" s="491"/>
      <c r="O56" s="491"/>
      <c r="P56" s="491"/>
      <c r="Q56" s="491"/>
      <c r="R56" s="491"/>
      <c r="S56" s="491"/>
      <c r="T56" s="491"/>
      <c r="U56" s="491"/>
      <c r="V56" s="491"/>
    </row>
    <row r="57" spans="1:22" s="490" customFormat="1" x14ac:dyDescent="0.2">
      <c r="A57" s="494"/>
      <c r="B57" s="491"/>
      <c r="C57" s="491"/>
      <c r="D57" s="491"/>
      <c r="E57" s="491"/>
      <c r="F57" s="491"/>
      <c r="G57" s="491"/>
      <c r="H57" s="491"/>
      <c r="I57" s="491"/>
      <c r="J57" s="491"/>
      <c r="K57" s="491"/>
      <c r="L57" s="491"/>
      <c r="M57" s="491"/>
      <c r="N57" s="491"/>
      <c r="O57" s="491"/>
      <c r="P57" s="491"/>
      <c r="Q57" s="491"/>
      <c r="R57" s="491"/>
      <c r="S57" s="491"/>
      <c r="T57" s="491"/>
      <c r="U57" s="491"/>
      <c r="V57" s="491"/>
    </row>
    <row r="58" spans="1:22" s="490" customFormat="1" x14ac:dyDescent="0.2">
      <c r="A58" s="494"/>
      <c r="B58" s="491"/>
      <c r="C58" s="491"/>
      <c r="D58" s="491"/>
      <c r="E58" s="491"/>
      <c r="F58" s="491"/>
      <c r="G58" s="491"/>
      <c r="H58" s="491"/>
      <c r="I58" s="491"/>
      <c r="J58" s="491"/>
      <c r="K58" s="491"/>
      <c r="L58" s="491"/>
      <c r="M58" s="491"/>
      <c r="N58" s="491"/>
      <c r="O58" s="491"/>
      <c r="P58" s="491"/>
      <c r="Q58" s="491"/>
      <c r="R58" s="491"/>
      <c r="S58" s="491"/>
      <c r="T58" s="491"/>
      <c r="U58" s="491"/>
      <c r="V58" s="491"/>
    </row>
    <row r="59" spans="1:22" s="490" customFormat="1" x14ac:dyDescent="0.2">
      <c r="A59" s="494"/>
      <c r="B59" s="491"/>
      <c r="C59" s="491"/>
      <c r="D59" s="491"/>
      <c r="E59" s="491"/>
      <c r="F59" s="491"/>
      <c r="G59" s="491"/>
      <c r="H59" s="491"/>
      <c r="I59" s="491"/>
      <c r="J59" s="491"/>
      <c r="K59" s="491"/>
      <c r="L59" s="491"/>
      <c r="M59" s="491"/>
      <c r="N59" s="491"/>
      <c r="O59" s="491"/>
      <c r="P59" s="491"/>
      <c r="Q59" s="491"/>
      <c r="R59" s="491"/>
      <c r="S59" s="491"/>
      <c r="T59" s="491"/>
      <c r="U59" s="491"/>
      <c r="V59" s="491"/>
    </row>
    <row r="60" spans="1:22" s="490" customFormat="1" x14ac:dyDescent="0.2">
      <c r="A60" s="494"/>
      <c r="B60" s="491"/>
      <c r="C60" s="491"/>
      <c r="D60" s="491"/>
      <c r="E60" s="491"/>
      <c r="F60" s="491"/>
      <c r="G60" s="491"/>
      <c r="H60" s="491"/>
      <c r="I60" s="491"/>
      <c r="J60" s="491"/>
      <c r="K60" s="491"/>
      <c r="L60" s="491"/>
      <c r="M60" s="491"/>
      <c r="N60" s="491"/>
      <c r="O60" s="491"/>
      <c r="P60" s="491"/>
      <c r="Q60" s="491"/>
      <c r="R60" s="491"/>
      <c r="S60" s="491"/>
      <c r="T60" s="491"/>
      <c r="U60" s="491"/>
      <c r="V60" s="491"/>
    </row>
    <row r="61" spans="1:22" s="490" customFormat="1" x14ac:dyDescent="0.2">
      <c r="A61" s="494"/>
      <c r="B61" s="491"/>
      <c r="C61" s="491"/>
      <c r="D61" s="491"/>
      <c r="E61" s="491"/>
      <c r="F61" s="491"/>
      <c r="G61" s="491"/>
      <c r="H61" s="491"/>
      <c r="I61" s="491"/>
      <c r="J61" s="491"/>
      <c r="K61" s="491"/>
      <c r="L61" s="491"/>
      <c r="M61" s="491"/>
      <c r="N61" s="491"/>
      <c r="O61" s="491"/>
      <c r="P61" s="491"/>
      <c r="Q61" s="491"/>
      <c r="R61" s="491"/>
      <c r="S61" s="491"/>
      <c r="T61" s="491"/>
      <c r="U61" s="491"/>
      <c r="V61" s="491"/>
    </row>
    <row r="62" spans="1:22" s="490" customFormat="1" x14ac:dyDescent="0.2">
      <c r="A62" s="494"/>
      <c r="B62" s="491"/>
      <c r="C62" s="491"/>
      <c r="D62" s="491"/>
      <c r="E62" s="491"/>
      <c r="F62" s="491"/>
      <c r="G62" s="491"/>
      <c r="H62" s="491"/>
      <c r="I62" s="491"/>
      <c r="J62" s="491"/>
      <c r="K62" s="491"/>
      <c r="L62" s="491"/>
      <c r="M62" s="491"/>
      <c r="N62" s="491"/>
      <c r="O62" s="491"/>
      <c r="P62" s="491"/>
      <c r="Q62" s="491"/>
      <c r="R62" s="491"/>
      <c r="S62" s="491"/>
      <c r="T62" s="491"/>
      <c r="U62" s="491"/>
      <c r="V62" s="491"/>
    </row>
    <row r="63" spans="1:22" s="490" customFormat="1" x14ac:dyDescent="0.2">
      <c r="A63" s="494"/>
      <c r="B63" s="491"/>
      <c r="C63" s="491"/>
      <c r="D63" s="491"/>
      <c r="E63" s="491"/>
      <c r="F63" s="491"/>
      <c r="G63" s="491"/>
      <c r="H63" s="491"/>
      <c r="I63" s="491"/>
      <c r="J63" s="491"/>
      <c r="K63" s="491"/>
      <c r="L63" s="491"/>
      <c r="M63" s="491"/>
      <c r="N63" s="491"/>
      <c r="O63" s="491"/>
      <c r="P63" s="491"/>
      <c r="Q63" s="491"/>
      <c r="R63" s="491"/>
      <c r="S63" s="491"/>
      <c r="T63" s="491"/>
      <c r="U63" s="491"/>
      <c r="V63" s="491"/>
    </row>
    <row r="64" spans="1:22" s="490" customFormat="1" x14ac:dyDescent="0.2">
      <c r="A64" s="494"/>
      <c r="B64" s="491"/>
      <c r="C64" s="491"/>
      <c r="D64" s="491"/>
      <c r="E64" s="491"/>
      <c r="F64" s="491"/>
      <c r="G64" s="491"/>
      <c r="H64" s="491"/>
      <c r="I64" s="491"/>
      <c r="J64" s="491"/>
      <c r="K64" s="491"/>
      <c r="L64" s="491"/>
      <c r="M64" s="491"/>
      <c r="N64" s="491"/>
      <c r="O64" s="491"/>
      <c r="P64" s="491"/>
      <c r="Q64" s="491"/>
      <c r="R64" s="491"/>
      <c r="S64" s="491"/>
      <c r="T64" s="491"/>
      <c r="U64" s="491"/>
      <c r="V64" s="491"/>
    </row>
    <row r="65" spans="1:22" s="490" customFormat="1" x14ac:dyDescent="0.2">
      <c r="A65" s="494"/>
      <c r="B65" s="491"/>
      <c r="C65" s="491"/>
      <c r="D65" s="491"/>
      <c r="E65" s="491"/>
      <c r="F65" s="491"/>
      <c r="G65" s="491"/>
      <c r="H65" s="491"/>
      <c r="I65" s="491"/>
      <c r="J65" s="491"/>
      <c r="K65" s="491"/>
      <c r="L65" s="491"/>
      <c r="M65" s="491"/>
      <c r="N65" s="491"/>
      <c r="O65" s="491"/>
      <c r="P65" s="491"/>
      <c r="Q65" s="491"/>
      <c r="R65" s="491"/>
      <c r="S65" s="491"/>
      <c r="T65" s="491"/>
      <c r="U65" s="491"/>
      <c r="V65" s="491"/>
    </row>
    <row r="66" spans="1:22" s="490" customFormat="1" x14ac:dyDescent="0.2">
      <c r="A66" s="494"/>
      <c r="B66" s="491"/>
      <c r="C66" s="491"/>
      <c r="D66" s="491"/>
      <c r="E66" s="491"/>
      <c r="F66" s="491"/>
      <c r="G66" s="491"/>
      <c r="H66" s="491"/>
      <c r="I66" s="491"/>
      <c r="J66" s="491"/>
      <c r="K66" s="491"/>
      <c r="L66" s="491"/>
      <c r="M66" s="491"/>
      <c r="N66" s="491"/>
      <c r="O66" s="491"/>
      <c r="P66" s="491"/>
      <c r="Q66" s="491"/>
      <c r="R66" s="491"/>
      <c r="S66" s="491"/>
      <c r="T66" s="491"/>
      <c r="U66" s="491"/>
      <c r="V66" s="491"/>
    </row>
    <row r="67" spans="1:22" s="490" customFormat="1" x14ac:dyDescent="0.2">
      <c r="A67" s="494"/>
      <c r="B67" s="491"/>
      <c r="C67" s="491"/>
      <c r="D67" s="491"/>
      <c r="E67" s="491"/>
      <c r="F67" s="491"/>
      <c r="G67" s="491"/>
      <c r="H67" s="491"/>
      <c r="I67" s="491"/>
      <c r="J67" s="491"/>
      <c r="K67" s="491"/>
      <c r="L67" s="491"/>
      <c r="M67" s="491"/>
      <c r="N67" s="491"/>
      <c r="O67" s="491"/>
      <c r="P67" s="491"/>
      <c r="Q67" s="491"/>
      <c r="R67" s="491"/>
      <c r="S67" s="491"/>
      <c r="T67" s="491"/>
      <c r="U67" s="491"/>
      <c r="V67" s="491"/>
    </row>
    <row r="68" spans="1:22" s="490" customFormat="1" x14ac:dyDescent="0.2">
      <c r="A68" s="494"/>
      <c r="B68" s="491"/>
      <c r="C68" s="491"/>
      <c r="D68" s="491"/>
      <c r="E68" s="491"/>
      <c r="F68" s="491"/>
      <c r="G68" s="491"/>
      <c r="H68" s="491"/>
      <c r="I68" s="491"/>
      <c r="J68" s="491"/>
      <c r="K68" s="491"/>
      <c r="L68" s="491"/>
      <c r="M68" s="491"/>
      <c r="N68" s="491"/>
      <c r="O68" s="491"/>
      <c r="P68" s="491"/>
      <c r="Q68" s="491"/>
      <c r="R68" s="491"/>
      <c r="S68" s="491"/>
      <c r="T68" s="491"/>
      <c r="U68" s="491"/>
      <c r="V68" s="491"/>
    </row>
    <row r="69" spans="1:22" s="490" customFormat="1" x14ac:dyDescent="0.2">
      <c r="A69" s="494"/>
      <c r="B69" s="491"/>
      <c r="C69" s="491"/>
      <c r="D69" s="491"/>
      <c r="E69" s="491"/>
      <c r="F69" s="491"/>
      <c r="G69" s="491"/>
      <c r="H69" s="491"/>
      <c r="I69" s="491"/>
      <c r="J69" s="491"/>
      <c r="K69" s="491"/>
      <c r="L69" s="491"/>
      <c r="M69" s="491"/>
      <c r="N69" s="491"/>
      <c r="O69" s="491"/>
      <c r="P69" s="491"/>
      <c r="Q69" s="491"/>
      <c r="R69" s="491"/>
      <c r="S69" s="491"/>
      <c r="T69" s="491"/>
      <c r="U69" s="491"/>
      <c r="V69" s="491"/>
    </row>
    <row r="70" spans="1:22" s="490" customFormat="1" x14ac:dyDescent="0.2">
      <c r="A70" s="494"/>
      <c r="B70" s="491"/>
      <c r="C70" s="491"/>
      <c r="D70" s="491"/>
      <c r="E70" s="491"/>
      <c r="F70" s="491"/>
      <c r="G70" s="491"/>
      <c r="H70" s="491"/>
      <c r="I70" s="491"/>
      <c r="J70" s="491"/>
      <c r="K70" s="491"/>
      <c r="L70" s="491"/>
      <c r="M70" s="491"/>
      <c r="N70" s="491"/>
      <c r="O70" s="491"/>
      <c r="P70" s="491"/>
      <c r="Q70" s="491"/>
      <c r="R70" s="491"/>
      <c r="S70" s="491"/>
      <c r="T70" s="491"/>
      <c r="U70" s="491"/>
      <c r="V70" s="491"/>
    </row>
    <row r="71" spans="1:22" s="490" customFormat="1" x14ac:dyDescent="0.2">
      <c r="A71" s="494"/>
      <c r="B71" s="491"/>
      <c r="C71" s="491"/>
      <c r="D71" s="491"/>
      <c r="E71" s="491"/>
      <c r="F71" s="491"/>
      <c r="G71" s="491"/>
      <c r="H71" s="491"/>
      <c r="I71" s="491"/>
      <c r="J71" s="491"/>
      <c r="K71" s="491"/>
      <c r="L71" s="491"/>
      <c r="M71" s="491"/>
      <c r="N71" s="491"/>
      <c r="O71" s="491"/>
      <c r="P71" s="491"/>
      <c r="Q71" s="491"/>
      <c r="R71" s="491"/>
      <c r="S71" s="491"/>
      <c r="T71" s="491"/>
      <c r="U71" s="491"/>
      <c r="V71" s="491"/>
    </row>
    <row r="72" spans="1:22" s="490" customFormat="1" x14ac:dyDescent="0.2">
      <c r="A72" s="494"/>
      <c r="B72" s="491"/>
      <c r="C72" s="491"/>
      <c r="D72" s="491"/>
      <c r="E72" s="491"/>
      <c r="F72" s="491"/>
      <c r="G72" s="491"/>
      <c r="H72" s="491"/>
      <c r="I72" s="491"/>
      <c r="J72" s="491"/>
      <c r="K72" s="491"/>
      <c r="L72" s="491"/>
      <c r="M72" s="491"/>
      <c r="N72" s="491"/>
      <c r="O72" s="491"/>
      <c r="P72" s="491"/>
      <c r="Q72" s="491"/>
      <c r="R72" s="491"/>
      <c r="S72" s="491"/>
      <c r="T72" s="491"/>
      <c r="U72" s="491"/>
      <c r="V72" s="491"/>
    </row>
    <row r="73" spans="1:22" s="490" customFormat="1" x14ac:dyDescent="0.2">
      <c r="A73" s="494"/>
      <c r="B73" s="491"/>
      <c r="C73" s="491"/>
      <c r="D73" s="491"/>
      <c r="E73" s="491"/>
      <c r="F73" s="491"/>
      <c r="G73" s="491"/>
      <c r="H73" s="491"/>
      <c r="I73" s="491"/>
      <c r="J73" s="491"/>
      <c r="K73" s="491"/>
      <c r="L73" s="491"/>
      <c r="M73" s="491"/>
      <c r="N73" s="491"/>
      <c r="O73" s="491"/>
      <c r="P73" s="491"/>
      <c r="Q73" s="491"/>
      <c r="R73" s="491"/>
      <c r="S73" s="491"/>
      <c r="T73" s="491"/>
      <c r="U73" s="491"/>
      <c r="V73" s="491"/>
    </row>
    <row r="74" spans="1:22" s="490" customFormat="1" x14ac:dyDescent="0.2">
      <c r="A74" s="494"/>
      <c r="B74" s="491"/>
      <c r="C74" s="491"/>
      <c r="D74" s="491"/>
      <c r="E74" s="491"/>
      <c r="F74" s="491"/>
      <c r="G74" s="491"/>
      <c r="H74" s="491"/>
      <c r="I74" s="491"/>
      <c r="J74" s="491"/>
      <c r="K74" s="491"/>
      <c r="L74" s="491"/>
      <c r="M74" s="491"/>
      <c r="N74" s="491"/>
      <c r="O74" s="491"/>
      <c r="P74" s="491"/>
      <c r="Q74" s="491"/>
      <c r="R74" s="491"/>
      <c r="S74" s="491"/>
      <c r="T74" s="491"/>
      <c r="U74" s="491"/>
      <c r="V74" s="491"/>
    </row>
    <row r="75" spans="1:22" s="490" customFormat="1" x14ac:dyDescent="0.2">
      <c r="A75" s="494"/>
      <c r="B75" s="491"/>
      <c r="C75" s="491"/>
      <c r="D75" s="491"/>
      <c r="E75" s="491"/>
      <c r="F75" s="491"/>
      <c r="G75" s="491"/>
      <c r="H75" s="491"/>
      <c r="I75" s="491"/>
      <c r="J75" s="491"/>
      <c r="K75" s="491"/>
      <c r="L75" s="491"/>
      <c r="M75" s="491"/>
      <c r="N75" s="491"/>
      <c r="O75" s="491"/>
      <c r="P75" s="491"/>
      <c r="Q75" s="491"/>
      <c r="R75" s="491"/>
      <c r="S75" s="491"/>
      <c r="T75" s="491"/>
      <c r="U75" s="491"/>
      <c r="V75" s="491"/>
    </row>
    <row r="76" spans="1:22" s="490" customFormat="1" x14ac:dyDescent="0.2">
      <c r="A76" s="494"/>
      <c r="B76" s="491"/>
      <c r="C76" s="491"/>
      <c r="D76" s="491"/>
      <c r="E76" s="491"/>
      <c r="F76" s="491"/>
      <c r="G76" s="491"/>
      <c r="H76" s="491"/>
      <c r="I76" s="491"/>
      <c r="J76" s="491"/>
      <c r="K76" s="491"/>
      <c r="L76" s="491"/>
      <c r="M76" s="491"/>
      <c r="N76" s="491"/>
      <c r="O76" s="491"/>
      <c r="P76" s="491"/>
      <c r="Q76" s="491"/>
      <c r="R76" s="491"/>
      <c r="S76" s="491"/>
      <c r="T76" s="491"/>
      <c r="U76" s="491"/>
      <c r="V76" s="491"/>
    </row>
    <row r="77" spans="1:22" s="490" customFormat="1" x14ac:dyDescent="0.2">
      <c r="A77" s="494"/>
      <c r="B77" s="491"/>
      <c r="C77" s="491"/>
      <c r="D77" s="491"/>
      <c r="E77" s="491"/>
      <c r="F77" s="491"/>
      <c r="G77" s="491"/>
      <c r="H77" s="491"/>
      <c r="I77" s="491"/>
      <c r="J77" s="491"/>
      <c r="K77" s="491"/>
      <c r="L77" s="491"/>
      <c r="M77" s="491"/>
      <c r="N77" s="491"/>
      <c r="O77" s="491"/>
      <c r="P77" s="491"/>
      <c r="Q77" s="491"/>
      <c r="R77" s="491"/>
      <c r="S77" s="491"/>
      <c r="T77" s="491"/>
      <c r="U77" s="491"/>
      <c r="V77" s="491"/>
    </row>
    <row r="78" spans="1:22" s="490" customFormat="1" x14ac:dyDescent="0.2">
      <c r="A78" s="494"/>
      <c r="B78" s="491"/>
      <c r="C78" s="491"/>
      <c r="D78" s="491"/>
      <c r="E78" s="491"/>
      <c r="F78" s="491"/>
      <c r="G78" s="491"/>
      <c r="H78" s="491"/>
      <c r="I78" s="491"/>
      <c r="J78" s="491"/>
      <c r="K78" s="491"/>
      <c r="L78" s="491"/>
      <c r="M78" s="491"/>
      <c r="N78" s="491"/>
      <c r="O78" s="491"/>
      <c r="P78" s="491"/>
      <c r="Q78" s="491"/>
      <c r="R78" s="491"/>
      <c r="S78" s="491"/>
      <c r="T78" s="491"/>
      <c r="U78" s="491"/>
      <c r="V78" s="491"/>
    </row>
    <row r="79" spans="1:22" s="490" customFormat="1" x14ac:dyDescent="0.2">
      <c r="A79" s="494"/>
      <c r="B79" s="491"/>
      <c r="C79" s="491"/>
      <c r="D79" s="491"/>
      <c r="E79" s="491"/>
      <c r="F79" s="491"/>
      <c r="G79" s="491"/>
      <c r="H79" s="491"/>
      <c r="I79" s="491"/>
      <c r="J79" s="491"/>
      <c r="K79" s="491"/>
      <c r="L79" s="491"/>
      <c r="M79" s="491"/>
      <c r="N79" s="491"/>
      <c r="O79" s="491"/>
      <c r="P79" s="491"/>
      <c r="Q79" s="491"/>
      <c r="R79" s="491"/>
      <c r="S79" s="491"/>
      <c r="T79" s="491"/>
      <c r="U79" s="491"/>
      <c r="V79" s="491"/>
    </row>
    <row r="80" spans="1:22" s="490" customFormat="1" x14ac:dyDescent="0.2">
      <c r="A80" s="494"/>
      <c r="B80" s="491"/>
      <c r="C80" s="491"/>
      <c r="D80" s="491"/>
      <c r="E80" s="491"/>
      <c r="F80" s="491"/>
      <c r="G80" s="491"/>
      <c r="H80" s="491"/>
      <c r="I80" s="491"/>
      <c r="J80" s="491"/>
      <c r="K80" s="491"/>
      <c r="L80" s="491"/>
      <c r="M80" s="491"/>
      <c r="N80" s="491"/>
      <c r="O80" s="491"/>
      <c r="P80" s="491"/>
      <c r="Q80" s="491"/>
      <c r="R80" s="491"/>
      <c r="S80" s="491"/>
      <c r="T80" s="491"/>
      <c r="U80" s="491"/>
      <c r="V80" s="491"/>
    </row>
    <row r="81" spans="1:22" s="490" customFormat="1" x14ac:dyDescent="0.2">
      <c r="A81" s="494"/>
      <c r="B81" s="491"/>
      <c r="C81" s="491"/>
      <c r="D81" s="491"/>
      <c r="E81" s="491"/>
      <c r="F81" s="491"/>
      <c r="G81" s="491"/>
      <c r="H81" s="491"/>
      <c r="I81" s="491"/>
      <c r="J81" s="491"/>
      <c r="K81" s="491"/>
      <c r="L81" s="491"/>
      <c r="M81" s="491"/>
      <c r="N81" s="491"/>
      <c r="O81" s="491"/>
      <c r="P81" s="491"/>
      <c r="Q81" s="491"/>
      <c r="R81" s="491"/>
      <c r="S81" s="491"/>
      <c r="T81" s="491"/>
      <c r="U81" s="491"/>
      <c r="V81" s="491"/>
    </row>
    <row r="82" spans="1:22" s="490" customFormat="1" x14ac:dyDescent="0.2">
      <c r="A82" s="494"/>
      <c r="B82" s="491"/>
      <c r="C82" s="491"/>
      <c r="D82" s="491"/>
      <c r="E82" s="491"/>
      <c r="F82" s="491"/>
      <c r="G82" s="491"/>
      <c r="H82" s="491"/>
      <c r="I82" s="491"/>
      <c r="J82" s="491"/>
      <c r="K82" s="491"/>
      <c r="L82" s="491"/>
      <c r="M82" s="491"/>
      <c r="N82" s="491"/>
      <c r="O82" s="491"/>
      <c r="P82" s="491"/>
      <c r="Q82" s="491"/>
      <c r="R82" s="491"/>
      <c r="S82" s="491"/>
      <c r="T82" s="491"/>
      <c r="U82" s="491"/>
      <c r="V82" s="491"/>
    </row>
    <row r="83" spans="1:22" s="490" customFormat="1" x14ac:dyDescent="0.2">
      <c r="A83" s="494"/>
      <c r="B83" s="491"/>
      <c r="C83" s="491"/>
      <c r="D83" s="491"/>
      <c r="E83" s="491"/>
      <c r="F83" s="491"/>
      <c r="G83" s="491"/>
      <c r="H83" s="491"/>
      <c r="I83" s="491"/>
      <c r="J83" s="491"/>
      <c r="K83" s="491"/>
      <c r="L83" s="491"/>
      <c r="M83" s="491"/>
      <c r="N83" s="491"/>
      <c r="O83" s="491"/>
      <c r="P83" s="491"/>
      <c r="Q83" s="491"/>
      <c r="R83" s="491"/>
      <c r="S83" s="491"/>
      <c r="T83" s="491"/>
      <c r="U83" s="491"/>
      <c r="V83" s="491"/>
    </row>
    <row r="84" spans="1:22" s="490" customFormat="1" x14ac:dyDescent="0.2">
      <c r="A84" s="494"/>
      <c r="B84" s="491"/>
      <c r="C84" s="491"/>
      <c r="D84" s="491"/>
      <c r="E84" s="491"/>
      <c r="F84" s="491"/>
      <c r="G84" s="491"/>
      <c r="H84" s="491"/>
      <c r="I84" s="491"/>
      <c r="J84" s="491"/>
      <c r="K84" s="491"/>
      <c r="L84" s="491"/>
      <c r="M84" s="491"/>
      <c r="N84" s="491"/>
      <c r="O84" s="491"/>
      <c r="P84" s="491"/>
      <c r="Q84" s="491"/>
      <c r="R84" s="491"/>
      <c r="S84" s="491"/>
      <c r="T84" s="491"/>
      <c r="U84" s="491"/>
      <c r="V84" s="491"/>
    </row>
    <row r="85" spans="1:22" s="490" customFormat="1" x14ac:dyDescent="0.2">
      <c r="A85" s="494"/>
      <c r="B85" s="491"/>
      <c r="C85" s="491"/>
      <c r="D85" s="491"/>
      <c r="E85" s="491"/>
      <c r="F85" s="491"/>
      <c r="G85" s="491"/>
      <c r="H85" s="491"/>
      <c r="I85" s="491"/>
      <c r="J85" s="491"/>
      <c r="K85" s="491"/>
      <c r="L85" s="491"/>
      <c r="M85" s="491"/>
      <c r="N85" s="491"/>
      <c r="O85" s="491"/>
      <c r="P85" s="491"/>
      <c r="Q85" s="491"/>
      <c r="R85" s="491"/>
      <c r="S85" s="491"/>
      <c r="T85" s="491"/>
      <c r="U85" s="491"/>
      <c r="V85" s="491"/>
    </row>
    <row r="86" spans="1:22" s="490" customFormat="1" x14ac:dyDescent="0.2">
      <c r="A86" s="494"/>
      <c r="B86" s="491"/>
      <c r="C86" s="491"/>
      <c r="D86" s="491"/>
      <c r="E86" s="491"/>
      <c r="F86" s="491"/>
      <c r="G86" s="491"/>
      <c r="H86" s="491"/>
      <c r="I86" s="491"/>
      <c r="J86" s="491"/>
      <c r="K86" s="491"/>
      <c r="L86" s="491"/>
      <c r="M86" s="491"/>
      <c r="N86" s="491"/>
      <c r="O86" s="491"/>
      <c r="P86" s="491"/>
      <c r="Q86" s="491"/>
      <c r="R86" s="491"/>
      <c r="S86" s="491"/>
      <c r="T86" s="491"/>
      <c r="U86" s="491"/>
      <c r="V86" s="491"/>
    </row>
    <row r="87" spans="1:22" s="490" customFormat="1" x14ac:dyDescent="0.2">
      <c r="A87" s="494"/>
      <c r="B87" s="491"/>
      <c r="C87" s="491"/>
      <c r="D87" s="491"/>
      <c r="E87" s="491"/>
      <c r="F87" s="491"/>
      <c r="G87" s="491"/>
      <c r="H87" s="491"/>
      <c r="I87" s="491"/>
      <c r="J87" s="491"/>
      <c r="K87" s="491"/>
      <c r="L87" s="491"/>
      <c r="M87" s="491"/>
      <c r="N87" s="491"/>
      <c r="O87" s="491"/>
      <c r="P87" s="491"/>
      <c r="Q87" s="491"/>
      <c r="R87" s="491"/>
      <c r="S87" s="491"/>
      <c r="T87" s="491"/>
      <c r="U87" s="491"/>
      <c r="V87" s="491"/>
    </row>
    <row r="88" spans="1:22" s="490" customFormat="1" x14ac:dyDescent="0.2">
      <c r="A88" s="494"/>
      <c r="B88" s="491"/>
      <c r="C88" s="491"/>
      <c r="D88" s="491"/>
      <c r="E88" s="491"/>
      <c r="F88" s="491"/>
      <c r="G88" s="491"/>
      <c r="H88" s="491"/>
      <c r="I88" s="491"/>
      <c r="J88" s="491"/>
      <c r="K88" s="491"/>
      <c r="L88" s="491"/>
      <c r="M88" s="491"/>
      <c r="N88" s="491"/>
      <c r="O88" s="491"/>
      <c r="P88" s="491"/>
      <c r="Q88" s="491"/>
      <c r="R88" s="491"/>
      <c r="S88" s="491"/>
      <c r="T88" s="491"/>
      <c r="U88" s="491"/>
      <c r="V88" s="491"/>
    </row>
    <row r="89" spans="1:22" s="490" customFormat="1" x14ac:dyDescent="0.2">
      <c r="A89" s="494"/>
      <c r="B89" s="491"/>
      <c r="C89" s="491"/>
      <c r="D89" s="491"/>
      <c r="E89" s="491"/>
      <c r="F89" s="491"/>
      <c r="G89" s="491"/>
      <c r="H89" s="491"/>
      <c r="I89" s="491"/>
      <c r="J89" s="491"/>
      <c r="K89" s="491"/>
      <c r="L89" s="491"/>
      <c r="M89" s="491"/>
      <c r="N89" s="491"/>
      <c r="O89" s="491"/>
      <c r="P89" s="491"/>
      <c r="Q89" s="491"/>
      <c r="R89" s="491"/>
      <c r="S89" s="491"/>
      <c r="T89" s="491"/>
      <c r="U89" s="491"/>
      <c r="V89" s="491"/>
    </row>
    <row r="90" spans="1:22" s="490" customFormat="1" x14ac:dyDescent="0.2">
      <c r="A90" s="494"/>
      <c r="B90" s="491"/>
      <c r="C90" s="491"/>
      <c r="D90" s="491"/>
      <c r="E90" s="491"/>
      <c r="F90" s="491"/>
      <c r="G90" s="491"/>
      <c r="H90" s="491"/>
      <c r="I90" s="491"/>
      <c r="J90" s="491"/>
      <c r="K90" s="491"/>
      <c r="L90" s="491"/>
      <c r="M90" s="491"/>
      <c r="N90" s="491"/>
      <c r="O90" s="491"/>
      <c r="P90" s="491"/>
      <c r="Q90" s="491"/>
      <c r="R90" s="491"/>
      <c r="S90" s="491"/>
      <c r="T90" s="491"/>
      <c r="U90" s="491"/>
      <c r="V90" s="491"/>
    </row>
    <row r="91" spans="1:22" s="490" customFormat="1" x14ac:dyDescent="0.2">
      <c r="A91" s="494"/>
      <c r="B91" s="491"/>
      <c r="C91" s="491"/>
      <c r="D91" s="491"/>
      <c r="E91" s="491"/>
      <c r="F91" s="491"/>
      <c r="G91" s="491"/>
      <c r="H91" s="491"/>
      <c r="I91" s="491"/>
      <c r="J91" s="491"/>
      <c r="K91" s="491"/>
      <c r="L91" s="491"/>
      <c r="M91" s="491"/>
      <c r="N91" s="491"/>
      <c r="O91" s="491"/>
      <c r="P91" s="491"/>
      <c r="Q91" s="491"/>
      <c r="R91" s="491"/>
      <c r="S91" s="491"/>
      <c r="T91" s="491"/>
      <c r="U91" s="491"/>
      <c r="V91" s="491"/>
    </row>
    <row r="92" spans="1:22" s="490" customFormat="1" x14ac:dyDescent="0.2">
      <c r="A92" s="494"/>
      <c r="B92" s="491"/>
      <c r="C92" s="491"/>
      <c r="D92" s="491"/>
      <c r="E92" s="491"/>
      <c r="F92" s="491"/>
      <c r="G92" s="491"/>
      <c r="H92" s="491"/>
      <c r="I92" s="491"/>
      <c r="J92" s="491"/>
      <c r="K92" s="491"/>
      <c r="L92" s="491"/>
      <c r="M92" s="491"/>
      <c r="N92" s="491"/>
      <c r="O92" s="491"/>
      <c r="P92" s="491"/>
      <c r="Q92" s="491"/>
      <c r="R92" s="491"/>
      <c r="S92" s="491"/>
      <c r="T92" s="491"/>
      <c r="U92" s="491"/>
      <c r="V92" s="491"/>
    </row>
    <row r="93" spans="1:22" s="490" customFormat="1" x14ac:dyDescent="0.2">
      <c r="A93" s="494"/>
      <c r="B93" s="491"/>
      <c r="C93" s="491"/>
      <c r="D93" s="491"/>
      <c r="E93" s="491"/>
      <c r="F93" s="491"/>
      <c r="G93" s="491"/>
      <c r="H93" s="491"/>
      <c r="I93" s="491"/>
      <c r="J93" s="491"/>
      <c r="K93" s="491"/>
      <c r="L93" s="491"/>
      <c r="M93" s="491"/>
      <c r="N93" s="491"/>
      <c r="O93" s="491"/>
      <c r="P93" s="491"/>
      <c r="Q93" s="491"/>
      <c r="R93" s="491"/>
      <c r="S93" s="491"/>
      <c r="T93" s="491"/>
      <c r="U93" s="491"/>
      <c r="V93" s="491"/>
    </row>
    <row r="94" spans="1:22" s="490" customFormat="1" x14ac:dyDescent="0.2">
      <c r="A94" s="494"/>
      <c r="B94" s="491"/>
      <c r="C94" s="491"/>
      <c r="D94" s="491"/>
      <c r="E94" s="491"/>
      <c r="F94" s="491"/>
      <c r="G94" s="491"/>
      <c r="H94" s="491"/>
      <c r="I94" s="491"/>
      <c r="J94" s="491"/>
      <c r="K94" s="491"/>
      <c r="L94" s="491"/>
      <c r="M94" s="491"/>
      <c r="N94" s="491"/>
      <c r="O94" s="491"/>
      <c r="P94" s="491"/>
      <c r="Q94" s="491"/>
      <c r="R94" s="491"/>
      <c r="S94" s="491"/>
      <c r="T94" s="491"/>
      <c r="U94" s="491"/>
      <c r="V94" s="491"/>
    </row>
    <row r="95" spans="1:22" s="490" customFormat="1" x14ac:dyDescent="0.2">
      <c r="A95" s="494"/>
      <c r="B95" s="491"/>
      <c r="C95" s="491"/>
      <c r="D95" s="491"/>
      <c r="E95" s="491"/>
      <c r="F95" s="491"/>
      <c r="G95" s="491"/>
      <c r="H95" s="491"/>
      <c r="I95" s="491"/>
      <c r="J95" s="491"/>
      <c r="K95" s="491"/>
      <c r="L95" s="491"/>
      <c r="M95" s="491"/>
      <c r="N95" s="491"/>
      <c r="O95" s="491"/>
      <c r="P95" s="491"/>
      <c r="Q95" s="491"/>
      <c r="R95" s="491"/>
      <c r="S95" s="491"/>
      <c r="T95" s="491"/>
      <c r="U95" s="491"/>
      <c r="V95" s="491"/>
    </row>
    <row r="96" spans="1:22" s="490" customFormat="1" x14ac:dyDescent="0.2">
      <c r="A96" s="494"/>
      <c r="B96" s="491"/>
      <c r="C96" s="491"/>
      <c r="D96" s="491"/>
      <c r="E96" s="491"/>
      <c r="F96" s="491"/>
      <c r="G96" s="491"/>
      <c r="H96" s="491"/>
      <c r="I96" s="491"/>
      <c r="J96" s="491"/>
      <c r="K96" s="491"/>
      <c r="L96" s="491"/>
      <c r="M96" s="491"/>
      <c r="N96" s="491"/>
      <c r="O96" s="491"/>
      <c r="P96" s="491"/>
      <c r="Q96" s="491"/>
      <c r="R96" s="491"/>
      <c r="S96" s="491"/>
      <c r="T96" s="491"/>
      <c r="U96" s="491"/>
      <c r="V96" s="491"/>
    </row>
    <row r="97" spans="1:22" s="490" customFormat="1" x14ac:dyDescent="0.2">
      <c r="A97" s="494"/>
      <c r="B97" s="491"/>
      <c r="C97" s="491"/>
      <c r="D97" s="491"/>
      <c r="E97" s="491"/>
      <c r="F97" s="491"/>
      <c r="G97" s="491"/>
      <c r="H97" s="491"/>
      <c r="I97" s="491"/>
      <c r="J97" s="491"/>
      <c r="K97" s="491"/>
      <c r="L97" s="491"/>
      <c r="M97" s="491"/>
      <c r="N97" s="491"/>
      <c r="O97" s="491"/>
      <c r="P97" s="491"/>
      <c r="Q97" s="491"/>
      <c r="R97" s="491"/>
      <c r="S97" s="491"/>
      <c r="T97" s="491"/>
      <c r="U97" s="491"/>
      <c r="V97" s="491"/>
    </row>
    <row r="98" spans="1:22" s="490" customFormat="1" x14ac:dyDescent="0.2">
      <c r="A98" s="494"/>
      <c r="B98" s="491"/>
      <c r="C98" s="491"/>
      <c r="D98" s="491"/>
      <c r="E98" s="491"/>
      <c r="F98" s="491"/>
      <c r="G98" s="491"/>
      <c r="H98" s="491"/>
      <c r="I98" s="491"/>
      <c r="J98" s="491"/>
      <c r="K98" s="491"/>
      <c r="L98" s="491"/>
      <c r="M98" s="491"/>
      <c r="N98" s="491"/>
      <c r="O98" s="491"/>
      <c r="P98" s="491"/>
      <c r="Q98" s="491"/>
      <c r="R98" s="491"/>
      <c r="S98" s="491"/>
      <c r="T98" s="491"/>
      <c r="U98" s="491"/>
      <c r="V98" s="491"/>
    </row>
    <row r="99" spans="1:22" s="490" customFormat="1" x14ac:dyDescent="0.2">
      <c r="A99" s="494"/>
      <c r="B99" s="491"/>
      <c r="C99" s="491"/>
      <c r="D99" s="491"/>
      <c r="E99" s="491"/>
      <c r="F99" s="491"/>
      <c r="G99" s="491"/>
      <c r="H99" s="491"/>
      <c r="I99" s="491"/>
      <c r="J99" s="491"/>
      <c r="K99" s="491"/>
      <c r="L99" s="491"/>
      <c r="M99" s="491"/>
      <c r="N99" s="491"/>
      <c r="O99" s="491"/>
      <c r="P99" s="491"/>
      <c r="Q99" s="491"/>
      <c r="R99" s="491"/>
      <c r="S99" s="491"/>
      <c r="T99" s="491"/>
      <c r="U99" s="491"/>
      <c r="V99" s="491"/>
    </row>
    <row r="100" spans="1:22" s="490" customFormat="1" x14ac:dyDescent="0.2">
      <c r="A100" s="494"/>
      <c r="B100" s="491"/>
      <c r="C100" s="491"/>
      <c r="D100" s="491"/>
      <c r="E100" s="491"/>
      <c r="F100" s="491"/>
      <c r="G100" s="491"/>
      <c r="H100" s="491"/>
      <c r="I100" s="491"/>
      <c r="J100" s="491"/>
      <c r="K100" s="491"/>
      <c r="L100" s="491"/>
      <c r="M100" s="491"/>
      <c r="N100" s="491"/>
      <c r="O100" s="491"/>
      <c r="P100" s="491"/>
      <c r="Q100" s="491"/>
      <c r="R100" s="491"/>
      <c r="S100" s="491"/>
      <c r="T100" s="491"/>
      <c r="U100" s="491"/>
      <c r="V100" s="491"/>
    </row>
    <row r="101" spans="1:22" s="490" customFormat="1" x14ac:dyDescent="0.2">
      <c r="A101" s="494"/>
      <c r="B101" s="491"/>
      <c r="C101" s="491"/>
      <c r="D101" s="491"/>
      <c r="E101" s="491"/>
      <c r="F101" s="491"/>
      <c r="G101" s="491"/>
      <c r="H101" s="491"/>
      <c r="I101" s="491"/>
      <c r="J101" s="491"/>
      <c r="K101" s="491"/>
      <c r="L101" s="491"/>
      <c r="M101" s="491"/>
      <c r="N101" s="491"/>
      <c r="O101" s="491"/>
      <c r="P101" s="491"/>
      <c r="Q101" s="491"/>
      <c r="R101" s="491"/>
      <c r="S101" s="491"/>
      <c r="T101" s="491"/>
      <c r="U101" s="491"/>
      <c r="V101" s="491"/>
    </row>
    <row r="102" spans="1:22" s="490" customFormat="1" x14ac:dyDescent="0.2">
      <c r="A102" s="494"/>
      <c r="B102" s="491"/>
      <c r="C102" s="491"/>
      <c r="D102" s="491"/>
      <c r="E102" s="491"/>
      <c r="F102" s="491"/>
      <c r="G102" s="491"/>
      <c r="H102" s="491"/>
      <c r="I102" s="491"/>
      <c r="J102" s="491"/>
      <c r="K102" s="491"/>
      <c r="L102" s="491"/>
      <c r="M102" s="491"/>
      <c r="N102" s="491"/>
      <c r="O102" s="491"/>
      <c r="P102" s="491"/>
      <c r="Q102" s="491"/>
      <c r="R102" s="491"/>
      <c r="S102" s="491"/>
      <c r="T102" s="491"/>
      <c r="U102" s="491"/>
      <c r="V102" s="491"/>
    </row>
    <row r="103" spans="1:22" s="490" customFormat="1" x14ac:dyDescent="0.2">
      <c r="A103" s="494"/>
      <c r="B103" s="491"/>
      <c r="C103" s="491"/>
      <c r="D103" s="491"/>
      <c r="E103" s="491"/>
      <c r="F103" s="491"/>
      <c r="G103" s="491"/>
      <c r="H103" s="491"/>
      <c r="I103" s="491"/>
      <c r="J103" s="491"/>
      <c r="K103" s="491"/>
      <c r="L103" s="491"/>
      <c r="M103" s="491"/>
      <c r="N103" s="491"/>
      <c r="O103" s="491"/>
      <c r="P103" s="491"/>
      <c r="Q103" s="491"/>
      <c r="R103" s="491"/>
      <c r="S103" s="491"/>
      <c r="T103" s="491"/>
      <c r="U103" s="491"/>
      <c r="V103" s="491"/>
    </row>
    <row r="104" spans="1:22" s="490" customFormat="1" x14ac:dyDescent="0.2">
      <c r="A104" s="494"/>
      <c r="B104" s="491"/>
      <c r="C104" s="491"/>
      <c r="D104" s="491"/>
      <c r="E104" s="491"/>
      <c r="F104" s="491"/>
      <c r="G104" s="491"/>
      <c r="H104" s="491"/>
      <c r="I104" s="491"/>
      <c r="J104" s="491"/>
      <c r="K104" s="491"/>
      <c r="L104" s="491"/>
      <c r="M104" s="491"/>
      <c r="N104" s="491"/>
      <c r="O104" s="491"/>
      <c r="P104" s="491"/>
      <c r="Q104" s="491"/>
      <c r="R104" s="491"/>
      <c r="S104" s="491"/>
      <c r="T104" s="491"/>
      <c r="U104" s="491"/>
      <c r="V104" s="491"/>
    </row>
    <row r="105" spans="1:22" s="490" customFormat="1" x14ac:dyDescent="0.2">
      <c r="A105" s="494"/>
      <c r="B105" s="491"/>
      <c r="C105" s="491"/>
      <c r="D105" s="491"/>
      <c r="E105" s="491"/>
      <c r="F105" s="491"/>
      <c r="G105" s="491"/>
      <c r="H105" s="491"/>
      <c r="I105" s="491"/>
      <c r="J105" s="491"/>
      <c r="K105" s="491"/>
      <c r="L105" s="491"/>
      <c r="M105" s="491"/>
      <c r="N105" s="491"/>
      <c r="O105" s="491"/>
      <c r="P105" s="491"/>
      <c r="Q105" s="491"/>
      <c r="R105" s="491"/>
      <c r="S105" s="491"/>
      <c r="T105" s="491"/>
      <c r="U105" s="491"/>
      <c r="V105" s="491"/>
    </row>
    <row r="106" spans="1:22" s="490" customFormat="1" x14ac:dyDescent="0.2">
      <c r="A106" s="494"/>
      <c r="B106" s="491"/>
      <c r="C106" s="491"/>
      <c r="D106" s="491"/>
      <c r="E106" s="491"/>
      <c r="F106" s="491"/>
      <c r="G106" s="491"/>
      <c r="H106" s="491"/>
      <c r="I106" s="491"/>
      <c r="J106" s="491"/>
      <c r="K106" s="491"/>
      <c r="L106" s="491"/>
      <c r="M106" s="491"/>
      <c r="N106" s="491"/>
      <c r="O106" s="491"/>
      <c r="P106" s="491"/>
      <c r="Q106" s="491"/>
      <c r="R106" s="491"/>
      <c r="S106" s="491"/>
      <c r="T106" s="491"/>
      <c r="U106" s="491"/>
      <c r="V106" s="491"/>
    </row>
    <row r="107" spans="1:22" s="490" customFormat="1" x14ac:dyDescent="0.2">
      <c r="A107" s="494"/>
      <c r="B107" s="491"/>
      <c r="C107" s="491"/>
      <c r="D107" s="491"/>
      <c r="E107" s="491"/>
      <c r="F107" s="491"/>
      <c r="G107" s="491"/>
      <c r="H107" s="491"/>
      <c r="I107" s="491"/>
      <c r="J107" s="491"/>
      <c r="K107" s="491"/>
      <c r="L107" s="491"/>
      <c r="M107" s="491"/>
      <c r="N107" s="491"/>
      <c r="O107" s="491"/>
      <c r="P107" s="491"/>
      <c r="Q107" s="491"/>
      <c r="R107" s="491"/>
      <c r="S107" s="491"/>
      <c r="T107" s="491"/>
      <c r="U107" s="491"/>
      <c r="V107" s="491"/>
    </row>
    <row r="108" spans="1:22" s="490" customFormat="1" x14ac:dyDescent="0.2">
      <c r="A108" s="494"/>
      <c r="B108" s="491"/>
      <c r="C108" s="491"/>
      <c r="D108" s="491"/>
      <c r="E108" s="491"/>
      <c r="F108" s="491"/>
      <c r="G108" s="491"/>
      <c r="H108" s="491"/>
      <c r="I108" s="491"/>
      <c r="J108" s="491"/>
      <c r="K108" s="491"/>
      <c r="L108" s="491"/>
      <c r="M108" s="491"/>
      <c r="N108" s="491"/>
      <c r="O108" s="491"/>
      <c r="P108" s="491"/>
      <c r="Q108" s="491"/>
      <c r="R108" s="491"/>
      <c r="S108" s="491"/>
      <c r="T108" s="491"/>
      <c r="U108" s="491"/>
      <c r="V108" s="491"/>
    </row>
    <row r="109" spans="1:22" s="490" customFormat="1" x14ac:dyDescent="0.2">
      <c r="A109" s="494"/>
      <c r="B109" s="491"/>
      <c r="C109" s="491"/>
      <c r="D109" s="491"/>
      <c r="E109" s="491"/>
      <c r="F109" s="491"/>
      <c r="G109" s="491"/>
      <c r="H109" s="491"/>
      <c r="I109" s="491"/>
      <c r="J109" s="491"/>
      <c r="K109" s="491"/>
      <c r="L109" s="491"/>
      <c r="M109" s="491"/>
      <c r="N109" s="491"/>
      <c r="O109" s="491"/>
      <c r="P109" s="491"/>
      <c r="Q109" s="491"/>
      <c r="R109" s="491"/>
      <c r="S109" s="491"/>
      <c r="T109" s="491"/>
      <c r="U109" s="491"/>
      <c r="V109" s="491"/>
    </row>
    <row r="110" spans="1:22" s="490" customFormat="1" x14ac:dyDescent="0.2">
      <c r="A110" s="494"/>
      <c r="B110" s="491"/>
      <c r="C110" s="491"/>
      <c r="D110" s="491"/>
      <c r="E110" s="491"/>
      <c r="F110" s="491"/>
      <c r="G110" s="491"/>
      <c r="H110" s="491"/>
      <c r="I110" s="491"/>
      <c r="J110" s="491"/>
      <c r="K110" s="491"/>
      <c r="L110" s="491"/>
      <c r="M110" s="491"/>
      <c r="N110" s="491"/>
      <c r="O110" s="491"/>
      <c r="P110" s="491"/>
      <c r="Q110" s="491"/>
      <c r="R110" s="491"/>
      <c r="S110" s="491"/>
      <c r="T110" s="491"/>
      <c r="U110" s="491"/>
      <c r="V110" s="491"/>
    </row>
    <row r="111" spans="1:22" s="490" customFormat="1" x14ac:dyDescent="0.2">
      <c r="A111" s="494"/>
      <c r="B111" s="491"/>
      <c r="C111" s="491"/>
      <c r="D111" s="491"/>
      <c r="E111" s="491"/>
      <c r="F111" s="491"/>
      <c r="G111" s="491"/>
      <c r="H111" s="491"/>
      <c r="I111" s="491"/>
      <c r="J111" s="491"/>
      <c r="K111" s="491"/>
      <c r="L111" s="491"/>
      <c r="M111" s="491"/>
      <c r="N111" s="491"/>
      <c r="O111" s="491"/>
      <c r="P111" s="491"/>
      <c r="Q111" s="491"/>
      <c r="R111" s="491"/>
      <c r="S111" s="491"/>
      <c r="T111" s="491"/>
      <c r="U111" s="491"/>
      <c r="V111" s="491"/>
    </row>
    <row r="112" spans="1:22" s="490" customFormat="1" x14ac:dyDescent="0.2">
      <c r="A112" s="494"/>
      <c r="B112" s="491"/>
      <c r="C112" s="491"/>
      <c r="D112" s="491"/>
      <c r="E112" s="491"/>
      <c r="F112" s="491"/>
      <c r="G112" s="491"/>
      <c r="H112" s="491"/>
      <c r="I112" s="491"/>
      <c r="J112" s="491"/>
      <c r="K112" s="491"/>
      <c r="L112" s="491"/>
      <c r="M112" s="491"/>
      <c r="N112" s="491"/>
      <c r="O112" s="491"/>
      <c r="P112" s="491"/>
      <c r="Q112" s="491"/>
      <c r="R112" s="491"/>
      <c r="S112" s="491"/>
      <c r="T112" s="491"/>
      <c r="U112" s="491"/>
      <c r="V112" s="491"/>
    </row>
    <row r="113" spans="1:22" s="490" customFormat="1" x14ac:dyDescent="0.2">
      <c r="A113" s="494"/>
      <c r="B113" s="491"/>
      <c r="C113" s="491"/>
      <c r="D113" s="491"/>
      <c r="E113" s="491"/>
      <c r="F113" s="491"/>
      <c r="G113" s="491"/>
      <c r="H113" s="491"/>
      <c r="I113" s="491"/>
      <c r="J113" s="491"/>
      <c r="K113" s="491"/>
      <c r="L113" s="491"/>
      <c r="M113" s="491"/>
      <c r="N113" s="491"/>
      <c r="O113" s="491"/>
      <c r="P113" s="491"/>
      <c r="Q113" s="491"/>
      <c r="R113" s="491"/>
      <c r="S113" s="491"/>
      <c r="T113" s="491"/>
      <c r="U113" s="491"/>
      <c r="V113" s="491"/>
    </row>
    <row r="114" spans="1:22" s="490" customFormat="1" x14ac:dyDescent="0.2">
      <c r="A114" s="494"/>
      <c r="B114" s="491"/>
      <c r="C114" s="491"/>
      <c r="D114" s="491"/>
      <c r="E114" s="491"/>
      <c r="F114" s="491"/>
      <c r="G114" s="491"/>
      <c r="H114" s="491"/>
      <c r="I114" s="491"/>
      <c r="J114" s="491"/>
      <c r="K114" s="491"/>
      <c r="L114" s="491"/>
      <c r="M114" s="491"/>
      <c r="N114" s="491"/>
      <c r="O114" s="491"/>
      <c r="P114" s="491"/>
      <c r="Q114" s="491"/>
      <c r="R114" s="491"/>
      <c r="S114" s="491"/>
      <c r="T114" s="491"/>
      <c r="U114" s="491"/>
      <c r="V114" s="491"/>
    </row>
    <row r="115" spans="1:22" s="490" customFormat="1" x14ac:dyDescent="0.2">
      <c r="A115" s="494"/>
      <c r="B115" s="491"/>
      <c r="C115" s="491"/>
      <c r="D115" s="491"/>
      <c r="E115" s="491"/>
      <c r="F115" s="491"/>
      <c r="G115" s="491"/>
      <c r="H115" s="491"/>
      <c r="I115" s="491"/>
      <c r="J115" s="491"/>
      <c r="K115" s="491"/>
      <c r="L115" s="491"/>
      <c r="M115" s="491"/>
      <c r="N115" s="491"/>
      <c r="O115" s="491"/>
      <c r="P115" s="491"/>
      <c r="Q115" s="491"/>
      <c r="R115" s="491"/>
      <c r="S115" s="491"/>
      <c r="T115" s="491"/>
      <c r="U115" s="491"/>
      <c r="V115" s="491"/>
    </row>
    <row r="116" spans="1:22" s="490" customFormat="1" x14ac:dyDescent="0.2">
      <c r="A116" s="494"/>
      <c r="B116" s="491"/>
      <c r="C116" s="491"/>
      <c r="D116" s="491"/>
      <c r="E116" s="491"/>
      <c r="F116" s="491"/>
      <c r="G116" s="491"/>
      <c r="H116" s="491"/>
      <c r="I116" s="491"/>
      <c r="J116" s="491"/>
      <c r="K116" s="491"/>
      <c r="L116" s="491"/>
      <c r="M116" s="491"/>
      <c r="N116" s="491"/>
      <c r="O116" s="491"/>
      <c r="P116" s="491"/>
      <c r="Q116" s="491"/>
      <c r="R116" s="491"/>
      <c r="S116" s="491"/>
      <c r="T116" s="491"/>
      <c r="U116" s="491"/>
      <c r="V116" s="491"/>
    </row>
    <row r="117" spans="1:22" s="490" customFormat="1" x14ac:dyDescent="0.2">
      <c r="A117" s="494"/>
      <c r="B117" s="491"/>
      <c r="C117" s="491"/>
      <c r="D117" s="491"/>
      <c r="E117" s="491"/>
      <c r="F117" s="491"/>
      <c r="G117" s="491"/>
      <c r="H117" s="491"/>
      <c r="I117" s="491"/>
      <c r="J117" s="491"/>
      <c r="K117" s="491"/>
      <c r="L117" s="491"/>
      <c r="M117" s="491"/>
      <c r="N117" s="491"/>
      <c r="O117" s="491"/>
      <c r="P117" s="491"/>
      <c r="Q117" s="491"/>
      <c r="R117" s="491"/>
      <c r="S117" s="491"/>
      <c r="T117" s="491"/>
      <c r="U117" s="491"/>
      <c r="V117" s="491"/>
    </row>
    <row r="118" spans="1:22" s="490" customFormat="1" x14ac:dyDescent="0.2">
      <c r="A118" s="494"/>
      <c r="B118" s="491"/>
      <c r="C118" s="491"/>
      <c r="D118" s="491"/>
      <c r="E118" s="491"/>
      <c r="F118" s="491"/>
      <c r="G118" s="491"/>
      <c r="H118" s="491"/>
      <c r="I118" s="491"/>
      <c r="J118" s="491"/>
      <c r="K118" s="491"/>
      <c r="L118" s="491"/>
      <c r="M118" s="491"/>
      <c r="N118" s="491"/>
      <c r="O118" s="491"/>
      <c r="P118" s="491"/>
      <c r="Q118" s="491"/>
      <c r="R118" s="491"/>
      <c r="S118" s="491"/>
      <c r="T118" s="491"/>
      <c r="U118" s="491"/>
      <c r="V118" s="491"/>
    </row>
    <row r="119" spans="1:22" s="490" customFormat="1" x14ac:dyDescent="0.2">
      <c r="A119" s="494"/>
      <c r="B119" s="491"/>
      <c r="C119" s="491"/>
      <c r="D119" s="491"/>
      <c r="E119" s="491"/>
      <c r="F119" s="491"/>
      <c r="G119" s="491"/>
      <c r="H119" s="491"/>
      <c r="I119" s="491"/>
      <c r="J119" s="491"/>
      <c r="K119" s="491"/>
      <c r="L119" s="491"/>
      <c r="M119" s="491"/>
      <c r="N119" s="491"/>
      <c r="O119" s="491"/>
      <c r="P119" s="491"/>
      <c r="Q119" s="491"/>
      <c r="R119" s="491"/>
      <c r="S119" s="491"/>
      <c r="T119" s="491"/>
      <c r="U119" s="491"/>
      <c r="V119" s="491"/>
    </row>
    <row r="120" spans="1:22" s="490" customFormat="1" x14ac:dyDescent="0.2">
      <c r="A120" s="494"/>
      <c r="B120" s="491"/>
      <c r="C120" s="491"/>
      <c r="D120" s="491"/>
      <c r="E120" s="491"/>
      <c r="F120" s="491"/>
      <c r="G120" s="491"/>
      <c r="H120" s="491"/>
      <c r="I120" s="491"/>
      <c r="J120" s="491"/>
      <c r="K120" s="491"/>
      <c r="L120" s="491"/>
      <c r="M120" s="491"/>
      <c r="N120" s="491"/>
      <c r="O120" s="491"/>
      <c r="P120" s="491"/>
      <c r="Q120" s="491"/>
      <c r="R120" s="491"/>
      <c r="S120" s="491"/>
      <c r="T120" s="491"/>
      <c r="U120" s="491"/>
      <c r="V120" s="491"/>
    </row>
    <row r="121" spans="1:22" s="490" customFormat="1" x14ac:dyDescent="0.2">
      <c r="A121" s="494"/>
      <c r="B121" s="491"/>
      <c r="C121" s="491"/>
      <c r="D121" s="491"/>
      <c r="E121" s="491"/>
      <c r="F121" s="491"/>
      <c r="G121" s="491"/>
      <c r="H121" s="491"/>
      <c r="I121" s="491"/>
      <c r="J121" s="491"/>
      <c r="K121" s="491"/>
      <c r="L121" s="491"/>
      <c r="M121" s="491"/>
      <c r="N121" s="491"/>
      <c r="O121" s="491"/>
      <c r="P121" s="491"/>
      <c r="Q121" s="491"/>
      <c r="R121" s="491"/>
      <c r="S121" s="491"/>
      <c r="T121" s="491"/>
      <c r="U121" s="491"/>
      <c r="V121" s="491"/>
    </row>
    <row r="122" spans="1:22" s="490" customFormat="1" x14ac:dyDescent="0.2">
      <c r="A122" s="494"/>
      <c r="B122" s="491"/>
      <c r="C122" s="491"/>
      <c r="D122" s="491"/>
      <c r="E122" s="491"/>
      <c r="F122" s="491"/>
      <c r="G122" s="491"/>
      <c r="H122" s="491"/>
      <c r="I122" s="491"/>
      <c r="J122" s="491"/>
      <c r="K122" s="491"/>
      <c r="L122" s="491"/>
      <c r="M122" s="491"/>
      <c r="N122" s="491"/>
      <c r="O122" s="491"/>
      <c r="P122" s="491"/>
      <c r="Q122" s="491"/>
      <c r="R122" s="491"/>
      <c r="S122" s="491"/>
      <c r="T122" s="491"/>
      <c r="U122" s="491"/>
      <c r="V122" s="491"/>
    </row>
    <row r="123" spans="1:22" s="490" customFormat="1" x14ac:dyDescent="0.2">
      <c r="A123" s="494"/>
      <c r="B123" s="491"/>
      <c r="C123" s="491"/>
      <c r="D123" s="491"/>
      <c r="E123" s="491"/>
      <c r="F123" s="491"/>
      <c r="G123" s="491"/>
      <c r="H123" s="491"/>
      <c r="I123" s="491"/>
      <c r="J123" s="491"/>
      <c r="K123" s="491"/>
      <c r="L123" s="491"/>
      <c r="M123" s="491"/>
      <c r="N123" s="491"/>
      <c r="O123" s="491"/>
      <c r="P123" s="491"/>
      <c r="Q123" s="491"/>
      <c r="R123" s="491"/>
      <c r="S123" s="491"/>
      <c r="T123" s="491"/>
      <c r="U123" s="491"/>
      <c r="V123" s="491"/>
    </row>
    <row r="124" spans="1:22" s="490" customFormat="1" x14ac:dyDescent="0.2">
      <c r="A124" s="494"/>
      <c r="B124" s="491"/>
      <c r="C124" s="491"/>
      <c r="D124" s="491"/>
      <c r="E124" s="491"/>
      <c r="F124" s="491"/>
      <c r="G124" s="491"/>
      <c r="H124" s="491"/>
      <c r="I124" s="491"/>
      <c r="J124" s="491"/>
      <c r="K124" s="491"/>
      <c r="L124" s="491"/>
      <c r="M124" s="491"/>
      <c r="N124" s="491"/>
      <c r="O124" s="491"/>
      <c r="P124" s="491"/>
      <c r="Q124" s="491"/>
      <c r="R124" s="491"/>
      <c r="S124" s="491"/>
      <c r="T124" s="491"/>
      <c r="U124" s="491"/>
      <c r="V124" s="491"/>
    </row>
    <row r="125" spans="1:22" s="490" customFormat="1" x14ac:dyDescent="0.2">
      <c r="A125" s="494"/>
      <c r="B125" s="491"/>
      <c r="C125" s="491"/>
      <c r="D125" s="491"/>
      <c r="E125" s="491"/>
      <c r="F125" s="491"/>
      <c r="G125" s="491"/>
      <c r="H125" s="491"/>
      <c r="I125" s="491"/>
      <c r="J125" s="491"/>
      <c r="K125" s="491"/>
      <c r="L125" s="491"/>
      <c r="M125" s="491"/>
      <c r="N125" s="491"/>
      <c r="O125" s="491"/>
      <c r="P125" s="491"/>
      <c r="Q125" s="491"/>
      <c r="R125" s="491"/>
      <c r="S125" s="491"/>
      <c r="T125" s="491"/>
      <c r="U125" s="491"/>
      <c r="V125" s="491"/>
    </row>
    <row r="126" spans="1:22" s="490" customFormat="1" x14ac:dyDescent="0.2">
      <c r="A126" s="494"/>
      <c r="B126" s="491"/>
      <c r="C126" s="491"/>
      <c r="D126" s="491"/>
      <c r="E126" s="491"/>
      <c r="F126" s="491"/>
      <c r="G126" s="491"/>
      <c r="H126" s="491"/>
      <c r="I126" s="491"/>
      <c r="J126" s="491"/>
      <c r="K126" s="491"/>
      <c r="L126" s="491"/>
      <c r="M126" s="491"/>
      <c r="N126" s="491"/>
      <c r="O126" s="491"/>
      <c r="P126" s="491"/>
      <c r="Q126" s="491"/>
      <c r="R126" s="491"/>
      <c r="S126" s="491"/>
      <c r="T126" s="491"/>
      <c r="U126" s="491"/>
      <c r="V126" s="491"/>
    </row>
    <row r="127" spans="1:22" s="490" customFormat="1" x14ac:dyDescent="0.2">
      <c r="A127" s="494"/>
      <c r="B127" s="491"/>
      <c r="C127" s="491"/>
      <c r="D127" s="491"/>
      <c r="E127" s="491"/>
      <c r="F127" s="491"/>
      <c r="G127" s="491"/>
      <c r="H127" s="491"/>
      <c r="I127" s="491"/>
      <c r="J127" s="491"/>
      <c r="K127" s="491"/>
      <c r="L127" s="491"/>
      <c r="M127" s="491"/>
      <c r="N127" s="491"/>
      <c r="O127" s="491"/>
      <c r="P127" s="491"/>
      <c r="Q127" s="491"/>
      <c r="R127" s="491"/>
      <c r="S127" s="491"/>
      <c r="T127" s="491"/>
      <c r="U127" s="491"/>
      <c r="V127" s="491"/>
    </row>
    <row r="128" spans="1:22" s="490" customFormat="1" x14ac:dyDescent="0.2">
      <c r="A128" s="494"/>
      <c r="B128" s="491"/>
      <c r="C128" s="491"/>
      <c r="D128" s="491"/>
      <c r="E128" s="491"/>
      <c r="F128" s="491"/>
      <c r="G128" s="491"/>
      <c r="H128" s="491"/>
      <c r="I128" s="491"/>
      <c r="J128" s="491"/>
      <c r="K128" s="491"/>
      <c r="L128" s="491"/>
      <c r="M128" s="491"/>
      <c r="N128" s="491"/>
      <c r="O128" s="491"/>
      <c r="P128" s="491"/>
      <c r="Q128" s="491"/>
      <c r="R128" s="491"/>
      <c r="S128" s="491"/>
      <c r="T128" s="491"/>
      <c r="U128" s="491"/>
      <c r="V128" s="491"/>
    </row>
    <row r="129" spans="1:22" s="490" customFormat="1" x14ac:dyDescent="0.2">
      <c r="A129" s="494"/>
      <c r="B129" s="491"/>
      <c r="C129" s="491"/>
      <c r="D129" s="491"/>
      <c r="E129" s="491"/>
      <c r="F129" s="491"/>
      <c r="G129" s="491"/>
      <c r="H129" s="491"/>
      <c r="I129" s="491"/>
      <c r="J129" s="491"/>
      <c r="K129" s="491"/>
      <c r="L129" s="491"/>
      <c r="M129" s="491"/>
      <c r="N129" s="491"/>
      <c r="O129" s="491"/>
      <c r="P129" s="491"/>
      <c r="Q129" s="491"/>
      <c r="R129" s="491"/>
      <c r="S129" s="491"/>
      <c r="T129" s="491"/>
      <c r="U129" s="491"/>
      <c r="V129" s="491"/>
    </row>
    <row r="130" spans="1:22" s="490" customFormat="1" x14ac:dyDescent="0.2">
      <c r="A130" s="494"/>
      <c r="B130" s="491"/>
      <c r="C130" s="491"/>
      <c r="D130" s="491"/>
      <c r="E130" s="491"/>
      <c r="F130" s="491"/>
      <c r="G130" s="491"/>
      <c r="H130" s="491"/>
      <c r="I130" s="491"/>
      <c r="J130" s="491"/>
      <c r="K130" s="491"/>
      <c r="L130" s="491"/>
      <c r="M130" s="491"/>
      <c r="N130" s="491"/>
      <c r="O130" s="491"/>
      <c r="P130" s="491"/>
      <c r="Q130" s="491"/>
      <c r="R130" s="491"/>
      <c r="S130" s="491"/>
      <c r="T130" s="491"/>
      <c r="U130" s="491"/>
      <c r="V130" s="491"/>
    </row>
    <row r="131" spans="1:22" s="490" customFormat="1" x14ac:dyDescent="0.2">
      <c r="A131" s="494"/>
      <c r="B131" s="491"/>
      <c r="C131" s="491"/>
      <c r="D131" s="491"/>
      <c r="E131" s="491"/>
      <c r="F131" s="491"/>
      <c r="G131" s="491"/>
      <c r="H131" s="491"/>
      <c r="I131" s="491"/>
      <c r="J131" s="491"/>
      <c r="K131" s="491"/>
      <c r="L131" s="491"/>
      <c r="M131" s="491"/>
      <c r="N131" s="491"/>
      <c r="O131" s="491"/>
      <c r="P131" s="491"/>
      <c r="Q131" s="491"/>
      <c r="R131" s="491"/>
      <c r="S131" s="491"/>
      <c r="T131" s="491"/>
      <c r="U131" s="491"/>
      <c r="V131" s="491"/>
    </row>
    <row r="132" spans="1:22" s="490" customFormat="1" x14ac:dyDescent="0.2">
      <c r="A132" s="494"/>
      <c r="B132" s="491"/>
      <c r="C132" s="491"/>
      <c r="D132" s="491"/>
      <c r="E132" s="491"/>
      <c r="F132" s="491"/>
      <c r="G132" s="491"/>
      <c r="H132" s="491"/>
      <c r="I132" s="491"/>
      <c r="J132" s="491"/>
      <c r="K132" s="491"/>
      <c r="L132" s="491"/>
      <c r="M132" s="491"/>
      <c r="N132" s="491"/>
      <c r="O132" s="491"/>
      <c r="P132" s="491"/>
      <c r="Q132" s="491"/>
      <c r="R132" s="491"/>
      <c r="S132" s="491"/>
      <c r="T132" s="491"/>
      <c r="U132" s="491"/>
      <c r="V132" s="491"/>
    </row>
    <row r="133" spans="1:22" s="490" customFormat="1" x14ac:dyDescent="0.2">
      <c r="A133" s="494"/>
      <c r="B133" s="491"/>
      <c r="C133" s="491"/>
      <c r="D133" s="491"/>
      <c r="E133" s="491"/>
      <c r="F133" s="491"/>
      <c r="G133" s="491"/>
      <c r="H133" s="491"/>
      <c r="I133" s="491"/>
      <c r="J133" s="491"/>
      <c r="K133" s="491"/>
      <c r="L133" s="491"/>
      <c r="M133" s="491"/>
      <c r="N133" s="491"/>
      <c r="O133" s="491"/>
      <c r="P133" s="491"/>
      <c r="Q133" s="491"/>
      <c r="R133" s="491"/>
      <c r="S133" s="491"/>
      <c r="T133" s="491"/>
      <c r="U133" s="491"/>
      <c r="V133" s="491"/>
    </row>
    <row r="134" spans="1:22" s="490" customFormat="1" x14ac:dyDescent="0.2">
      <c r="A134" s="494"/>
      <c r="B134" s="491"/>
      <c r="C134" s="491"/>
      <c r="D134" s="491"/>
      <c r="E134" s="491"/>
      <c r="F134" s="491"/>
      <c r="G134" s="491"/>
      <c r="H134" s="491"/>
      <c r="I134" s="491"/>
      <c r="J134" s="491"/>
      <c r="K134" s="491"/>
      <c r="L134" s="491"/>
      <c r="M134" s="491"/>
      <c r="N134" s="491"/>
      <c r="O134" s="491"/>
      <c r="P134" s="491"/>
      <c r="Q134" s="491"/>
      <c r="R134" s="491"/>
      <c r="S134" s="491"/>
      <c r="T134" s="491"/>
      <c r="U134" s="491"/>
      <c r="V134" s="491"/>
    </row>
    <row r="135" spans="1:22" s="490" customFormat="1" x14ac:dyDescent="0.2">
      <c r="A135" s="494"/>
      <c r="B135" s="491"/>
      <c r="C135" s="491"/>
      <c r="D135" s="491"/>
      <c r="E135" s="491"/>
      <c r="F135" s="491"/>
      <c r="G135" s="491"/>
      <c r="H135" s="491"/>
      <c r="I135" s="491"/>
      <c r="J135" s="491"/>
      <c r="K135" s="491"/>
      <c r="L135" s="491"/>
      <c r="M135" s="491"/>
      <c r="N135" s="491"/>
      <c r="O135" s="491"/>
      <c r="P135" s="491"/>
      <c r="Q135" s="491"/>
      <c r="R135" s="491"/>
      <c r="S135" s="491"/>
      <c r="T135" s="491"/>
      <c r="U135" s="491"/>
      <c r="V135" s="491"/>
    </row>
    <row r="136" spans="1:22" s="490" customFormat="1" x14ac:dyDescent="0.2">
      <c r="A136" s="494"/>
      <c r="B136" s="491"/>
      <c r="C136" s="491"/>
      <c r="D136" s="491"/>
      <c r="E136" s="491"/>
      <c r="F136" s="491"/>
      <c r="G136" s="491"/>
      <c r="H136" s="491"/>
      <c r="I136" s="491"/>
      <c r="J136" s="491"/>
      <c r="K136" s="491"/>
      <c r="L136" s="491"/>
      <c r="M136" s="491"/>
      <c r="N136" s="491"/>
      <c r="O136" s="491"/>
      <c r="P136" s="491"/>
      <c r="Q136" s="491"/>
      <c r="R136" s="491"/>
      <c r="S136" s="491"/>
      <c r="T136" s="491"/>
      <c r="U136" s="491"/>
      <c r="V136" s="491"/>
    </row>
    <row r="137" spans="1:22" s="490" customFormat="1" x14ac:dyDescent="0.2">
      <c r="A137" s="494"/>
      <c r="B137" s="491"/>
      <c r="C137" s="491"/>
      <c r="D137" s="491"/>
      <c r="E137" s="491"/>
      <c r="F137" s="491"/>
      <c r="G137" s="491"/>
      <c r="H137" s="491"/>
      <c r="I137" s="491"/>
      <c r="J137" s="491"/>
      <c r="K137" s="491"/>
      <c r="L137" s="491"/>
      <c r="M137" s="491"/>
      <c r="N137" s="491"/>
      <c r="O137" s="491"/>
      <c r="P137" s="491"/>
      <c r="Q137" s="491"/>
      <c r="R137" s="491"/>
      <c r="S137" s="491"/>
      <c r="T137" s="491"/>
      <c r="U137" s="491"/>
      <c r="V137" s="491"/>
    </row>
    <row r="138" spans="1:22" s="490" customFormat="1" x14ac:dyDescent="0.2">
      <c r="A138" s="494"/>
      <c r="B138" s="491"/>
      <c r="C138" s="491"/>
      <c r="D138" s="491"/>
      <c r="E138" s="491"/>
      <c r="F138" s="491"/>
      <c r="G138" s="491"/>
      <c r="H138" s="491"/>
      <c r="I138" s="491"/>
      <c r="J138" s="491"/>
      <c r="K138" s="491"/>
      <c r="L138" s="491"/>
      <c r="M138" s="491"/>
      <c r="N138" s="491"/>
      <c r="O138" s="491"/>
      <c r="P138" s="491"/>
      <c r="Q138" s="491"/>
      <c r="R138" s="491"/>
      <c r="S138" s="491"/>
      <c r="T138" s="491"/>
      <c r="U138" s="491"/>
      <c r="V138" s="491"/>
    </row>
    <row r="139" spans="1:22" s="490" customFormat="1" x14ac:dyDescent="0.2">
      <c r="A139" s="494"/>
      <c r="B139" s="491"/>
      <c r="C139" s="491"/>
      <c r="D139" s="491"/>
      <c r="E139" s="491"/>
      <c r="F139" s="491"/>
      <c r="G139" s="491"/>
      <c r="H139" s="491"/>
      <c r="I139" s="491"/>
      <c r="J139" s="491"/>
      <c r="K139" s="491"/>
      <c r="L139" s="491"/>
      <c r="M139" s="491"/>
      <c r="N139" s="491"/>
      <c r="O139" s="491"/>
      <c r="P139" s="491"/>
      <c r="Q139" s="491"/>
      <c r="R139" s="491"/>
      <c r="S139" s="491"/>
      <c r="T139" s="491"/>
      <c r="U139" s="491"/>
      <c r="V139" s="491"/>
    </row>
    <row r="140" spans="1:22" s="490" customFormat="1" x14ac:dyDescent="0.2">
      <c r="A140" s="494"/>
      <c r="B140" s="491"/>
      <c r="C140" s="491"/>
      <c r="D140" s="491"/>
      <c r="E140" s="491"/>
      <c r="F140" s="491"/>
      <c r="G140" s="491"/>
      <c r="H140" s="491"/>
      <c r="I140" s="491"/>
      <c r="J140" s="491"/>
      <c r="K140" s="491"/>
      <c r="L140" s="491"/>
      <c r="M140" s="491"/>
      <c r="N140" s="491"/>
      <c r="O140" s="491"/>
      <c r="P140" s="491"/>
      <c r="Q140" s="491"/>
      <c r="R140" s="491"/>
      <c r="S140" s="491"/>
      <c r="T140" s="491"/>
      <c r="U140" s="491"/>
      <c r="V140" s="491"/>
    </row>
    <row r="141" spans="1:22" s="490" customFormat="1" x14ac:dyDescent="0.2">
      <c r="A141" s="494"/>
      <c r="B141" s="491"/>
      <c r="C141" s="491"/>
      <c r="D141" s="491"/>
      <c r="E141" s="491"/>
      <c r="F141" s="491"/>
      <c r="G141" s="491"/>
      <c r="H141" s="491"/>
      <c r="I141" s="491"/>
      <c r="J141" s="491"/>
      <c r="K141" s="491"/>
      <c r="L141" s="491"/>
      <c r="M141" s="491"/>
      <c r="N141" s="491"/>
      <c r="O141" s="491"/>
      <c r="P141" s="491"/>
      <c r="Q141" s="491"/>
      <c r="R141" s="491"/>
      <c r="S141" s="491"/>
      <c r="T141" s="491"/>
      <c r="U141" s="491"/>
      <c r="V141" s="491"/>
    </row>
    <row r="142" spans="1:22" s="490" customFormat="1" x14ac:dyDescent="0.2">
      <c r="A142" s="494"/>
      <c r="B142" s="491"/>
      <c r="C142" s="491"/>
      <c r="D142" s="491"/>
      <c r="E142" s="491"/>
      <c r="F142" s="491"/>
      <c r="G142" s="491"/>
      <c r="H142" s="491"/>
      <c r="I142" s="491"/>
      <c r="J142" s="491"/>
      <c r="K142" s="491"/>
      <c r="L142" s="491"/>
      <c r="M142" s="491"/>
      <c r="N142" s="491"/>
      <c r="O142" s="491"/>
      <c r="P142" s="491"/>
      <c r="Q142" s="491"/>
      <c r="R142" s="491"/>
      <c r="S142" s="491"/>
      <c r="T142" s="491"/>
      <c r="U142" s="491"/>
      <c r="V142" s="491"/>
    </row>
    <row r="143" spans="1:22" s="490" customFormat="1" x14ac:dyDescent="0.2">
      <c r="A143" s="494"/>
      <c r="B143" s="491"/>
      <c r="C143" s="491"/>
      <c r="D143" s="491"/>
      <c r="E143" s="491"/>
      <c r="F143" s="491"/>
      <c r="G143" s="491"/>
      <c r="H143" s="491"/>
      <c r="I143" s="491"/>
      <c r="J143" s="491"/>
      <c r="K143" s="491"/>
      <c r="L143" s="491"/>
      <c r="M143" s="491"/>
      <c r="N143" s="491"/>
      <c r="O143" s="491"/>
      <c r="P143" s="491"/>
      <c r="Q143" s="491"/>
      <c r="R143" s="491"/>
      <c r="S143" s="491"/>
      <c r="T143" s="491"/>
      <c r="U143" s="491"/>
      <c r="V143" s="491"/>
    </row>
    <row r="144" spans="1:22" s="490" customFormat="1" x14ac:dyDescent="0.2">
      <c r="A144" s="494"/>
      <c r="B144" s="491"/>
      <c r="C144" s="491"/>
      <c r="D144" s="491"/>
      <c r="E144" s="491"/>
      <c r="F144" s="491"/>
      <c r="G144" s="491"/>
      <c r="H144" s="491"/>
      <c r="I144" s="491"/>
      <c r="J144" s="491"/>
      <c r="K144" s="491"/>
      <c r="L144" s="491"/>
      <c r="M144" s="491"/>
      <c r="N144" s="491"/>
      <c r="O144" s="491"/>
      <c r="P144" s="491"/>
      <c r="Q144" s="491"/>
      <c r="R144" s="491"/>
      <c r="S144" s="491"/>
      <c r="T144" s="491"/>
      <c r="U144" s="491"/>
      <c r="V144" s="491"/>
    </row>
    <row r="145" spans="1:22" s="490" customFormat="1" x14ac:dyDescent="0.2">
      <c r="A145" s="494"/>
      <c r="B145" s="491"/>
      <c r="C145" s="491"/>
      <c r="D145" s="491"/>
      <c r="E145" s="491"/>
      <c r="F145" s="491"/>
      <c r="G145" s="491"/>
      <c r="H145" s="491"/>
      <c r="I145" s="491"/>
      <c r="J145" s="491"/>
      <c r="K145" s="491"/>
      <c r="L145" s="491"/>
      <c r="M145" s="491"/>
      <c r="N145" s="491"/>
      <c r="O145" s="491"/>
      <c r="P145" s="491"/>
      <c r="Q145" s="491"/>
      <c r="R145" s="491"/>
      <c r="S145" s="491"/>
      <c r="T145" s="491"/>
      <c r="U145" s="491"/>
      <c r="V145" s="491"/>
    </row>
    <row r="146" spans="1:22" s="490" customFormat="1" x14ac:dyDescent="0.2">
      <c r="A146" s="494"/>
      <c r="B146" s="491"/>
      <c r="C146" s="491"/>
      <c r="D146" s="491"/>
      <c r="E146" s="491"/>
      <c r="F146" s="491"/>
      <c r="G146" s="491"/>
      <c r="H146" s="491"/>
      <c r="I146" s="491"/>
      <c r="J146" s="491"/>
      <c r="K146" s="491"/>
      <c r="L146" s="491"/>
      <c r="M146" s="491"/>
      <c r="N146" s="491"/>
      <c r="O146" s="491"/>
      <c r="P146" s="491"/>
      <c r="Q146" s="491"/>
      <c r="R146" s="491"/>
      <c r="S146" s="491"/>
      <c r="T146" s="491"/>
      <c r="U146" s="491"/>
      <c r="V146" s="491"/>
    </row>
    <row r="147" spans="1:22" s="490" customFormat="1" x14ac:dyDescent="0.2">
      <c r="A147" s="494"/>
      <c r="B147" s="491"/>
      <c r="C147" s="491"/>
      <c r="D147" s="491"/>
      <c r="E147" s="491"/>
      <c r="F147" s="491"/>
      <c r="G147" s="491"/>
      <c r="H147" s="491"/>
      <c r="I147" s="491"/>
      <c r="J147" s="491"/>
      <c r="K147" s="491"/>
      <c r="L147" s="491"/>
      <c r="M147" s="491"/>
      <c r="N147" s="491"/>
      <c r="O147" s="491"/>
      <c r="P147" s="491"/>
      <c r="Q147" s="491"/>
      <c r="R147" s="491"/>
      <c r="S147" s="491"/>
      <c r="T147" s="491"/>
      <c r="U147" s="491"/>
      <c r="V147" s="491"/>
    </row>
    <row r="148" spans="1:22" s="490" customFormat="1" x14ac:dyDescent="0.2">
      <c r="A148" s="494"/>
      <c r="B148" s="491"/>
      <c r="C148" s="491"/>
      <c r="D148" s="491"/>
      <c r="E148" s="491"/>
      <c r="F148" s="491"/>
      <c r="G148" s="491"/>
      <c r="H148" s="491"/>
      <c r="I148" s="491"/>
      <c r="J148" s="491"/>
      <c r="K148" s="491"/>
      <c r="L148" s="491"/>
      <c r="M148" s="491"/>
      <c r="N148" s="491"/>
      <c r="O148" s="491"/>
      <c r="P148" s="491"/>
      <c r="Q148" s="491"/>
      <c r="R148" s="491"/>
      <c r="S148" s="491"/>
      <c r="T148" s="491"/>
      <c r="U148" s="491"/>
      <c r="V148" s="491"/>
    </row>
    <row r="149" spans="1:22" s="490" customFormat="1" x14ac:dyDescent="0.2">
      <c r="A149" s="494"/>
      <c r="B149" s="491"/>
      <c r="C149" s="491"/>
      <c r="D149" s="491"/>
      <c r="E149" s="491"/>
      <c r="F149" s="491"/>
      <c r="G149" s="491"/>
      <c r="H149" s="491"/>
      <c r="I149" s="491"/>
      <c r="J149" s="491"/>
      <c r="K149" s="491"/>
      <c r="L149" s="491"/>
      <c r="M149" s="491"/>
      <c r="N149" s="491"/>
      <c r="O149" s="491"/>
      <c r="P149" s="491"/>
      <c r="Q149" s="491"/>
      <c r="R149" s="491"/>
      <c r="S149" s="491"/>
      <c r="T149" s="491"/>
      <c r="U149" s="491"/>
      <c r="V149" s="491"/>
    </row>
    <row r="150" spans="1:22" s="490" customFormat="1" x14ac:dyDescent="0.2">
      <c r="A150" s="494"/>
      <c r="B150" s="491"/>
      <c r="C150" s="491"/>
      <c r="D150" s="491"/>
      <c r="E150" s="491"/>
      <c r="F150" s="491"/>
      <c r="G150" s="491"/>
      <c r="H150" s="491"/>
      <c r="I150" s="491"/>
      <c r="J150" s="491"/>
      <c r="K150" s="491"/>
      <c r="L150" s="491"/>
      <c r="M150" s="491"/>
      <c r="N150" s="491"/>
      <c r="O150" s="491"/>
      <c r="P150" s="491"/>
      <c r="Q150" s="491"/>
      <c r="R150" s="491"/>
      <c r="S150" s="491"/>
      <c r="T150" s="491"/>
      <c r="U150" s="491"/>
      <c r="V150" s="491"/>
    </row>
    <row r="151" spans="1:22" s="490" customFormat="1" x14ac:dyDescent="0.2">
      <c r="A151" s="494"/>
      <c r="B151" s="491"/>
      <c r="C151" s="491"/>
      <c r="D151" s="491"/>
      <c r="E151" s="491"/>
      <c r="F151" s="491"/>
      <c r="G151" s="491"/>
      <c r="H151" s="491"/>
      <c r="I151" s="491"/>
      <c r="J151" s="491"/>
      <c r="K151" s="491"/>
      <c r="L151" s="491"/>
      <c r="M151" s="491"/>
      <c r="N151" s="491"/>
      <c r="O151" s="491"/>
      <c r="P151" s="491"/>
      <c r="Q151" s="491"/>
      <c r="R151" s="491"/>
      <c r="S151" s="491"/>
      <c r="T151" s="491"/>
      <c r="U151" s="491"/>
      <c r="V151" s="491"/>
    </row>
    <row r="152" spans="1:22" s="490" customFormat="1" x14ac:dyDescent="0.2">
      <c r="A152" s="494"/>
      <c r="B152" s="491"/>
      <c r="C152" s="491"/>
      <c r="D152" s="491"/>
      <c r="E152" s="491"/>
      <c r="F152" s="491"/>
      <c r="G152" s="491"/>
      <c r="H152" s="491"/>
      <c r="I152" s="491"/>
      <c r="J152" s="491"/>
      <c r="K152" s="491"/>
      <c r="L152" s="491"/>
      <c r="M152" s="491"/>
      <c r="N152" s="491"/>
      <c r="O152" s="491"/>
      <c r="P152" s="491"/>
      <c r="Q152" s="491"/>
      <c r="R152" s="491"/>
      <c r="S152" s="491"/>
      <c r="T152" s="491"/>
      <c r="U152" s="491"/>
      <c r="V152" s="491"/>
    </row>
    <row r="153" spans="1:22" s="490" customFormat="1" x14ac:dyDescent="0.2">
      <c r="A153" s="494"/>
      <c r="B153" s="491"/>
      <c r="C153" s="491"/>
      <c r="D153" s="491"/>
      <c r="E153" s="491"/>
      <c r="F153" s="491"/>
      <c r="G153" s="491"/>
      <c r="H153" s="491"/>
      <c r="I153" s="491"/>
      <c r="J153" s="491"/>
      <c r="K153" s="491"/>
      <c r="L153" s="491"/>
      <c r="M153" s="491"/>
      <c r="N153" s="491"/>
      <c r="O153" s="491"/>
      <c r="P153" s="491"/>
      <c r="Q153" s="491"/>
      <c r="R153" s="491"/>
      <c r="S153" s="491"/>
      <c r="T153" s="491"/>
      <c r="U153" s="491"/>
      <c r="V153" s="491"/>
    </row>
    <row r="154" spans="1:22" s="490" customFormat="1" x14ac:dyDescent="0.2">
      <c r="A154" s="494"/>
      <c r="B154" s="491"/>
      <c r="C154" s="491"/>
      <c r="D154" s="491"/>
      <c r="E154" s="491"/>
      <c r="F154" s="491"/>
      <c r="G154" s="491"/>
      <c r="H154" s="491"/>
      <c r="I154" s="491"/>
      <c r="J154" s="491"/>
      <c r="K154" s="491"/>
      <c r="L154" s="491"/>
      <c r="M154" s="491"/>
      <c r="N154" s="491"/>
      <c r="O154" s="491"/>
      <c r="P154" s="491"/>
      <c r="Q154" s="491"/>
      <c r="R154" s="491"/>
      <c r="S154" s="491"/>
      <c r="T154" s="491"/>
      <c r="U154" s="491"/>
      <c r="V154" s="491"/>
    </row>
    <row r="155" spans="1:22" s="490" customFormat="1" x14ac:dyDescent="0.2">
      <c r="A155" s="494"/>
      <c r="B155" s="491"/>
      <c r="C155" s="491"/>
      <c r="D155" s="491"/>
      <c r="E155" s="491"/>
      <c r="F155" s="491"/>
      <c r="G155" s="491"/>
      <c r="H155" s="491"/>
      <c r="I155" s="491"/>
      <c r="J155" s="491"/>
      <c r="K155" s="491"/>
      <c r="L155" s="491"/>
      <c r="M155" s="491"/>
      <c r="N155" s="491"/>
      <c r="O155" s="491"/>
      <c r="P155" s="491"/>
      <c r="Q155" s="491"/>
      <c r="R155" s="491"/>
      <c r="S155" s="491"/>
      <c r="T155" s="491"/>
      <c r="U155" s="491"/>
      <c r="V155" s="491"/>
    </row>
    <row r="156" spans="1:22" s="490" customFormat="1" x14ac:dyDescent="0.2">
      <c r="A156" s="494"/>
      <c r="B156" s="491"/>
      <c r="C156" s="491"/>
      <c r="D156" s="491"/>
      <c r="E156" s="491"/>
      <c r="F156" s="491"/>
      <c r="G156" s="491"/>
      <c r="H156" s="491"/>
      <c r="I156" s="491"/>
      <c r="J156" s="491"/>
      <c r="K156" s="491"/>
      <c r="L156" s="491"/>
      <c r="M156" s="491"/>
      <c r="N156" s="491"/>
      <c r="O156" s="491"/>
      <c r="P156" s="491"/>
      <c r="Q156" s="491"/>
      <c r="R156" s="491"/>
      <c r="S156" s="491"/>
      <c r="T156" s="491"/>
      <c r="U156" s="491"/>
      <c r="V156" s="491"/>
    </row>
    <row r="157" spans="1:22" s="490" customFormat="1" x14ac:dyDescent="0.2">
      <c r="A157" s="494"/>
      <c r="B157" s="491"/>
      <c r="C157" s="491"/>
      <c r="D157" s="491"/>
      <c r="E157" s="491"/>
      <c r="F157" s="491"/>
      <c r="G157" s="491"/>
      <c r="H157" s="491"/>
      <c r="I157" s="491"/>
      <c r="J157" s="491"/>
      <c r="K157" s="491"/>
      <c r="L157" s="491"/>
      <c r="M157" s="491"/>
      <c r="N157" s="491"/>
      <c r="O157" s="491"/>
      <c r="P157" s="491"/>
      <c r="Q157" s="491"/>
      <c r="R157" s="491"/>
      <c r="S157" s="491"/>
      <c r="T157" s="491"/>
      <c r="U157" s="491"/>
      <c r="V157" s="491"/>
    </row>
    <row r="158" spans="1:22" s="490" customFormat="1" x14ac:dyDescent="0.2">
      <c r="A158" s="494"/>
      <c r="B158" s="491"/>
      <c r="C158" s="491"/>
      <c r="D158" s="491"/>
      <c r="E158" s="491"/>
      <c r="F158" s="491"/>
      <c r="G158" s="491"/>
      <c r="H158" s="491"/>
      <c r="I158" s="491"/>
      <c r="J158" s="491"/>
      <c r="K158" s="491"/>
      <c r="L158" s="491"/>
      <c r="M158" s="491"/>
      <c r="N158" s="491"/>
      <c r="O158" s="491"/>
      <c r="P158" s="491"/>
      <c r="Q158" s="491"/>
      <c r="R158" s="491"/>
      <c r="S158" s="491"/>
      <c r="T158" s="491"/>
      <c r="U158" s="491"/>
      <c r="V158" s="491"/>
    </row>
    <row r="159" spans="1:22" s="490" customFormat="1" x14ac:dyDescent="0.2">
      <c r="A159" s="494"/>
      <c r="B159" s="491"/>
      <c r="C159" s="491"/>
      <c r="D159" s="491"/>
      <c r="E159" s="491"/>
      <c r="F159" s="491"/>
      <c r="G159" s="491"/>
      <c r="H159" s="491"/>
      <c r="I159" s="491"/>
      <c r="J159" s="491"/>
      <c r="K159" s="491"/>
      <c r="L159" s="491"/>
      <c r="M159" s="491"/>
      <c r="N159" s="491"/>
      <c r="O159" s="491"/>
      <c r="P159" s="491"/>
      <c r="Q159" s="491"/>
      <c r="R159" s="491"/>
      <c r="S159" s="491"/>
      <c r="T159" s="491"/>
      <c r="U159" s="491"/>
      <c r="V159" s="491"/>
    </row>
    <row r="160" spans="1:22" s="490" customFormat="1" x14ac:dyDescent="0.2">
      <c r="A160" s="494"/>
      <c r="B160" s="491"/>
      <c r="C160" s="491"/>
      <c r="D160" s="491"/>
      <c r="E160" s="491"/>
      <c r="F160" s="491"/>
      <c r="G160" s="491"/>
      <c r="H160" s="491"/>
      <c r="I160" s="491"/>
      <c r="J160" s="491"/>
      <c r="K160" s="491"/>
      <c r="L160" s="491"/>
      <c r="M160" s="491"/>
      <c r="N160" s="491"/>
      <c r="O160" s="491"/>
      <c r="P160" s="491"/>
      <c r="Q160" s="491"/>
      <c r="R160" s="491"/>
      <c r="S160" s="491"/>
      <c r="T160" s="491"/>
      <c r="U160" s="491"/>
      <c r="V160" s="491"/>
    </row>
    <row r="161" spans="1:22" s="490" customFormat="1" x14ac:dyDescent="0.2">
      <c r="A161" s="494"/>
      <c r="B161" s="491"/>
      <c r="C161" s="491"/>
      <c r="D161" s="491"/>
      <c r="E161" s="491"/>
      <c r="F161" s="491"/>
      <c r="G161" s="491"/>
      <c r="H161" s="491"/>
      <c r="I161" s="491"/>
      <c r="J161" s="491"/>
      <c r="K161" s="491"/>
      <c r="L161" s="491"/>
      <c r="M161" s="491"/>
      <c r="N161" s="491"/>
      <c r="O161" s="491"/>
      <c r="P161" s="491"/>
      <c r="Q161" s="491"/>
      <c r="R161" s="491"/>
      <c r="S161" s="491"/>
      <c r="T161" s="491"/>
      <c r="U161" s="491"/>
      <c r="V161" s="491"/>
    </row>
    <row r="162" spans="1:22" s="490" customFormat="1" x14ac:dyDescent="0.2">
      <c r="A162" s="494"/>
      <c r="B162" s="491"/>
      <c r="C162" s="491"/>
      <c r="D162" s="491"/>
      <c r="E162" s="491"/>
      <c r="F162" s="491"/>
      <c r="G162" s="491"/>
      <c r="H162" s="491"/>
      <c r="I162" s="491"/>
      <c r="J162" s="491"/>
      <c r="K162" s="491"/>
      <c r="L162" s="491"/>
      <c r="M162" s="491"/>
      <c r="N162" s="491"/>
      <c r="O162" s="491"/>
      <c r="P162" s="491"/>
      <c r="Q162" s="491"/>
      <c r="R162" s="491"/>
      <c r="S162" s="491"/>
      <c r="T162" s="491"/>
      <c r="U162" s="491"/>
      <c r="V162" s="491"/>
    </row>
    <row r="163" spans="1:22" s="490" customFormat="1" x14ac:dyDescent="0.2">
      <c r="A163" s="494"/>
      <c r="B163" s="491"/>
      <c r="C163" s="491"/>
      <c r="D163" s="491"/>
      <c r="E163" s="491"/>
      <c r="F163" s="491"/>
      <c r="G163" s="491"/>
      <c r="H163" s="491"/>
      <c r="I163" s="491"/>
      <c r="J163" s="491"/>
      <c r="K163" s="491"/>
      <c r="L163" s="491"/>
      <c r="M163" s="491"/>
      <c r="N163" s="491"/>
      <c r="O163" s="491"/>
      <c r="P163" s="491"/>
      <c r="Q163" s="491"/>
      <c r="R163" s="491"/>
      <c r="S163" s="491"/>
      <c r="T163" s="491"/>
      <c r="U163" s="491"/>
      <c r="V163" s="491"/>
    </row>
    <row r="164" spans="1:22" s="490" customFormat="1" x14ac:dyDescent="0.2">
      <c r="A164" s="494"/>
      <c r="B164" s="491"/>
      <c r="C164" s="491"/>
      <c r="D164" s="491"/>
      <c r="E164" s="491"/>
      <c r="F164" s="491"/>
      <c r="G164" s="491"/>
      <c r="H164" s="491"/>
      <c r="I164" s="491"/>
      <c r="J164" s="491"/>
      <c r="K164" s="491"/>
      <c r="L164" s="491"/>
      <c r="M164" s="491"/>
      <c r="N164" s="491"/>
      <c r="O164" s="491"/>
      <c r="P164" s="491"/>
      <c r="Q164" s="491"/>
      <c r="R164" s="491"/>
      <c r="S164" s="491"/>
      <c r="T164" s="491"/>
      <c r="U164" s="491"/>
      <c r="V164" s="491"/>
    </row>
    <row r="165" spans="1:22" s="490" customFormat="1" x14ac:dyDescent="0.2">
      <c r="A165" s="494"/>
      <c r="B165" s="491"/>
      <c r="C165" s="491"/>
      <c r="D165" s="491"/>
      <c r="E165" s="491"/>
      <c r="F165" s="491"/>
      <c r="G165" s="491"/>
      <c r="H165" s="491"/>
      <c r="I165" s="491"/>
      <c r="J165" s="491"/>
      <c r="K165" s="491"/>
      <c r="L165" s="491"/>
      <c r="M165" s="491"/>
      <c r="N165" s="491"/>
      <c r="O165" s="491"/>
      <c r="P165" s="491"/>
      <c r="Q165" s="491"/>
      <c r="R165" s="491"/>
      <c r="S165" s="491"/>
      <c r="T165" s="491"/>
      <c r="U165" s="491"/>
      <c r="V165" s="491"/>
    </row>
    <row r="166" spans="1:22" s="490" customFormat="1" x14ac:dyDescent="0.2">
      <c r="A166" s="494"/>
      <c r="B166" s="491"/>
      <c r="C166" s="491"/>
      <c r="D166" s="491"/>
      <c r="E166" s="491"/>
      <c r="F166" s="491"/>
      <c r="G166" s="491"/>
      <c r="H166" s="491"/>
      <c r="I166" s="491"/>
      <c r="J166" s="491"/>
      <c r="K166" s="491"/>
      <c r="L166" s="491"/>
      <c r="M166" s="491"/>
      <c r="N166" s="491"/>
      <c r="O166" s="491"/>
      <c r="P166" s="491"/>
      <c r="Q166" s="491"/>
      <c r="R166" s="491"/>
      <c r="S166" s="491"/>
      <c r="T166" s="491"/>
      <c r="U166" s="491"/>
      <c r="V166" s="491"/>
    </row>
    <row r="167" spans="1:22" s="490" customFormat="1" x14ac:dyDescent="0.2">
      <c r="A167" s="494"/>
      <c r="B167" s="491"/>
      <c r="C167" s="491"/>
      <c r="D167" s="491"/>
      <c r="E167" s="491"/>
      <c r="F167" s="491"/>
      <c r="G167" s="491"/>
      <c r="H167" s="491"/>
      <c r="I167" s="491"/>
      <c r="J167" s="491"/>
      <c r="K167" s="491"/>
      <c r="L167" s="491"/>
      <c r="M167" s="491"/>
      <c r="N167" s="491"/>
      <c r="O167" s="491"/>
      <c r="P167" s="491"/>
      <c r="Q167" s="491"/>
      <c r="R167" s="491"/>
      <c r="S167" s="491"/>
      <c r="T167" s="491"/>
      <c r="U167" s="491"/>
      <c r="V167" s="491"/>
    </row>
    <row r="168" spans="1:22" s="490" customFormat="1" x14ac:dyDescent="0.2">
      <c r="A168" s="494"/>
      <c r="B168" s="491"/>
      <c r="C168" s="491"/>
      <c r="D168" s="491"/>
      <c r="E168" s="491"/>
      <c r="F168" s="491"/>
      <c r="G168" s="491"/>
      <c r="H168" s="491"/>
      <c r="I168" s="491"/>
      <c r="J168" s="491"/>
      <c r="K168" s="491"/>
      <c r="L168" s="491"/>
      <c r="M168" s="491"/>
      <c r="N168" s="491"/>
      <c r="O168" s="491"/>
      <c r="P168" s="491"/>
      <c r="Q168" s="491"/>
      <c r="R168" s="491"/>
      <c r="S168" s="491"/>
      <c r="T168" s="491"/>
      <c r="U168" s="491"/>
      <c r="V168" s="491"/>
    </row>
    <row r="169" spans="1:22" s="490" customFormat="1" x14ac:dyDescent="0.2">
      <c r="A169" s="494"/>
      <c r="B169" s="491"/>
      <c r="C169" s="491"/>
      <c r="D169" s="491"/>
      <c r="E169" s="491"/>
      <c r="F169" s="491"/>
      <c r="G169" s="491"/>
      <c r="H169" s="491"/>
      <c r="I169" s="491"/>
      <c r="J169" s="491"/>
      <c r="K169" s="491"/>
      <c r="L169" s="491"/>
      <c r="M169" s="491"/>
      <c r="N169" s="491"/>
      <c r="O169" s="491"/>
      <c r="P169" s="491"/>
      <c r="Q169" s="491"/>
      <c r="R169" s="491"/>
      <c r="S169" s="491"/>
      <c r="T169" s="491"/>
      <c r="U169" s="491"/>
      <c r="V169" s="491"/>
    </row>
    <row r="170" spans="1:22" s="490" customFormat="1" x14ac:dyDescent="0.2">
      <c r="A170" s="494"/>
      <c r="B170" s="491"/>
      <c r="C170" s="491"/>
      <c r="D170" s="491"/>
      <c r="E170" s="491"/>
      <c r="F170" s="491"/>
      <c r="G170" s="491"/>
      <c r="H170" s="491"/>
      <c r="I170" s="491"/>
      <c r="J170" s="491"/>
      <c r="K170" s="491"/>
      <c r="L170" s="491"/>
      <c r="M170" s="491"/>
      <c r="N170" s="491"/>
      <c r="O170" s="491"/>
      <c r="P170" s="491"/>
      <c r="Q170" s="491"/>
      <c r="R170" s="491"/>
      <c r="S170" s="491"/>
      <c r="T170" s="491"/>
      <c r="U170" s="491"/>
      <c r="V170" s="491"/>
    </row>
    <row r="171" spans="1:22" s="490" customFormat="1" x14ac:dyDescent="0.2">
      <c r="A171" s="494"/>
      <c r="B171" s="491"/>
      <c r="C171" s="491"/>
      <c r="D171" s="491"/>
      <c r="E171" s="491"/>
      <c r="F171" s="491"/>
      <c r="G171" s="491"/>
      <c r="H171" s="491"/>
      <c r="I171" s="491"/>
      <c r="J171" s="491"/>
      <c r="K171" s="491"/>
      <c r="L171" s="491"/>
      <c r="M171" s="491"/>
      <c r="N171" s="491"/>
      <c r="O171" s="491"/>
      <c r="P171" s="491"/>
      <c r="Q171" s="491"/>
      <c r="R171" s="491"/>
      <c r="S171" s="491"/>
      <c r="T171" s="491"/>
      <c r="U171" s="491"/>
      <c r="V171" s="491"/>
    </row>
    <row r="172" spans="1:22" s="490" customFormat="1" x14ac:dyDescent="0.2">
      <c r="A172" s="494"/>
      <c r="B172" s="491"/>
      <c r="C172" s="491"/>
      <c r="D172" s="491"/>
      <c r="E172" s="491"/>
      <c r="F172" s="491"/>
      <c r="G172" s="491"/>
      <c r="H172" s="491"/>
      <c r="I172" s="491"/>
      <c r="J172" s="491"/>
      <c r="K172" s="491"/>
      <c r="L172" s="491"/>
      <c r="M172" s="491"/>
      <c r="N172" s="491"/>
      <c r="O172" s="491"/>
      <c r="P172" s="491"/>
      <c r="Q172" s="491"/>
      <c r="R172" s="491"/>
      <c r="S172" s="491"/>
      <c r="T172" s="491"/>
      <c r="U172" s="491"/>
      <c r="V172" s="491"/>
    </row>
    <row r="173" spans="1:22" s="490" customFormat="1" x14ac:dyDescent="0.2">
      <c r="A173" s="494"/>
      <c r="B173" s="491"/>
      <c r="C173" s="491"/>
      <c r="D173" s="491"/>
      <c r="E173" s="491"/>
      <c r="F173" s="491"/>
      <c r="G173" s="491"/>
      <c r="H173" s="491"/>
      <c r="I173" s="491"/>
      <c r="J173" s="491"/>
      <c r="K173" s="491"/>
      <c r="L173" s="491"/>
      <c r="M173" s="491"/>
      <c r="N173" s="491"/>
      <c r="O173" s="491"/>
      <c r="P173" s="491"/>
      <c r="Q173" s="491"/>
      <c r="R173" s="491"/>
      <c r="S173" s="491"/>
      <c r="T173" s="491"/>
      <c r="U173" s="491"/>
      <c r="V173" s="491"/>
    </row>
    <row r="174" spans="1:22" s="490" customFormat="1" x14ac:dyDescent="0.2">
      <c r="A174" s="494"/>
      <c r="B174" s="491"/>
      <c r="C174" s="491"/>
      <c r="D174" s="491"/>
      <c r="E174" s="491"/>
      <c r="F174" s="491"/>
      <c r="G174" s="491"/>
      <c r="H174" s="491"/>
      <c r="I174" s="491"/>
      <c r="J174" s="491"/>
      <c r="K174" s="491"/>
      <c r="L174" s="491"/>
      <c r="M174" s="491"/>
      <c r="N174" s="491"/>
      <c r="O174" s="491"/>
      <c r="P174" s="491"/>
      <c r="Q174" s="491"/>
      <c r="R174" s="491"/>
      <c r="S174" s="491"/>
      <c r="T174" s="491"/>
      <c r="U174" s="491"/>
      <c r="V174" s="491"/>
    </row>
    <row r="175" spans="1:22" s="490" customFormat="1" x14ac:dyDescent="0.2">
      <c r="A175" s="494"/>
      <c r="B175" s="491"/>
      <c r="C175" s="491"/>
      <c r="D175" s="491"/>
      <c r="E175" s="491"/>
      <c r="F175" s="491"/>
      <c r="G175" s="491"/>
      <c r="H175" s="491"/>
      <c r="I175" s="491"/>
      <c r="J175" s="491"/>
      <c r="K175" s="491"/>
      <c r="L175" s="491"/>
      <c r="M175" s="491"/>
      <c r="N175" s="491"/>
      <c r="O175" s="491"/>
      <c r="P175" s="491"/>
      <c r="Q175" s="491"/>
      <c r="R175" s="491"/>
      <c r="S175" s="491"/>
      <c r="T175" s="491"/>
      <c r="U175" s="491"/>
      <c r="V175" s="491"/>
    </row>
    <row r="176" spans="1:22" s="490" customFormat="1" x14ac:dyDescent="0.2">
      <c r="A176" s="494"/>
      <c r="B176" s="491"/>
      <c r="C176" s="491"/>
      <c r="D176" s="491"/>
      <c r="E176" s="491"/>
      <c r="F176" s="491"/>
      <c r="G176" s="491"/>
      <c r="H176" s="491"/>
      <c r="I176" s="491"/>
      <c r="J176" s="491"/>
      <c r="K176" s="491"/>
      <c r="L176" s="491"/>
      <c r="M176" s="491"/>
      <c r="N176" s="491"/>
      <c r="O176" s="491"/>
      <c r="P176" s="491"/>
      <c r="Q176" s="491"/>
      <c r="R176" s="491"/>
      <c r="S176" s="491"/>
      <c r="T176" s="491"/>
      <c r="U176" s="491"/>
      <c r="V176" s="491"/>
    </row>
    <row r="177" spans="1:22" s="490" customFormat="1" x14ac:dyDescent="0.2">
      <c r="A177" s="494"/>
      <c r="B177" s="491"/>
      <c r="C177" s="491"/>
      <c r="D177" s="491"/>
      <c r="E177" s="491"/>
      <c r="F177" s="491"/>
      <c r="G177" s="491"/>
      <c r="H177" s="491"/>
      <c r="I177" s="491"/>
      <c r="J177" s="491"/>
      <c r="K177" s="491"/>
      <c r="L177" s="491"/>
      <c r="M177" s="491"/>
      <c r="N177" s="491"/>
      <c r="O177" s="491"/>
      <c r="P177" s="491"/>
      <c r="Q177" s="491"/>
      <c r="R177" s="491"/>
      <c r="S177" s="491"/>
      <c r="T177" s="491"/>
      <c r="U177" s="491"/>
      <c r="V177" s="491"/>
    </row>
    <row r="178" spans="1:22" s="490" customFormat="1" x14ac:dyDescent="0.2">
      <c r="A178" s="494"/>
      <c r="B178" s="491"/>
      <c r="C178" s="491"/>
      <c r="D178" s="491"/>
      <c r="E178" s="491"/>
      <c r="F178" s="491"/>
      <c r="G178" s="491"/>
      <c r="H178" s="491"/>
      <c r="I178" s="491"/>
      <c r="J178" s="491"/>
      <c r="K178" s="491"/>
      <c r="L178" s="491"/>
      <c r="M178" s="491"/>
      <c r="N178" s="491"/>
      <c r="O178" s="491"/>
      <c r="P178" s="491"/>
      <c r="Q178" s="491"/>
      <c r="R178" s="491"/>
      <c r="S178" s="491"/>
      <c r="T178" s="491"/>
      <c r="U178" s="491"/>
      <c r="V178" s="491"/>
    </row>
    <row r="179" spans="1:22" s="490" customFormat="1" x14ac:dyDescent="0.2">
      <c r="A179" s="494"/>
      <c r="B179" s="491"/>
      <c r="C179" s="491"/>
      <c r="D179" s="491"/>
      <c r="E179" s="491"/>
      <c r="F179" s="491"/>
      <c r="G179" s="491"/>
      <c r="H179" s="491"/>
      <c r="I179" s="491"/>
      <c r="J179" s="491"/>
      <c r="K179" s="491"/>
      <c r="L179" s="491"/>
      <c r="M179" s="491"/>
      <c r="N179" s="491"/>
      <c r="O179" s="491"/>
      <c r="P179" s="491"/>
      <c r="Q179" s="491"/>
      <c r="R179" s="491"/>
      <c r="S179" s="491"/>
      <c r="T179" s="491"/>
      <c r="U179" s="491"/>
      <c r="V179" s="491"/>
    </row>
    <row r="180" spans="1:22" s="490" customFormat="1" x14ac:dyDescent="0.2">
      <c r="A180" s="494"/>
      <c r="B180" s="491"/>
      <c r="C180" s="491"/>
      <c r="D180" s="491"/>
      <c r="E180" s="491"/>
      <c r="F180" s="491"/>
      <c r="G180" s="491"/>
      <c r="H180" s="491"/>
      <c r="I180" s="491"/>
      <c r="J180" s="491"/>
      <c r="K180" s="491"/>
      <c r="L180" s="491"/>
      <c r="M180" s="491"/>
      <c r="N180" s="491"/>
      <c r="O180" s="491"/>
      <c r="P180" s="491"/>
      <c r="Q180" s="491"/>
      <c r="R180" s="491"/>
      <c r="S180" s="491"/>
      <c r="T180" s="491"/>
      <c r="U180" s="491"/>
      <c r="V180" s="491"/>
    </row>
    <row r="181" spans="1:22" s="490" customFormat="1" x14ac:dyDescent="0.2">
      <c r="A181" s="494"/>
      <c r="B181" s="491"/>
      <c r="C181" s="491"/>
      <c r="D181" s="491"/>
      <c r="E181" s="491"/>
      <c r="F181" s="491"/>
      <c r="G181" s="491"/>
      <c r="H181" s="491"/>
      <c r="I181" s="491"/>
      <c r="J181" s="491"/>
      <c r="K181" s="491"/>
      <c r="L181" s="491"/>
      <c r="M181" s="491"/>
      <c r="N181" s="491"/>
      <c r="O181" s="491"/>
      <c r="P181" s="491"/>
      <c r="Q181" s="491"/>
      <c r="R181" s="491"/>
      <c r="S181" s="491"/>
      <c r="T181" s="491"/>
      <c r="U181" s="491"/>
      <c r="V181" s="491"/>
    </row>
    <row r="182" spans="1:22" s="490" customFormat="1" x14ac:dyDescent="0.2">
      <c r="A182" s="494"/>
      <c r="B182" s="491"/>
      <c r="C182" s="491"/>
      <c r="D182" s="491"/>
      <c r="E182" s="491"/>
      <c r="F182" s="491"/>
      <c r="G182" s="491"/>
      <c r="H182" s="491"/>
      <c r="I182" s="491"/>
      <c r="J182" s="491"/>
      <c r="K182" s="491"/>
      <c r="L182" s="491"/>
      <c r="M182" s="491"/>
      <c r="N182" s="491"/>
      <c r="O182" s="491"/>
      <c r="P182" s="491"/>
      <c r="Q182" s="491"/>
      <c r="R182" s="491"/>
      <c r="S182" s="491"/>
      <c r="T182" s="491"/>
      <c r="U182" s="491"/>
      <c r="V182" s="491"/>
    </row>
    <row r="183" spans="1:22" s="490" customFormat="1" x14ac:dyDescent="0.2">
      <c r="A183" s="494"/>
      <c r="B183" s="491"/>
      <c r="C183" s="491"/>
      <c r="D183" s="491"/>
      <c r="E183" s="491"/>
      <c r="F183" s="491"/>
      <c r="G183" s="491"/>
      <c r="H183" s="491"/>
      <c r="I183" s="491"/>
      <c r="J183" s="491"/>
      <c r="K183" s="491"/>
      <c r="L183" s="491"/>
      <c r="M183" s="491"/>
      <c r="N183" s="491"/>
      <c r="O183" s="491"/>
      <c r="P183" s="491"/>
      <c r="Q183" s="491"/>
      <c r="R183" s="491"/>
      <c r="S183" s="491"/>
      <c r="T183" s="491"/>
      <c r="U183" s="491"/>
      <c r="V183" s="491"/>
    </row>
    <row r="184" spans="1:22" s="490" customFormat="1" x14ac:dyDescent="0.2">
      <c r="A184" s="494"/>
      <c r="B184" s="491"/>
      <c r="C184" s="491"/>
      <c r="D184" s="491"/>
      <c r="E184" s="491"/>
      <c r="F184" s="491"/>
      <c r="G184" s="491"/>
      <c r="H184" s="491"/>
      <c r="I184" s="491"/>
      <c r="J184" s="491"/>
      <c r="K184" s="491"/>
      <c r="L184" s="491"/>
      <c r="M184" s="491"/>
      <c r="N184" s="491"/>
      <c r="O184" s="491"/>
      <c r="P184" s="491"/>
      <c r="Q184" s="491"/>
      <c r="R184" s="491"/>
      <c r="S184" s="491"/>
      <c r="T184" s="491"/>
      <c r="U184" s="491"/>
      <c r="V184" s="491"/>
    </row>
    <row r="185" spans="1:22" s="490" customFormat="1" x14ac:dyDescent="0.2">
      <c r="A185" s="494"/>
      <c r="B185" s="491"/>
      <c r="C185" s="491"/>
      <c r="D185" s="491"/>
      <c r="E185" s="491"/>
      <c r="F185" s="491"/>
      <c r="G185" s="491"/>
      <c r="H185" s="491"/>
      <c r="I185" s="491"/>
      <c r="J185" s="491"/>
      <c r="K185" s="491"/>
      <c r="L185" s="491"/>
      <c r="M185" s="491"/>
      <c r="N185" s="491"/>
      <c r="O185" s="491"/>
      <c r="P185" s="491"/>
      <c r="Q185" s="491"/>
      <c r="R185" s="491"/>
      <c r="S185" s="491"/>
      <c r="T185" s="491"/>
      <c r="U185" s="491"/>
      <c r="V185" s="491"/>
    </row>
    <row r="186" spans="1:22" s="490" customFormat="1" x14ac:dyDescent="0.2">
      <c r="A186" s="494"/>
      <c r="B186" s="491"/>
      <c r="C186" s="491"/>
      <c r="D186" s="491"/>
      <c r="E186" s="491"/>
      <c r="F186" s="491"/>
      <c r="G186" s="491"/>
      <c r="H186" s="491"/>
      <c r="I186" s="491"/>
      <c r="J186" s="491"/>
      <c r="K186" s="491"/>
      <c r="L186" s="491"/>
      <c r="M186" s="491"/>
      <c r="N186" s="491"/>
      <c r="O186" s="491"/>
      <c r="P186" s="491"/>
      <c r="Q186" s="491"/>
      <c r="R186" s="491"/>
      <c r="S186" s="491"/>
      <c r="T186" s="491"/>
      <c r="U186" s="491"/>
      <c r="V186" s="491"/>
    </row>
    <row r="187" spans="1:22" s="490" customFormat="1" x14ac:dyDescent="0.2">
      <c r="A187" s="494"/>
      <c r="B187" s="491"/>
      <c r="C187" s="491"/>
      <c r="D187" s="491"/>
      <c r="E187" s="491"/>
      <c r="F187" s="491"/>
      <c r="G187" s="491"/>
      <c r="H187" s="491"/>
      <c r="I187" s="491"/>
      <c r="J187" s="491"/>
      <c r="K187" s="491"/>
      <c r="L187" s="491"/>
      <c r="M187" s="491"/>
      <c r="N187" s="491"/>
      <c r="O187" s="491"/>
      <c r="P187" s="491"/>
      <c r="Q187" s="491"/>
      <c r="R187" s="491"/>
      <c r="S187" s="491"/>
      <c r="T187" s="491"/>
      <c r="U187" s="491"/>
      <c r="V187" s="491"/>
    </row>
    <row r="188" spans="1:22" s="490" customFormat="1" x14ac:dyDescent="0.2">
      <c r="A188" s="494"/>
      <c r="B188" s="491"/>
      <c r="C188" s="491"/>
      <c r="D188" s="491"/>
      <c r="E188" s="491"/>
      <c r="F188" s="491"/>
      <c r="G188" s="491"/>
      <c r="H188" s="491"/>
      <c r="I188" s="491"/>
      <c r="J188" s="491"/>
      <c r="K188" s="491"/>
      <c r="L188" s="491"/>
      <c r="M188" s="491"/>
      <c r="N188" s="491"/>
      <c r="O188" s="491"/>
      <c r="P188" s="491"/>
      <c r="Q188" s="491"/>
      <c r="R188" s="491"/>
      <c r="S188" s="491"/>
      <c r="T188" s="491"/>
      <c r="U188" s="491"/>
      <c r="V188" s="491"/>
    </row>
    <row r="189" spans="1:22" s="490" customFormat="1" x14ac:dyDescent="0.2">
      <c r="A189" s="494"/>
      <c r="B189" s="491"/>
      <c r="C189" s="491"/>
      <c r="D189" s="491"/>
      <c r="E189" s="491"/>
      <c r="F189" s="491"/>
      <c r="G189" s="491"/>
      <c r="H189" s="491"/>
      <c r="I189" s="491"/>
      <c r="J189" s="491"/>
      <c r="K189" s="491"/>
      <c r="L189" s="491"/>
      <c r="M189" s="491"/>
      <c r="N189" s="491"/>
      <c r="O189" s="491"/>
      <c r="P189" s="491"/>
      <c r="Q189" s="491"/>
      <c r="R189" s="491"/>
      <c r="S189" s="491"/>
      <c r="T189" s="491"/>
      <c r="U189" s="491"/>
      <c r="V189" s="491"/>
    </row>
    <row r="190" spans="1:22" s="490" customFormat="1" x14ac:dyDescent="0.2">
      <c r="A190" s="494"/>
      <c r="B190" s="491"/>
      <c r="C190" s="491"/>
      <c r="D190" s="491"/>
      <c r="E190" s="491"/>
      <c r="F190" s="491"/>
      <c r="G190" s="491"/>
      <c r="H190" s="491"/>
      <c r="I190" s="491"/>
      <c r="J190" s="491"/>
      <c r="K190" s="491"/>
      <c r="L190" s="491"/>
      <c r="M190" s="491"/>
      <c r="N190" s="491"/>
      <c r="O190" s="491"/>
      <c r="P190" s="491"/>
      <c r="Q190" s="491"/>
      <c r="R190" s="491"/>
      <c r="S190" s="491"/>
      <c r="T190" s="491"/>
      <c r="U190" s="491"/>
      <c r="V190" s="491"/>
    </row>
    <row r="191" spans="1:22" s="490" customFormat="1" x14ac:dyDescent="0.2">
      <c r="A191" s="494"/>
      <c r="B191" s="491"/>
      <c r="C191" s="491"/>
      <c r="D191" s="491"/>
      <c r="E191" s="491"/>
      <c r="F191" s="491"/>
      <c r="G191" s="491"/>
      <c r="H191" s="491"/>
      <c r="I191" s="491"/>
      <c r="J191" s="491"/>
      <c r="K191" s="491"/>
      <c r="L191" s="491"/>
      <c r="M191" s="491"/>
      <c r="N191" s="491"/>
      <c r="O191" s="491"/>
      <c r="P191" s="491"/>
      <c r="Q191" s="491"/>
      <c r="R191" s="491"/>
      <c r="S191" s="491"/>
      <c r="T191" s="491"/>
      <c r="U191" s="491"/>
      <c r="V191" s="491"/>
    </row>
    <row r="192" spans="1:22" s="490" customFormat="1" x14ac:dyDescent="0.2">
      <c r="A192" s="494"/>
      <c r="B192" s="491"/>
      <c r="C192" s="491"/>
      <c r="D192" s="491"/>
      <c r="E192" s="491"/>
      <c r="F192" s="491"/>
      <c r="G192" s="491"/>
      <c r="H192" s="491"/>
      <c r="I192" s="491"/>
      <c r="J192" s="491"/>
      <c r="K192" s="491"/>
      <c r="L192" s="491"/>
      <c r="M192" s="491"/>
      <c r="N192" s="491"/>
      <c r="O192" s="491"/>
      <c r="P192" s="491"/>
      <c r="Q192" s="491"/>
      <c r="R192" s="491"/>
      <c r="S192" s="491"/>
      <c r="T192" s="491"/>
      <c r="U192" s="491"/>
      <c r="V192" s="491"/>
    </row>
    <row r="193" spans="1:22" s="490" customFormat="1" x14ac:dyDescent="0.2">
      <c r="A193" s="494"/>
      <c r="B193" s="491"/>
      <c r="C193" s="491"/>
      <c r="D193" s="491"/>
      <c r="E193" s="491"/>
      <c r="F193" s="491"/>
      <c r="G193" s="491"/>
      <c r="H193" s="491"/>
      <c r="I193" s="491"/>
      <c r="J193" s="491"/>
      <c r="K193" s="491"/>
      <c r="L193" s="491"/>
      <c r="M193" s="491"/>
      <c r="N193" s="491"/>
      <c r="O193" s="491"/>
      <c r="P193" s="491"/>
      <c r="Q193" s="491"/>
      <c r="R193" s="491"/>
      <c r="S193" s="491"/>
      <c r="T193" s="491"/>
      <c r="U193" s="491"/>
      <c r="V193" s="491"/>
    </row>
    <row r="194" spans="1:22" s="490" customFormat="1" x14ac:dyDescent="0.2">
      <c r="A194" s="494"/>
      <c r="B194" s="491"/>
      <c r="C194" s="491"/>
      <c r="D194" s="491"/>
      <c r="E194" s="491"/>
      <c r="F194" s="491"/>
      <c r="G194" s="491"/>
      <c r="H194" s="491"/>
      <c r="I194" s="491"/>
      <c r="J194" s="491"/>
      <c r="K194" s="491"/>
      <c r="L194" s="491"/>
      <c r="M194" s="491"/>
      <c r="N194" s="491"/>
      <c r="O194" s="491"/>
      <c r="P194" s="491"/>
      <c r="Q194" s="491"/>
      <c r="R194" s="491"/>
      <c r="S194" s="491"/>
      <c r="T194" s="491"/>
      <c r="U194" s="491"/>
      <c r="V194" s="491"/>
    </row>
    <row r="195" spans="1:22" s="490" customFormat="1" x14ac:dyDescent="0.2">
      <c r="A195" s="494"/>
      <c r="B195" s="491"/>
      <c r="C195" s="491"/>
      <c r="D195" s="491"/>
      <c r="E195" s="491"/>
      <c r="F195" s="491"/>
      <c r="G195" s="491"/>
      <c r="H195" s="491"/>
      <c r="I195" s="491"/>
      <c r="J195" s="491"/>
      <c r="K195" s="491"/>
      <c r="L195" s="491"/>
      <c r="M195" s="491"/>
      <c r="N195" s="491"/>
      <c r="O195" s="491"/>
      <c r="P195" s="491"/>
      <c r="Q195" s="491"/>
      <c r="R195" s="491"/>
      <c r="S195" s="491"/>
      <c r="T195" s="491"/>
      <c r="U195" s="491"/>
      <c r="V195" s="491"/>
    </row>
    <row r="196" spans="1:22" s="490" customFormat="1" x14ac:dyDescent="0.2">
      <c r="A196" s="494"/>
      <c r="B196" s="491"/>
      <c r="C196" s="491"/>
      <c r="D196" s="491"/>
      <c r="E196" s="491"/>
      <c r="F196" s="491"/>
      <c r="G196" s="491"/>
      <c r="H196" s="491"/>
      <c r="I196" s="491"/>
      <c r="J196" s="491"/>
      <c r="K196" s="491"/>
      <c r="L196" s="491"/>
      <c r="M196" s="491"/>
      <c r="N196" s="491"/>
      <c r="O196" s="491"/>
      <c r="P196" s="491"/>
      <c r="Q196" s="491"/>
      <c r="R196" s="491"/>
      <c r="S196" s="491"/>
      <c r="T196" s="491"/>
      <c r="U196" s="491"/>
      <c r="V196" s="491"/>
    </row>
    <row r="197" spans="1:22" s="490" customFormat="1" x14ac:dyDescent="0.2">
      <c r="A197" s="494"/>
      <c r="B197" s="491"/>
      <c r="C197" s="491"/>
      <c r="D197" s="491"/>
      <c r="E197" s="491"/>
      <c r="F197" s="491"/>
      <c r="G197" s="491"/>
      <c r="H197" s="491"/>
      <c r="I197" s="491"/>
      <c r="J197" s="491"/>
      <c r="K197" s="491"/>
      <c r="L197" s="491"/>
      <c r="M197" s="491"/>
      <c r="N197" s="491"/>
      <c r="O197" s="491"/>
      <c r="P197" s="491"/>
      <c r="Q197" s="491"/>
      <c r="R197" s="491"/>
      <c r="S197" s="491"/>
      <c r="T197" s="491"/>
      <c r="U197" s="491"/>
      <c r="V197" s="491"/>
    </row>
    <row r="198" spans="1:22" s="490" customFormat="1" x14ac:dyDescent="0.2">
      <c r="A198" s="494"/>
      <c r="B198" s="491"/>
      <c r="C198" s="491"/>
      <c r="D198" s="491"/>
      <c r="E198" s="491"/>
      <c r="F198" s="491"/>
      <c r="G198" s="491"/>
      <c r="H198" s="491"/>
      <c r="I198" s="491"/>
      <c r="J198" s="491"/>
      <c r="K198" s="491"/>
      <c r="L198" s="491"/>
      <c r="M198" s="491"/>
      <c r="N198" s="491"/>
      <c r="O198" s="491"/>
      <c r="P198" s="491"/>
      <c r="Q198" s="491"/>
      <c r="R198" s="491"/>
      <c r="S198" s="491"/>
      <c r="T198" s="491"/>
      <c r="U198" s="491"/>
      <c r="V198" s="491"/>
    </row>
    <row r="199" spans="1:22" s="490" customFormat="1" x14ac:dyDescent="0.2">
      <c r="A199" s="494"/>
      <c r="B199" s="491"/>
      <c r="C199" s="491"/>
      <c r="D199" s="491"/>
      <c r="E199" s="491"/>
      <c r="F199" s="491"/>
      <c r="G199" s="491"/>
      <c r="H199" s="491"/>
      <c r="I199" s="491"/>
      <c r="J199" s="491"/>
      <c r="K199" s="491"/>
      <c r="L199" s="491"/>
      <c r="M199" s="491"/>
      <c r="N199" s="491"/>
      <c r="O199" s="491"/>
      <c r="P199" s="491"/>
      <c r="Q199" s="491"/>
      <c r="R199" s="491"/>
      <c r="S199" s="491"/>
      <c r="T199" s="491"/>
      <c r="U199" s="491"/>
      <c r="V199" s="491"/>
    </row>
    <row r="200" spans="1:22" s="490" customFormat="1" x14ac:dyDescent="0.2">
      <c r="A200" s="494"/>
      <c r="B200" s="491"/>
      <c r="C200" s="491"/>
      <c r="D200" s="491"/>
      <c r="E200" s="491"/>
      <c r="F200" s="491"/>
      <c r="G200" s="491"/>
      <c r="H200" s="491"/>
      <c r="I200" s="491"/>
      <c r="J200" s="491"/>
      <c r="K200" s="491"/>
      <c r="L200" s="491"/>
      <c r="M200" s="491"/>
      <c r="N200" s="491"/>
      <c r="O200" s="491"/>
      <c r="P200" s="491"/>
      <c r="Q200" s="491"/>
      <c r="R200" s="491"/>
      <c r="S200" s="491"/>
      <c r="T200" s="491"/>
      <c r="U200" s="491"/>
      <c r="V200" s="491"/>
    </row>
    <row r="201" spans="1:22" s="490" customFormat="1" x14ac:dyDescent="0.2">
      <c r="A201" s="494"/>
      <c r="B201" s="491"/>
      <c r="C201" s="491"/>
      <c r="D201" s="491"/>
      <c r="E201" s="491"/>
      <c r="F201" s="491"/>
      <c r="G201" s="491"/>
      <c r="H201" s="491"/>
      <c r="I201" s="491"/>
      <c r="J201" s="491"/>
      <c r="K201" s="491"/>
      <c r="L201" s="491"/>
      <c r="M201" s="491"/>
      <c r="N201" s="491"/>
      <c r="O201" s="491"/>
      <c r="P201" s="491"/>
      <c r="Q201" s="491"/>
      <c r="R201" s="491"/>
      <c r="S201" s="491"/>
      <c r="T201" s="491"/>
      <c r="U201" s="491"/>
      <c r="V201" s="491"/>
    </row>
    <row r="202" spans="1:22" s="490" customFormat="1" x14ac:dyDescent="0.2">
      <c r="A202" s="494"/>
      <c r="B202" s="491"/>
      <c r="C202" s="491"/>
      <c r="D202" s="491"/>
      <c r="E202" s="491"/>
      <c r="F202" s="491"/>
      <c r="G202" s="491"/>
      <c r="H202" s="491"/>
      <c r="I202" s="491"/>
      <c r="J202" s="491"/>
      <c r="K202" s="491"/>
      <c r="L202" s="491"/>
      <c r="M202" s="491"/>
      <c r="N202" s="491"/>
      <c r="O202" s="491"/>
      <c r="P202" s="491"/>
      <c r="Q202" s="491"/>
      <c r="R202" s="491"/>
      <c r="S202" s="491"/>
      <c r="T202" s="491"/>
      <c r="U202" s="491"/>
      <c r="V202" s="491"/>
    </row>
    <row r="203" spans="1:22" s="490" customFormat="1" x14ac:dyDescent="0.2">
      <c r="A203" s="494"/>
      <c r="B203" s="491"/>
      <c r="C203" s="491"/>
      <c r="D203" s="491"/>
      <c r="E203" s="491"/>
      <c r="F203" s="491"/>
      <c r="G203" s="491"/>
      <c r="H203" s="491"/>
      <c r="I203" s="491"/>
      <c r="J203" s="491"/>
      <c r="K203" s="491"/>
      <c r="L203" s="491"/>
      <c r="M203" s="491"/>
      <c r="N203" s="491"/>
      <c r="O203" s="491"/>
      <c r="P203" s="491"/>
      <c r="Q203" s="491"/>
      <c r="R203" s="491"/>
      <c r="S203" s="491"/>
      <c r="T203" s="491"/>
      <c r="U203" s="491"/>
      <c r="V203" s="491"/>
    </row>
    <row r="204" spans="1:22" s="490" customFormat="1" x14ac:dyDescent="0.2">
      <c r="A204" s="494"/>
      <c r="B204" s="491"/>
      <c r="C204" s="491"/>
      <c r="D204" s="491"/>
      <c r="E204" s="491"/>
      <c r="F204" s="491"/>
      <c r="G204" s="491"/>
      <c r="H204" s="491"/>
      <c r="I204" s="491"/>
      <c r="J204" s="491"/>
      <c r="K204" s="491"/>
      <c r="L204" s="491"/>
      <c r="M204" s="491"/>
      <c r="N204" s="491"/>
      <c r="O204" s="491"/>
      <c r="P204" s="491"/>
      <c r="Q204" s="491"/>
      <c r="R204" s="491"/>
      <c r="S204" s="491"/>
      <c r="T204" s="491"/>
      <c r="U204" s="491"/>
      <c r="V204" s="491"/>
    </row>
    <row r="205" spans="1:22" s="490" customFormat="1" x14ac:dyDescent="0.2">
      <c r="A205" s="494"/>
      <c r="B205" s="491"/>
      <c r="C205" s="491"/>
      <c r="D205" s="491"/>
      <c r="E205" s="491"/>
      <c r="F205" s="491"/>
      <c r="G205" s="491"/>
      <c r="H205" s="491"/>
      <c r="I205" s="491"/>
      <c r="J205" s="491"/>
      <c r="K205" s="491"/>
      <c r="L205" s="491"/>
      <c r="M205" s="491"/>
      <c r="N205" s="491"/>
      <c r="O205" s="491"/>
      <c r="P205" s="491"/>
      <c r="Q205" s="491"/>
      <c r="R205" s="491"/>
      <c r="S205" s="491"/>
      <c r="T205" s="491"/>
      <c r="U205" s="491"/>
      <c r="V205" s="491"/>
    </row>
    <row r="206" spans="1:22" s="490" customFormat="1" x14ac:dyDescent="0.2">
      <c r="A206" s="494"/>
      <c r="B206" s="491"/>
      <c r="C206" s="491"/>
      <c r="D206" s="491"/>
      <c r="E206" s="491"/>
      <c r="F206" s="491"/>
      <c r="G206" s="491"/>
      <c r="H206" s="491"/>
      <c r="I206" s="491"/>
      <c r="J206" s="491"/>
      <c r="K206" s="491"/>
      <c r="L206" s="491"/>
      <c r="M206" s="491"/>
      <c r="N206" s="491"/>
      <c r="O206" s="491"/>
      <c r="P206" s="491"/>
      <c r="Q206" s="491"/>
      <c r="R206" s="491"/>
      <c r="S206" s="491"/>
      <c r="T206" s="491"/>
      <c r="U206" s="491"/>
      <c r="V206" s="491"/>
    </row>
    <row r="207" spans="1:22" s="490" customFormat="1" x14ac:dyDescent="0.2">
      <c r="A207" s="494"/>
      <c r="B207" s="491"/>
      <c r="C207" s="491"/>
      <c r="D207" s="491"/>
      <c r="E207" s="491"/>
      <c r="F207" s="491"/>
      <c r="G207" s="491"/>
      <c r="H207" s="491"/>
      <c r="I207" s="491"/>
      <c r="J207" s="491"/>
      <c r="K207" s="491"/>
      <c r="L207" s="491"/>
      <c r="M207" s="491"/>
      <c r="N207" s="491"/>
      <c r="O207" s="491"/>
      <c r="P207" s="491"/>
      <c r="Q207" s="491"/>
      <c r="R207" s="491"/>
      <c r="S207" s="491"/>
      <c r="T207" s="491"/>
      <c r="U207" s="491"/>
      <c r="V207" s="491"/>
    </row>
    <row r="208" spans="1:22" s="490" customFormat="1" x14ac:dyDescent="0.2">
      <c r="A208" s="494"/>
      <c r="B208" s="491"/>
      <c r="C208" s="491"/>
      <c r="D208" s="491"/>
      <c r="E208" s="491"/>
      <c r="F208" s="491"/>
      <c r="G208" s="491"/>
      <c r="H208" s="491"/>
      <c r="I208" s="491"/>
      <c r="J208" s="491"/>
      <c r="K208" s="491"/>
      <c r="L208" s="491"/>
      <c r="M208" s="491"/>
      <c r="N208" s="491"/>
      <c r="O208" s="491"/>
      <c r="P208" s="491"/>
      <c r="Q208" s="491"/>
      <c r="R208" s="491"/>
      <c r="S208" s="491"/>
      <c r="T208" s="491"/>
      <c r="U208" s="491"/>
      <c r="V208" s="491"/>
    </row>
    <row r="209" spans="1:22" s="490" customFormat="1" x14ac:dyDescent="0.2">
      <c r="A209" s="494"/>
      <c r="B209" s="491"/>
      <c r="C209" s="491"/>
      <c r="D209" s="491"/>
      <c r="E209" s="491"/>
      <c r="F209" s="491"/>
      <c r="G209" s="491"/>
      <c r="H209" s="491"/>
      <c r="I209" s="491"/>
      <c r="J209" s="491"/>
      <c r="K209" s="491"/>
      <c r="L209" s="491"/>
      <c r="M209" s="491"/>
      <c r="N209" s="491"/>
      <c r="O209" s="491"/>
      <c r="P209" s="491"/>
      <c r="Q209" s="491"/>
      <c r="R209" s="491"/>
      <c r="S209" s="491"/>
      <c r="T209" s="491"/>
      <c r="U209" s="491"/>
      <c r="V209" s="491"/>
    </row>
    <row r="210" spans="1:22" s="490" customFormat="1" x14ac:dyDescent="0.2">
      <c r="A210" s="494"/>
      <c r="B210" s="491"/>
      <c r="C210" s="491"/>
      <c r="D210" s="491"/>
      <c r="E210" s="491"/>
      <c r="F210" s="491"/>
      <c r="G210" s="491"/>
      <c r="H210" s="491"/>
      <c r="I210" s="491"/>
      <c r="J210" s="491"/>
      <c r="K210" s="491"/>
      <c r="L210" s="491"/>
      <c r="M210" s="491"/>
      <c r="N210" s="491"/>
      <c r="O210" s="491"/>
      <c r="P210" s="491"/>
      <c r="Q210" s="491"/>
      <c r="R210" s="491"/>
      <c r="S210" s="491"/>
      <c r="T210" s="491"/>
      <c r="U210" s="491"/>
      <c r="V210" s="491"/>
    </row>
    <row r="211" spans="1:22" s="490" customFormat="1" x14ac:dyDescent="0.2">
      <c r="A211" s="494"/>
      <c r="B211" s="491"/>
      <c r="C211" s="491"/>
      <c r="D211" s="491"/>
      <c r="E211" s="491"/>
      <c r="F211" s="491"/>
      <c r="G211" s="491"/>
      <c r="H211" s="491"/>
      <c r="I211" s="491"/>
      <c r="J211" s="491"/>
      <c r="K211" s="491"/>
      <c r="L211" s="491"/>
      <c r="M211" s="491"/>
      <c r="N211" s="491"/>
      <c r="O211" s="491"/>
      <c r="P211" s="491"/>
      <c r="Q211" s="491"/>
      <c r="R211" s="491"/>
      <c r="S211" s="491"/>
      <c r="T211" s="491"/>
      <c r="U211" s="491"/>
      <c r="V211" s="491"/>
    </row>
    <row r="212" spans="1:22" s="490" customFormat="1" x14ac:dyDescent="0.2">
      <c r="A212" s="494"/>
      <c r="B212" s="491"/>
      <c r="C212" s="491"/>
      <c r="D212" s="491"/>
      <c r="E212" s="491"/>
      <c r="F212" s="491"/>
      <c r="G212" s="491"/>
      <c r="H212" s="491"/>
      <c r="I212" s="491"/>
      <c r="J212" s="491"/>
      <c r="K212" s="491"/>
      <c r="L212" s="491"/>
      <c r="M212" s="491"/>
      <c r="N212" s="491"/>
      <c r="O212" s="491"/>
      <c r="P212" s="491"/>
      <c r="Q212" s="491"/>
      <c r="R212" s="491"/>
      <c r="S212" s="491"/>
      <c r="T212" s="491"/>
      <c r="U212" s="491"/>
      <c r="V212" s="491"/>
    </row>
    <row r="213" spans="1:22" s="490" customFormat="1" x14ac:dyDescent="0.2">
      <c r="A213" s="494"/>
      <c r="B213" s="491"/>
      <c r="C213" s="491"/>
      <c r="D213" s="491"/>
      <c r="E213" s="491"/>
      <c r="F213" s="491"/>
      <c r="G213" s="491"/>
      <c r="H213" s="491"/>
      <c r="I213" s="491"/>
      <c r="J213" s="491"/>
      <c r="K213" s="491"/>
      <c r="L213" s="491"/>
      <c r="M213" s="491"/>
      <c r="N213" s="491"/>
      <c r="O213" s="491"/>
      <c r="P213" s="491"/>
      <c r="Q213" s="491"/>
      <c r="R213" s="491"/>
      <c r="S213" s="491"/>
      <c r="T213" s="491"/>
      <c r="U213" s="491"/>
      <c r="V213" s="491"/>
    </row>
    <row r="214" spans="1:22" s="490" customFormat="1" x14ac:dyDescent="0.2">
      <c r="A214" s="494"/>
      <c r="B214" s="491"/>
      <c r="C214" s="491"/>
      <c r="D214" s="491"/>
      <c r="E214" s="491"/>
      <c r="F214" s="491"/>
      <c r="G214" s="491"/>
      <c r="H214" s="491"/>
      <c r="I214" s="491"/>
      <c r="J214" s="491"/>
      <c r="K214" s="491"/>
      <c r="L214" s="491"/>
      <c r="M214" s="491"/>
      <c r="N214" s="491"/>
      <c r="O214" s="491"/>
      <c r="P214" s="491"/>
      <c r="Q214" s="491"/>
      <c r="R214" s="491"/>
      <c r="S214" s="491"/>
      <c r="T214" s="491"/>
      <c r="U214" s="491"/>
      <c r="V214" s="491"/>
    </row>
    <row r="215" spans="1:22" s="490" customFormat="1" x14ac:dyDescent="0.2">
      <c r="A215" s="494"/>
      <c r="B215" s="491"/>
      <c r="C215" s="491"/>
      <c r="D215" s="491"/>
      <c r="E215" s="491"/>
      <c r="F215" s="491"/>
      <c r="G215" s="491"/>
      <c r="H215" s="491"/>
      <c r="I215" s="491"/>
      <c r="J215" s="491"/>
      <c r="K215" s="491"/>
      <c r="L215" s="491"/>
      <c r="M215" s="491"/>
      <c r="N215" s="491"/>
      <c r="O215" s="491"/>
      <c r="P215" s="491"/>
      <c r="Q215" s="491"/>
      <c r="R215" s="491"/>
      <c r="S215" s="491"/>
      <c r="T215" s="491"/>
      <c r="U215" s="491"/>
      <c r="V215" s="491"/>
    </row>
    <row r="216" spans="1:22" s="490" customFormat="1" x14ac:dyDescent="0.2">
      <c r="A216" s="494"/>
      <c r="B216" s="491"/>
      <c r="C216" s="491"/>
      <c r="D216" s="491"/>
      <c r="E216" s="491"/>
      <c r="F216" s="491"/>
      <c r="G216" s="491"/>
      <c r="H216" s="491"/>
      <c r="I216" s="491"/>
      <c r="J216" s="491"/>
      <c r="K216" s="491"/>
      <c r="L216" s="491"/>
      <c r="M216" s="491"/>
      <c r="N216" s="491"/>
      <c r="O216" s="491"/>
      <c r="P216" s="491"/>
      <c r="Q216" s="491"/>
      <c r="R216" s="491"/>
      <c r="S216" s="491"/>
      <c r="T216" s="491"/>
      <c r="U216" s="491"/>
      <c r="V216" s="491"/>
    </row>
    <row r="217" spans="1:22" s="490" customFormat="1" x14ac:dyDescent="0.2">
      <c r="A217" s="494"/>
      <c r="B217" s="491"/>
      <c r="C217" s="491"/>
      <c r="D217" s="491"/>
      <c r="E217" s="491"/>
      <c r="F217" s="491"/>
      <c r="G217" s="491"/>
      <c r="H217" s="491"/>
      <c r="I217" s="491"/>
      <c r="J217" s="491"/>
      <c r="K217" s="491"/>
      <c r="L217" s="491"/>
      <c r="M217" s="491"/>
      <c r="N217" s="491"/>
      <c r="O217" s="491"/>
      <c r="P217" s="491"/>
      <c r="Q217" s="491"/>
      <c r="R217" s="491"/>
      <c r="S217" s="491"/>
      <c r="T217" s="491"/>
      <c r="U217" s="491"/>
      <c r="V217" s="491"/>
    </row>
    <row r="218" spans="1:22" s="490" customFormat="1" x14ac:dyDescent="0.2">
      <c r="A218" s="494"/>
      <c r="B218" s="491"/>
      <c r="C218" s="491"/>
      <c r="D218" s="491"/>
      <c r="E218" s="491"/>
      <c r="F218" s="491"/>
      <c r="G218" s="491"/>
      <c r="H218" s="491"/>
      <c r="I218" s="491"/>
      <c r="J218" s="491"/>
      <c r="K218" s="491"/>
      <c r="L218" s="491"/>
      <c r="M218" s="491"/>
      <c r="N218" s="491"/>
      <c r="O218" s="491"/>
      <c r="P218" s="491"/>
      <c r="Q218" s="491"/>
      <c r="R218" s="491"/>
      <c r="S218" s="491"/>
      <c r="T218" s="491"/>
      <c r="U218" s="491"/>
      <c r="V218" s="491"/>
    </row>
    <row r="219" spans="1:22" s="490" customFormat="1" x14ac:dyDescent="0.2">
      <c r="A219" s="494"/>
      <c r="B219" s="491"/>
      <c r="C219" s="491"/>
      <c r="D219" s="491"/>
      <c r="E219" s="491"/>
      <c r="F219" s="491"/>
      <c r="G219" s="491"/>
      <c r="H219" s="491"/>
      <c r="I219" s="491"/>
      <c r="J219" s="491"/>
      <c r="K219" s="491"/>
      <c r="L219" s="491"/>
      <c r="M219" s="491"/>
      <c r="N219" s="491"/>
      <c r="O219" s="491"/>
      <c r="P219" s="491"/>
      <c r="Q219" s="491"/>
      <c r="R219" s="491"/>
      <c r="S219" s="491"/>
      <c r="T219" s="491"/>
      <c r="U219" s="491"/>
      <c r="V219" s="491"/>
    </row>
    <row r="220" spans="1:22" s="490" customFormat="1" x14ac:dyDescent="0.2">
      <c r="A220" s="494"/>
      <c r="B220" s="491"/>
      <c r="C220" s="491"/>
      <c r="D220" s="491"/>
      <c r="E220" s="491"/>
      <c r="F220" s="491"/>
      <c r="G220" s="491"/>
      <c r="H220" s="491"/>
      <c r="I220" s="491"/>
      <c r="J220" s="491"/>
      <c r="K220" s="491"/>
      <c r="L220" s="491"/>
      <c r="M220" s="491"/>
      <c r="N220" s="491"/>
      <c r="O220" s="491"/>
      <c r="P220" s="491"/>
      <c r="Q220" s="491"/>
      <c r="R220" s="491"/>
      <c r="S220" s="491"/>
      <c r="T220" s="491"/>
      <c r="U220" s="491"/>
      <c r="V220" s="491"/>
    </row>
    <row r="221" spans="1:22" s="490" customFormat="1" x14ac:dyDescent="0.2">
      <c r="A221" s="494"/>
      <c r="B221" s="491"/>
      <c r="C221" s="491"/>
      <c r="D221" s="491"/>
      <c r="E221" s="491"/>
      <c r="F221" s="491"/>
      <c r="G221" s="491"/>
      <c r="H221" s="491"/>
      <c r="I221" s="491"/>
      <c r="J221" s="491"/>
      <c r="K221" s="491"/>
      <c r="L221" s="491"/>
      <c r="M221" s="491"/>
      <c r="N221" s="491"/>
      <c r="O221" s="491"/>
      <c r="P221" s="491"/>
      <c r="Q221" s="491"/>
      <c r="R221" s="491"/>
      <c r="S221" s="491"/>
      <c r="T221" s="491"/>
      <c r="U221" s="491"/>
      <c r="V221" s="491"/>
    </row>
    <row r="222" spans="1:22" s="490" customFormat="1" x14ac:dyDescent="0.2">
      <c r="A222" s="494"/>
      <c r="B222" s="491"/>
      <c r="C222" s="491"/>
      <c r="D222" s="491"/>
      <c r="E222" s="491"/>
      <c r="F222" s="491"/>
      <c r="G222" s="491"/>
      <c r="H222" s="491"/>
      <c r="I222" s="491"/>
      <c r="J222" s="491"/>
      <c r="K222" s="491"/>
      <c r="L222" s="491"/>
      <c r="M222" s="491"/>
      <c r="N222" s="491"/>
      <c r="O222" s="491"/>
      <c r="P222" s="491"/>
      <c r="Q222" s="491"/>
      <c r="R222" s="491"/>
      <c r="S222" s="491"/>
      <c r="T222" s="491"/>
      <c r="U222" s="491"/>
      <c r="V222" s="491"/>
    </row>
    <row r="223" spans="1:22" s="490" customFormat="1" x14ac:dyDescent="0.2">
      <c r="A223" s="494"/>
      <c r="B223" s="491"/>
      <c r="C223" s="491"/>
      <c r="D223" s="491"/>
      <c r="E223" s="491"/>
      <c r="F223" s="491"/>
      <c r="G223" s="491"/>
      <c r="H223" s="491"/>
      <c r="I223" s="491"/>
      <c r="J223" s="491"/>
      <c r="K223" s="491"/>
      <c r="L223" s="491"/>
      <c r="M223" s="491"/>
      <c r="N223" s="491"/>
      <c r="O223" s="491"/>
      <c r="P223" s="491"/>
      <c r="Q223" s="491"/>
      <c r="R223" s="491"/>
      <c r="S223" s="491"/>
      <c r="T223" s="491"/>
      <c r="U223" s="491"/>
      <c r="V223" s="491"/>
    </row>
    <row r="224" spans="1:22" s="490" customFormat="1" x14ac:dyDescent="0.2">
      <c r="A224" s="494"/>
      <c r="B224" s="491"/>
      <c r="C224" s="491"/>
      <c r="D224" s="491"/>
      <c r="E224" s="491"/>
      <c r="F224" s="491"/>
      <c r="G224" s="491"/>
      <c r="H224" s="491"/>
      <c r="I224" s="491"/>
      <c r="J224" s="491"/>
      <c r="K224" s="491"/>
      <c r="L224" s="491"/>
      <c r="M224" s="491"/>
      <c r="N224" s="491"/>
      <c r="O224" s="491"/>
      <c r="P224" s="491"/>
      <c r="Q224" s="491"/>
      <c r="R224" s="491"/>
      <c r="S224" s="491"/>
      <c r="T224" s="491"/>
      <c r="U224" s="491"/>
      <c r="V224" s="491"/>
    </row>
    <row r="225" spans="1:22" s="490" customFormat="1" x14ac:dyDescent="0.2">
      <c r="A225" s="494"/>
      <c r="B225" s="491"/>
      <c r="C225" s="491"/>
      <c r="D225" s="491"/>
      <c r="E225" s="491"/>
      <c r="F225" s="491"/>
      <c r="G225" s="491"/>
      <c r="H225" s="491"/>
      <c r="I225" s="491"/>
      <c r="J225" s="491"/>
      <c r="K225" s="491"/>
      <c r="L225" s="491"/>
      <c r="M225" s="491"/>
      <c r="N225" s="491"/>
      <c r="O225" s="491"/>
      <c r="P225" s="491"/>
      <c r="Q225" s="491"/>
      <c r="R225" s="491"/>
      <c r="S225" s="491"/>
      <c r="T225" s="491"/>
      <c r="U225" s="491"/>
      <c r="V225" s="491"/>
    </row>
    <row r="226" spans="1:22" s="490" customFormat="1" x14ac:dyDescent="0.2">
      <c r="A226" s="494"/>
      <c r="B226" s="491"/>
      <c r="C226" s="491"/>
      <c r="D226" s="491"/>
      <c r="E226" s="491"/>
      <c r="F226" s="491"/>
      <c r="G226" s="491"/>
      <c r="H226" s="491"/>
      <c r="I226" s="491"/>
      <c r="J226" s="491"/>
      <c r="K226" s="491"/>
      <c r="L226" s="491"/>
      <c r="M226" s="491"/>
      <c r="N226" s="491"/>
      <c r="O226" s="491"/>
      <c r="P226" s="491"/>
      <c r="Q226" s="491"/>
      <c r="R226" s="491"/>
      <c r="S226" s="491"/>
      <c r="T226" s="491"/>
      <c r="U226" s="491"/>
      <c r="V226" s="491"/>
    </row>
    <row r="227" spans="1:22" s="490" customFormat="1" x14ac:dyDescent="0.2">
      <c r="A227" s="494"/>
      <c r="B227" s="491"/>
      <c r="C227" s="491"/>
      <c r="D227" s="491"/>
      <c r="E227" s="491"/>
      <c r="F227" s="491"/>
      <c r="G227" s="491"/>
      <c r="H227" s="491"/>
      <c r="I227" s="491"/>
      <c r="J227" s="491"/>
      <c r="K227" s="491"/>
      <c r="L227" s="491"/>
      <c r="M227" s="491"/>
      <c r="N227" s="491"/>
      <c r="O227" s="491"/>
      <c r="P227" s="491"/>
      <c r="Q227" s="491"/>
      <c r="R227" s="491"/>
      <c r="S227" s="491"/>
      <c r="T227" s="491"/>
      <c r="U227" s="491"/>
      <c r="V227" s="491"/>
    </row>
    <row r="228" spans="1:22" s="490" customFormat="1" x14ac:dyDescent="0.2">
      <c r="A228" s="494"/>
      <c r="B228" s="491"/>
      <c r="C228" s="491"/>
      <c r="D228" s="491"/>
      <c r="E228" s="491"/>
      <c r="F228" s="491"/>
      <c r="G228" s="491"/>
      <c r="H228" s="491"/>
      <c r="I228" s="491"/>
      <c r="J228" s="491"/>
      <c r="K228" s="491"/>
      <c r="L228" s="491"/>
      <c r="M228" s="491"/>
      <c r="N228" s="491"/>
      <c r="O228" s="491"/>
      <c r="P228" s="491"/>
      <c r="Q228" s="491"/>
      <c r="R228" s="491"/>
      <c r="S228" s="491"/>
      <c r="T228" s="491"/>
      <c r="U228" s="491"/>
      <c r="V228" s="491"/>
    </row>
    <row r="229" spans="1:22" s="490" customFormat="1" x14ac:dyDescent="0.2">
      <c r="A229" s="494"/>
      <c r="B229" s="491"/>
      <c r="C229" s="491"/>
      <c r="D229" s="491"/>
      <c r="E229" s="491"/>
      <c r="F229" s="491"/>
      <c r="G229" s="491"/>
      <c r="H229" s="491"/>
      <c r="I229" s="491"/>
      <c r="J229" s="491"/>
      <c r="K229" s="491"/>
      <c r="L229" s="491"/>
      <c r="M229" s="491"/>
      <c r="N229" s="491"/>
      <c r="O229" s="491"/>
      <c r="P229" s="491"/>
      <c r="Q229" s="491"/>
      <c r="R229" s="491"/>
      <c r="S229" s="491"/>
      <c r="T229" s="491"/>
      <c r="U229" s="491"/>
      <c r="V229" s="491"/>
    </row>
    <row r="230" spans="1:22" s="490" customFormat="1" x14ac:dyDescent="0.2">
      <c r="A230" s="494"/>
      <c r="B230" s="491"/>
      <c r="C230" s="491"/>
      <c r="D230" s="491"/>
      <c r="E230" s="491"/>
      <c r="F230" s="491"/>
      <c r="G230" s="491"/>
      <c r="H230" s="491"/>
      <c r="I230" s="491"/>
      <c r="J230" s="491"/>
      <c r="K230" s="491"/>
      <c r="L230" s="491"/>
      <c r="M230" s="491"/>
      <c r="N230" s="491"/>
      <c r="O230" s="491"/>
      <c r="P230" s="491"/>
      <c r="Q230" s="491"/>
      <c r="R230" s="491"/>
      <c r="S230" s="491"/>
      <c r="T230" s="491"/>
      <c r="U230" s="491"/>
      <c r="V230" s="491"/>
    </row>
    <row r="231" spans="1:22" s="490" customFormat="1" x14ac:dyDescent="0.2">
      <c r="A231" s="494"/>
      <c r="B231" s="491"/>
      <c r="C231" s="491"/>
      <c r="D231" s="491"/>
      <c r="E231" s="491"/>
      <c r="F231" s="491"/>
      <c r="G231" s="491"/>
      <c r="H231" s="491"/>
      <c r="I231" s="491"/>
      <c r="J231" s="491"/>
      <c r="K231" s="491"/>
      <c r="L231" s="491"/>
      <c r="M231" s="491"/>
      <c r="N231" s="491"/>
      <c r="O231" s="491"/>
      <c r="P231" s="491"/>
      <c r="Q231" s="491"/>
      <c r="R231" s="491"/>
      <c r="S231" s="491"/>
      <c r="T231" s="491"/>
      <c r="U231" s="491"/>
      <c r="V231" s="491"/>
    </row>
    <row r="232" spans="1:22" s="490" customFormat="1" x14ac:dyDescent="0.2">
      <c r="A232" s="494"/>
      <c r="B232" s="491"/>
      <c r="C232" s="491"/>
      <c r="D232" s="491"/>
      <c r="E232" s="491"/>
      <c r="F232" s="491"/>
      <c r="G232" s="491"/>
      <c r="H232" s="491"/>
      <c r="I232" s="491"/>
      <c r="J232" s="491"/>
      <c r="K232" s="491"/>
      <c r="L232" s="491"/>
      <c r="M232" s="491"/>
      <c r="N232" s="491"/>
      <c r="O232" s="491"/>
      <c r="P232" s="491"/>
      <c r="Q232" s="491"/>
      <c r="R232" s="491"/>
      <c r="S232" s="491"/>
      <c r="T232" s="491"/>
      <c r="U232" s="491"/>
      <c r="V232" s="491"/>
    </row>
    <row r="233" spans="1:22" s="490" customFormat="1" x14ac:dyDescent="0.2">
      <c r="A233" s="494"/>
      <c r="B233" s="491"/>
      <c r="C233" s="491"/>
      <c r="D233" s="491"/>
      <c r="E233" s="491"/>
      <c r="F233" s="491"/>
      <c r="G233" s="491"/>
      <c r="H233" s="491"/>
      <c r="I233" s="491"/>
      <c r="J233" s="491"/>
      <c r="K233" s="491"/>
      <c r="L233" s="491"/>
      <c r="M233" s="491"/>
      <c r="N233" s="491"/>
      <c r="O233" s="491"/>
      <c r="P233" s="491"/>
      <c r="Q233" s="491"/>
      <c r="R233" s="491"/>
      <c r="S233" s="491"/>
      <c r="T233" s="491"/>
      <c r="U233" s="491"/>
      <c r="V233" s="491"/>
    </row>
    <row r="234" spans="1:22" s="490" customFormat="1" x14ac:dyDescent="0.2">
      <c r="A234" s="494"/>
      <c r="B234" s="491"/>
      <c r="C234" s="491"/>
      <c r="D234" s="491"/>
      <c r="E234" s="491"/>
      <c r="F234" s="491"/>
      <c r="G234" s="491"/>
      <c r="H234" s="491"/>
      <c r="I234" s="491"/>
      <c r="J234" s="491"/>
      <c r="K234" s="491"/>
      <c r="L234" s="491"/>
      <c r="M234" s="491"/>
      <c r="N234" s="491"/>
      <c r="O234" s="491"/>
      <c r="P234" s="491"/>
      <c r="Q234" s="491"/>
      <c r="R234" s="491"/>
      <c r="S234" s="491"/>
      <c r="T234" s="491"/>
      <c r="U234" s="491"/>
      <c r="V234" s="491"/>
    </row>
    <row r="235" spans="1:22" s="490" customFormat="1" x14ac:dyDescent="0.2">
      <c r="A235" s="494"/>
      <c r="B235" s="491"/>
      <c r="C235" s="491"/>
      <c r="D235" s="491"/>
      <c r="E235" s="491"/>
      <c r="F235" s="491"/>
      <c r="G235" s="491"/>
      <c r="H235" s="491"/>
      <c r="I235" s="491"/>
      <c r="J235" s="491"/>
      <c r="K235" s="491"/>
      <c r="L235" s="491"/>
      <c r="M235" s="491"/>
      <c r="N235" s="491"/>
      <c r="O235" s="491"/>
      <c r="P235" s="491"/>
      <c r="Q235" s="491"/>
      <c r="R235" s="491"/>
      <c r="S235" s="491"/>
      <c r="T235" s="491"/>
      <c r="U235" s="491"/>
      <c r="V235" s="491"/>
    </row>
    <row r="236" spans="1:22" s="490" customFormat="1" x14ac:dyDescent="0.2">
      <c r="A236" s="494"/>
      <c r="B236" s="491"/>
      <c r="C236" s="491"/>
      <c r="D236" s="491"/>
      <c r="E236" s="491"/>
      <c r="F236" s="491"/>
      <c r="G236" s="491"/>
      <c r="H236" s="491"/>
      <c r="I236" s="491"/>
      <c r="J236" s="491"/>
      <c r="K236" s="491"/>
      <c r="L236" s="491"/>
      <c r="M236" s="491"/>
      <c r="N236" s="491"/>
      <c r="O236" s="491"/>
      <c r="P236" s="491"/>
      <c r="Q236" s="491"/>
      <c r="R236" s="491"/>
      <c r="S236" s="491"/>
      <c r="T236" s="491"/>
      <c r="U236" s="491"/>
      <c r="V236" s="491"/>
    </row>
    <row r="237" spans="1:22" s="490" customFormat="1" x14ac:dyDescent="0.2">
      <c r="A237" s="494"/>
      <c r="B237" s="491"/>
      <c r="C237" s="491"/>
      <c r="D237" s="491"/>
      <c r="E237" s="491"/>
      <c r="F237" s="491"/>
      <c r="G237" s="491"/>
      <c r="H237" s="491"/>
      <c r="I237" s="491"/>
      <c r="J237" s="491"/>
      <c r="K237" s="491"/>
      <c r="L237" s="491"/>
      <c r="M237" s="491"/>
      <c r="N237" s="491"/>
      <c r="O237" s="491"/>
      <c r="P237" s="491"/>
      <c r="Q237" s="491"/>
      <c r="R237" s="491"/>
      <c r="S237" s="491"/>
      <c r="T237" s="491"/>
      <c r="U237" s="491"/>
      <c r="V237" s="491"/>
    </row>
    <row r="238" spans="1:22" s="490" customFormat="1" x14ac:dyDescent="0.2">
      <c r="A238" s="494"/>
      <c r="B238" s="491"/>
      <c r="C238" s="491"/>
      <c r="D238" s="491"/>
      <c r="E238" s="491"/>
      <c r="F238" s="491"/>
      <c r="G238" s="491"/>
      <c r="H238" s="491"/>
      <c r="I238" s="491"/>
      <c r="J238" s="491"/>
      <c r="K238" s="491"/>
      <c r="L238" s="491"/>
      <c r="M238" s="491"/>
      <c r="N238" s="491"/>
      <c r="O238" s="491"/>
      <c r="P238" s="491"/>
      <c r="Q238" s="491"/>
      <c r="R238" s="491"/>
      <c r="S238" s="491"/>
      <c r="T238" s="491"/>
      <c r="U238" s="491"/>
      <c r="V238" s="491"/>
    </row>
    <row r="239" spans="1:22" s="490" customFormat="1" x14ac:dyDescent="0.2">
      <c r="A239" s="494"/>
      <c r="B239" s="491"/>
      <c r="C239" s="491"/>
      <c r="D239" s="491"/>
      <c r="E239" s="491"/>
      <c r="F239" s="491"/>
      <c r="G239" s="491"/>
      <c r="H239" s="491"/>
      <c r="I239" s="491"/>
      <c r="J239" s="491"/>
      <c r="K239" s="491"/>
      <c r="L239" s="491"/>
      <c r="M239" s="491"/>
      <c r="N239" s="491"/>
      <c r="O239" s="491"/>
      <c r="P239" s="491"/>
      <c r="Q239" s="491"/>
      <c r="R239" s="491"/>
      <c r="S239" s="491"/>
      <c r="T239" s="491"/>
      <c r="U239" s="491"/>
      <c r="V239" s="491"/>
    </row>
    <row r="240" spans="1:22" s="490" customFormat="1" x14ac:dyDescent="0.2">
      <c r="A240" s="494"/>
      <c r="B240" s="491"/>
      <c r="C240" s="491"/>
      <c r="D240" s="491"/>
      <c r="E240" s="491"/>
      <c r="F240" s="491"/>
      <c r="G240" s="491"/>
      <c r="H240" s="491"/>
      <c r="I240" s="491"/>
      <c r="J240" s="491"/>
      <c r="K240" s="491"/>
      <c r="L240" s="491"/>
      <c r="M240" s="491"/>
      <c r="N240" s="491"/>
      <c r="O240" s="491"/>
      <c r="P240" s="491"/>
      <c r="Q240" s="491"/>
      <c r="R240" s="491"/>
      <c r="S240" s="491"/>
      <c r="T240" s="491"/>
      <c r="U240" s="491"/>
      <c r="V240" s="491"/>
    </row>
    <row r="241" spans="1:22" s="490" customFormat="1" x14ac:dyDescent="0.2">
      <c r="A241" s="494"/>
      <c r="B241" s="491"/>
      <c r="C241" s="491"/>
      <c r="D241" s="491"/>
      <c r="E241" s="491"/>
      <c r="F241" s="491"/>
      <c r="G241" s="491"/>
      <c r="H241" s="491"/>
      <c r="I241" s="491"/>
      <c r="J241" s="491"/>
      <c r="K241" s="491"/>
      <c r="L241" s="491"/>
      <c r="M241" s="491"/>
      <c r="N241" s="491"/>
      <c r="O241" s="491"/>
      <c r="P241" s="491"/>
      <c r="Q241" s="491"/>
      <c r="R241" s="491"/>
      <c r="S241" s="491"/>
      <c r="T241" s="491"/>
      <c r="U241" s="491"/>
      <c r="V241" s="491"/>
    </row>
    <row r="242" spans="1:22" s="490" customFormat="1" x14ac:dyDescent="0.2">
      <c r="A242" s="494"/>
      <c r="B242" s="491"/>
      <c r="C242" s="491"/>
      <c r="D242" s="491"/>
      <c r="E242" s="491"/>
      <c r="F242" s="491"/>
      <c r="G242" s="491"/>
      <c r="H242" s="491"/>
      <c r="I242" s="491"/>
      <c r="J242" s="491"/>
      <c r="K242" s="491"/>
      <c r="L242" s="491"/>
      <c r="M242" s="491"/>
      <c r="N242" s="491"/>
      <c r="O242" s="491"/>
      <c r="P242" s="491"/>
      <c r="Q242" s="491"/>
      <c r="R242" s="491"/>
      <c r="S242" s="491"/>
      <c r="T242" s="491"/>
      <c r="U242" s="491"/>
      <c r="V242" s="491"/>
    </row>
    <row r="243" spans="1:22" s="490" customFormat="1" x14ac:dyDescent="0.2">
      <c r="A243" s="494"/>
      <c r="B243" s="491"/>
      <c r="C243" s="491"/>
      <c r="D243" s="491"/>
      <c r="E243" s="491"/>
      <c r="F243" s="491"/>
      <c r="G243" s="491"/>
      <c r="H243" s="491"/>
      <c r="I243" s="491"/>
      <c r="J243" s="491"/>
      <c r="K243" s="491"/>
      <c r="L243" s="491"/>
      <c r="M243" s="491"/>
      <c r="N243" s="491"/>
      <c r="O243" s="491"/>
      <c r="P243" s="491"/>
      <c r="Q243" s="491"/>
      <c r="R243" s="491"/>
      <c r="S243" s="491"/>
      <c r="T243" s="491"/>
      <c r="U243" s="491"/>
      <c r="V243" s="491"/>
    </row>
    <row r="244" spans="1:22" s="490" customFormat="1" x14ac:dyDescent="0.2">
      <c r="A244" s="494"/>
      <c r="B244" s="491"/>
      <c r="C244" s="491"/>
      <c r="D244" s="491"/>
      <c r="E244" s="491"/>
      <c r="F244" s="491"/>
      <c r="G244" s="491"/>
      <c r="H244" s="491"/>
      <c r="I244" s="491"/>
      <c r="J244" s="491"/>
      <c r="K244" s="491"/>
      <c r="L244" s="491"/>
      <c r="M244" s="491"/>
      <c r="N244" s="491"/>
      <c r="O244" s="491"/>
      <c r="P244" s="491"/>
      <c r="Q244" s="491"/>
      <c r="R244" s="491"/>
      <c r="S244" s="491"/>
      <c r="T244" s="491"/>
      <c r="U244" s="491"/>
      <c r="V244" s="491"/>
    </row>
    <row r="245" spans="1:22" s="490" customFormat="1" x14ac:dyDescent="0.2">
      <c r="A245" s="494"/>
      <c r="B245" s="491"/>
      <c r="C245" s="491"/>
      <c r="D245" s="491"/>
      <c r="E245" s="491"/>
      <c r="F245" s="491"/>
      <c r="G245" s="491"/>
      <c r="H245" s="491"/>
      <c r="I245" s="491"/>
      <c r="J245" s="491"/>
      <c r="K245" s="491"/>
      <c r="L245" s="491"/>
      <c r="M245" s="491"/>
      <c r="N245" s="491"/>
      <c r="O245" s="491"/>
      <c r="P245" s="491"/>
      <c r="Q245" s="491"/>
      <c r="R245" s="491"/>
      <c r="S245" s="491"/>
      <c r="T245" s="491"/>
      <c r="U245" s="491"/>
      <c r="V245" s="491"/>
    </row>
    <row r="246" spans="1:22" s="490" customFormat="1" x14ac:dyDescent="0.2">
      <c r="A246" s="494"/>
      <c r="B246" s="491"/>
      <c r="C246" s="491"/>
      <c r="D246" s="491"/>
      <c r="E246" s="491"/>
      <c r="F246" s="491"/>
      <c r="G246" s="491"/>
      <c r="H246" s="491"/>
      <c r="I246" s="491"/>
      <c r="J246" s="491"/>
      <c r="K246" s="491"/>
      <c r="L246" s="491"/>
      <c r="M246" s="491"/>
      <c r="N246" s="491"/>
      <c r="O246" s="491"/>
      <c r="P246" s="491"/>
      <c r="Q246" s="491"/>
      <c r="R246" s="491"/>
      <c r="S246" s="491"/>
      <c r="T246" s="491"/>
      <c r="U246" s="491"/>
      <c r="V246" s="491"/>
    </row>
    <row r="247" spans="1:22" s="490" customFormat="1" x14ac:dyDescent="0.2">
      <c r="A247" s="494"/>
      <c r="B247" s="491"/>
      <c r="C247" s="491"/>
      <c r="D247" s="491"/>
      <c r="E247" s="491"/>
      <c r="F247" s="491"/>
      <c r="G247" s="491"/>
      <c r="H247" s="491"/>
      <c r="I247" s="491"/>
      <c r="J247" s="491"/>
      <c r="K247" s="491"/>
      <c r="L247" s="491"/>
      <c r="M247" s="491"/>
      <c r="N247" s="491"/>
      <c r="O247" s="491"/>
      <c r="P247" s="491"/>
      <c r="Q247" s="491"/>
      <c r="R247" s="491"/>
      <c r="S247" s="491"/>
      <c r="T247" s="491"/>
      <c r="U247" s="491"/>
      <c r="V247" s="491"/>
    </row>
    <row r="248" spans="1:22" s="490" customFormat="1" x14ac:dyDescent="0.2">
      <c r="A248" s="494"/>
      <c r="B248" s="491"/>
      <c r="C248" s="491"/>
      <c r="D248" s="491"/>
      <c r="E248" s="491"/>
      <c r="F248" s="491"/>
      <c r="G248" s="491"/>
      <c r="H248" s="491"/>
      <c r="I248" s="491"/>
      <c r="J248" s="491"/>
      <c r="K248" s="491"/>
      <c r="L248" s="491"/>
      <c r="M248" s="491"/>
      <c r="N248" s="491"/>
      <c r="O248" s="491"/>
      <c r="P248" s="491"/>
      <c r="Q248" s="491"/>
      <c r="R248" s="491"/>
      <c r="S248" s="491"/>
      <c r="T248" s="491"/>
      <c r="U248" s="491"/>
      <c r="V248" s="491"/>
    </row>
    <row r="249" spans="1:22" s="490" customFormat="1" x14ac:dyDescent="0.2">
      <c r="A249" s="494"/>
      <c r="B249" s="491"/>
      <c r="C249" s="491"/>
      <c r="D249" s="491"/>
      <c r="E249" s="491"/>
      <c r="F249" s="491"/>
      <c r="G249" s="491"/>
      <c r="H249" s="491"/>
      <c r="I249" s="491"/>
      <c r="J249" s="491"/>
      <c r="K249" s="491"/>
      <c r="L249" s="491"/>
      <c r="M249" s="491"/>
      <c r="N249" s="491"/>
      <c r="O249" s="491"/>
      <c r="P249" s="491"/>
      <c r="Q249" s="491"/>
      <c r="R249" s="491"/>
      <c r="S249" s="491"/>
      <c r="T249" s="491"/>
      <c r="U249" s="491"/>
      <c r="V249" s="491"/>
    </row>
    <row r="250" spans="1:22" s="490" customFormat="1" x14ac:dyDescent="0.2">
      <c r="A250" s="494"/>
      <c r="B250" s="491"/>
      <c r="C250" s="491"/>
      <c r="D250" s="491"/>
      <c r="E250" s="491"/>
      <c r="F250" s="491"/>
      <c r="G250" s="491"/>
      <c r="H250" s="491"/>
      <c r="I250" s="491"/>
      <c r="J250" s="491"/>
      <c r="K250" s="491"/>
      <c r="L250" s="491"/>
      <c r="M250" s="491"/>
      <c r="N250" s="491"/>
      <c r="O250" s="491"/>
      <c r="P250" s="491"/>
      <c r="Q250" s="491"/>
      <c r="R250" s="491"/>
      <c r="S250" s="491"/>
      <c r="T250" s="491"/>
      <c r="U250" s="491"/>
      <c r="V250" s="491"/>
    </row>
    <row r="251" spans="1:22" s="490" customFormat="1" x14ac:dyDescent="0.2">
      <c r="A251" s="494"/>
      <c r="B251" s="491"/>
      <c r="C251" s="491"/>
      <c r="D251" s="491"/>
      <c r="E251" s="491"/>
      <c r="F251" s="491"/>
      <c r="G251" s="491"/>
      <c r="H251" s="491"/>
      <c r="I251" s="491"/>
      <c r="J251" s="491"/>
      <c r="K251" s="491"/>
      <c r="L251" s="491"/>
      <c r="M251" s="491"/>
      <c r="N251" s="491"/>
      <c r="O251" s="491"/>
      <c r="P251" s="491"/>
      <c r="Q251" s="491"/>
      <c r="R251" s="491"/>
      <c r="S251" s="491"/>
      <c r="T251" s="491"/>
      <c r="U251" s="491"/>
      <c r="V251" s="491"/>
    </row>
    <row r="252" spans="1:22" s="490" customFormat="1" x14ac:dyDescent="0.2">
      <c r="A252" s="494"/>
      <c r="B252" s="491"/>
      <c r="C252" s="491"/>
      <c r="D252" s="491"/>
      <c r="E252" s="491"/>
      <c r="F252" s="491"/>
      <c r="G252" s="491"/>
      <c r="H252" s="491"/>
      <c r="I252" s="491"/>
      <c r="J252" s="491"/>
      <c r="K252" s="491"/>
      <c r="L252" s="491"/>
      <c r="M252" s="491"/>
      <c r="N252" s="491"/>
      <c r="O252" s="491"/>
      <c r="P252" s="491"/>
      <c r="Q252" s="491"/>
      <c r="R252" s="491"/>
      <c r="S252" s="491"/>
      <c r="T252" s="491"/>
      <c r="U252" s="491"/>
      <c r="V252" s="491"/>
    </row>
    <row r="253" spans="1:22" s="490" customFormat="1" x14ac:dyDescent="0.2">
      <c r="A253" s="494"/>
      <c r="B253" s="491"/>
      <c r="C253" s="491"/>
      <c r="D253" s="491"/>
      <c r="E253" s="491"/>
      <c r="F253" s="491"/>
      <c r="G253" s="491"/>
      <c r="H253" s="491"/>
      <c r="I253" s="491"/>
      <c r="J253" s="491"/>
      <c r="K253" s="491"/>
      <c r="L253" s="491"/>
      <c r="M253" s="491"/>
      <c r="N253" s="491"/>
      <c r="O253" s="491"/>
      <c r="P253" s="491"/>
      <c r="Q253" s="491"/>
      <c r="R253" s="491"/>
      <c r="S253" s="491"/>
      <c r="T253" s="491"/>
      <c r="U253" s="491"/>
      <c r="V253" s="491"/>
    </row>
    <row r="254" spans="1:22" s="490" customFormat="1" x14ac:dyDescent="0.2">
      <c r="A254" s="494"/>
      <c r="B254" s="491"/>
      <c r="C254" s="491"/>
      <c r="D254" s="491"/>
      <c r="E254" s="491"/>
      <c r="F254" s="491"/>
      <c r="G254" s="491"/>
      <c r="H254" s="491"/>
      <c r="I254" s="491"/>
      <c r="J254" s="491"/>
      <c r="K254" s="491"/>
      <c r="L254" s="491"/>
      <c r="M254" s="491"/>
      <c r="N254" s="491"/>
      <c r="O254" s="491"/>
      <c r="P254" s="491"/>
      <c r="Q254" s="491"/>
      <c r="R254" s="491"/>
      <c r="S254" s="491"/>
      <c r="T254" s="491"/>
      <c r="U254" s="491"/>
      <c r="V254" s="491"/>
    </row>
    <row r="255" spans="1:22" s="490" customFormat="1" x14ac:dyDescent="0.2">
      <c r="A255" s="494"/>
      <c r="B255" s="491"/>
      <c r="C255" s="491"/>
      <c r="D255" s="491"/>
      <c r="E255" s="491"/>
      <c r="F255" s="491"/>
      <c r="G255" s="491"/>
      <c r="H255" s="491"/>
      <c r="I255" s="491"/>
      <c r="J255" s="491"/>
      <c r="K255" s="491"/>
      <c r="L255" s="491"/>
      <c r="M255" s="491"/>
      <c r="N255" s="491"/>
      <c r="O255" s="491"/>
      <c r="P255" s="491"/>
      <c r="Q255" s="491"/>
      <c r="R255" s="491"/>
      <c r="S255" s="491"/>
      <c r="T255" s="491"/>
      <c r="U255" s="491"/>
      <c r="V255" s="491"/>
    </row>
    <row r="256" spans="1:22" s="490" customFormat="1" x14ac:dyDescent="0.2">
      <c r="A256" s="494"/>
      <c r="B256" s="491"/>
      <c r="C256" s="491"/>
      <c r="D256" s="491"/>
      <c r="E256" s="491"/>
      <c r="F256" s="491"/>
      <c r="G256" s="491"/>
      <c r="H256" s="491"/>
      <c r="I256" s="491"/>
      <c r="J256" s="491"/>
      <c r="K256" s="491"/>
      <c r="L256" s="491"/>
      <c r="M256" s="491"/>
      <c r="N256" s="491"/>
      <c r="O256" s="491"/>
      <c r="P256" s="491"/>
      <c r="Q256" s="491"/>
      <c r="R256" s="491"/>
      <c r="S256" s="491"/>
      <c r="T256" s="491"/>
      <c r="U256" s="491"/>
      <c r="V256" s="491"/>
    </row>
    <row r="257" spans="1:22" s="490" customFormat="1" x14ac:dyDescent="0.2">
      <c r="A257" s="494"/>
      <c r="B257" s="491"/>
      <c r="C257" s="491"/>
      <c r="D257" s="491"/>
      <c r="E257" s="491"/>
      <c r="F257" s="491"/>
      <c r="G257" s="491"/>
      <c r="H257" s="491"/>
      <c r="I257" s="491"/>
      <c r="J257" s="491"/>
      <c r="K257" s="491"/>
      <c r="L257" s="491"/>
      <c r="M257" s="491"/>
      <c r="N257" s="491"/>
      <c r="O257" s="491"/>
      <c r="P257" s="491"/>
      <c r="Q257" s="491"/>
      <c r="R257" s="491"/>
      <c r="S257" s="491"/>
      <c r="T257" s="491"/>
      <c r="U257" s="491"/>
      <c r="V257" s="491"/>
    </row>
    <row r="258" spans="1:22" s="490" customFormat="1" x14ac:dyDescent="0.2">
      <c r="A258" s="494"/>
      <c r="B258" s="491"/>
      <c r="C258" s="491"/>
      <c r="D258" s="491"/>
      <c r="E258" s="491"/>
      <c r="F258" s="491"/>
      <c r="G258" s="491"/>
      <c r="H258" s="491"/>
      <c r="I258" s="491"/>
      <c r="J258" s="491"/>
      <c r="K258" s="491"/>
      <c r="L258" s="491"/>
      <c r="M258" s="491"/>
      <c r="N258" s="491"/>
      <c r="O258" s="491"/>
      <c r="P258" s="491"/>
      <c r="Q258" s="491"/>
      <c r="R258" s="491"/>
      <c r="S258" s="491"/>
      <c r="T258" s="491"/>
      <c r="U258" s="491"/>
      <c r="V258" s="491"/>
    </row>
    <row r="259" spans="1:22" s="490" customFormat="1" x14ac:dyDescent="0.2">
      <c r="A259" s="494"/>
      <c r="B259" s="491"/>
      <c r="C259" s="491"/>
      <c r="D259" s="491"/>
      <c r="E259" s="491"/>
      <c r="F259" s="491"/>
      <c r="G259" s="491"/>
      <c r="H259" s="491"/>
      <c r="I259" s="491"/>
      <c r="J259" s="491"/>
      <c r="K259" s="491"/>
      <c r="L259" s="491"/>
      <c r="M259" s="491"/>
      <c r="N259" s="491"/>
      <c r="O259" s="491"/>
      <c r="P259" s="491"/>
      <c r="Q259" s="491"/>
      <c r="R259" s="491"/>
      <c r="S259" s="491"/>
      <c r="T259" s="491"/>
      <c r="U259" s="491"/>
      <c r="V259" s="491"/>
    </row>
    <row r="260" spans="1:22" s="490" customFormat="1" x14ac:dyDescent="0.2">
      <c r="A260" s="494"/>
      <c r="B260" s="491"/>
      <c r="C260" s="491"/>
      <c r="D260" s="491"/>
      <c r="E260" s="491"/>
      <c r="F260" s="491"/>
      <c r="G260" s="491"/>
      <c r="H260" s="491"/>
      <c r="I260" s="491"/>
      <c r="J260" s="491"/>
      <c r="K260" s="491"/>
      <c r="L260" s="491"/>
      <c r="M260" s="491"/>
      <c r="N260" s="491"/>
      <c r="O260" s="491"/>
      <c r="P260" s="491"/>
      <c r="Q260" s="491"/>
      <c r="R260" s="491"/>
      <c r="S260" s="491"/>
      <c r="T260" s="491"/>
      <c r="U260" s="491"/>
      <c r="V260" s="491"/>
    </row>
    <row r="261" spans="1:22" s="490" customFormat="1" x14ac:dyDescent="0.2">
      <c r="A261" s="494"/>
      <c r="B261" s="491"/>
      <c r="C261" s="491"/>
      <c r="D261" s="491"/>
      <c r="E261" s="491"/>
      <c r="F261" s="491"/>
      <c r="G261" s="491"/>
      <c r="H261" s="491"/>
      <c r="I261" s="491"/>
      <c r="J261" s="491"/>
      <c r="K261" s="491"/>
      <c r="L261" s="491"/>
      <c r="M261" s="491"/>
      <c r="N261" s="491"/>
      <c r="O261" s="491"/>
      <c r="P261" s="491"/>
      <c r="Q261" s="491"/>
      <c r="R261" s="491"/>
      <c r="S261" s="491"/>
      <c r="T261" s="491"/>
      <c r="U261" s="491"/>
      <c r="V261" s="491"/>
    </row>
    <row r="262" spans="1:22" s="490" customFormat="1" x14ac:dyDescent="0.2">
      <c r="A262" s="494"/>
      <c r="B262" s="491"/>
      <c r="C262" s="491"/>
      <c r="D262" s="491"/>
      <c r="E262" s="491"/>
      <c r="F262" s="491"/>
      <c r="G262" s="491"/>
      <c r="H262" s="491"/>
      <c r="I262" s="491"/>
      <c r="J262" s="491"/>
      <c r="K262" s="491"/>
      <c r="L262" s="491"/>
      <c r="M262" s="491"/>
      <c r="N262" s="491"/>
      <c r="O262" s="491"/>
      <c r="P262" s="491"/>
      <c r="Q262" s="491"/>
      <c r="R262" s="491"/>
      <c r="S262" s="491"/>
      <c r="T262" s="491"/>
      <c r="U262" s="491"/>
      <c r="V262" s="491"/>
    </row>
    <row r="263" spans="1:22" s="490" customFormat="1" x14ac:dyDescent="0.2">
      <c r="A263" s="494"/>
      <c r="B263" s="491"/>
      <c r="C263" s="491"/>
      <c r="D263" s="491"/>
      <c r="E263" s="491"/>
      <c r="F263" s="491"/>
      <c r="G263" s="491"/>
      <c r="H263" s="491"/>
      <c r="I263" s="491"/>
      <c r="J263" s="491"/>
      <c r="K263" s="491"/>
      <c r="L263" s="491"/>
      <c r="M263" s="491"/>
      <c r="N263" s="491"/>
      <c r="O263" s="491"/>
      <c r="P263" s="491"/>
      <c r="Q263" s="491"/>
      <c r="R263" s="491"/>
      <c r="S263" s="491"/>
      <c r="T263" s="491"/>
      <c r="U263" s="491"/>
      <c r="V263" s="491"/>
    </row>
    <row r="264" spans="1:22" s="490" customFormat="1" x14ac:dyDescent="0.2">
      <c r="A264" s="494"/>
      <c r="B264" s="491"/>
      <c r="C264" s="491"/>
      <c r="D264" s="491"/>
      <c r="E264" s="491"/>
      <c r="F264" s="491"/>
      <c r="G264" s="491"/>
      <c r="H264" s="491"/>
      <c r="I264" s="491"/>
      <c r="J264" s="491"/>
      <c r="K264" s="491"/>
      <c r="L264" s="491"/>
      <c r="M264" s="491"/>
      <c r="N264" s="491"/>
      <c r="O264" s="491"/>
      <c r="P264" s="491"/>
      <c r="Q264" s="491"/>
      <c r="R264" s="491"/>
      <c r="S264" s="491"/>
      <c r="T264" s="491"/>
      <c r="U264" s="491"/>
      <c r="V264" s="491"/>
    </row>
    <row r="265" spans="1:22" s="490" customFormat="1" x14ac:dyDescent="0.2">
      <c r="A265" s="494"/>
      <c r="B265" s="491"/>
      <c r="C265" s="491"/>
      <c r="D265" s="491"/>
      <c r="E265" s="491"/>
      <c r="F265" s="491"/>
      <c r="G265" s="491"/>
      <c r="H265" s="491"/>
      <c r="I265" s="491"/>
      <c r="J265" s="491"/>
      <c r="K265" s="491"/>
      <c r="L265" s="491"/>
      <c r="M265" s="491"/>
      <c r="N265" s="491"/>
      <c r="O265" s="491"/>
      <c r="P265" s="491"/>
      <c r="Q265" s="491"/>
      <c r="R265" s="491"/>
      <c r="S265" s="491"/>
      <c r="T265" s="491"/>
      <c r="U265" s="491"/>
      <c r="V265" s="491"/>
    </row>
    <row r="266" spans="1:22" s="490" customFormat="1" x14ac:dyDescent="0.2">
      <c r="A266" s="494"/>
      <c r="B266" s="491"/>
      <c r="C266" s="491"/>
      <c r="D266" s="491"/>
      <c r="E266" s="491"/>
      <c r="F266" s="491"/>
      <c r="G266" s="491"/>
      <c r="H266" s="491"/>
      <c r="I266" s="491"/>
      <c r="J266" s="491"/>
      <c r="K266" s="491"/>
      <c r="L266" s="491"/>
      <c r="M266" s="491"/>
      <c r="N266" s="491"/>
      <c r="O266" s="491"/>
      <c r="P266" s="491"/>
      <c r="Q266" s="491"/>
      <c r="R266" s="491"/>
      <c r="S266" s="491"/>
      <c r="T266" s="491"/>
      <c r="U266" s="491"/>
      <c r="V266" s="491"/>
    </row>
    <row r="267" spans="1:22" s="490" customFormat="1" x14ac:dyDescent="0.2">
      <c r="A267" s="494"/>
      <c r="B267" s="491"/>
      <c r="C267" s="491"/>
      <c r="D267" s="491"/>
      <c r="E267" s="491"/>
      <c r="F267" s="491"/>
      <c r="G267" s="491"/>
      <c r="H267" s="491"/>
      <c r="I267" s="491"/>
      <c r="J267" s="491"/>
      <c r="K267" s="491"/>
      <c r="L267" s="491"/>
      <c r="M267" s="491"/>
      <c r="N267" s="491"/>
      <c r="O267" s="491"/>
      <c r="P267" s="491"/>
      <c r="Q267" s="491"/>
      <c r="R267" s="491"/>
      <c r="S267" s="491"/>
      <c r="T267" s="491"/>
      <c r="U267" s="491"/>
      <c r="V267" s="491"/>
    </row>
    <row r="268" spans="1:22" s="490" customFormat="1" x14ac:dyDescent="0.2">
      <c r="A268" s="494"/>
      <c r="B268" s="491"/>
      <c r="C268" s="491"/>
      <c r="D268" s="491"/>
      <c r="E268" s="491"/>
      <c r="F268" s="491"/>
      <c r="G268" s="491"/>
      <c r="H268" s="491"/>
      <c r="I268" s="491"/>
      <c r="J268" s="491"/>
      <c r="K268" s="491"/>
      <c r="L268" s="491"/>
      <c r="M268" s="491"/>
      <c r="N268" s="491"/>
      <c r="O268" s="491"/>
      <c r="P268" s="491"/>
      <c r="Q268" s="491"/>
      <c r="R268" s="491"/>
      <c r="S268" s="491"/>
      <c r="T268" s="491"/>
      <c r="U268" s="491"/>
      <c r="V268" s="491"/>
    </row>
    <row r="269" spans="1:22" s="490" customFormat="1" x14ac:dyDescent="0.2">
      <c r="A269" s="494"/>
      <c r="B269" s="491"/>
      <c r="C269" s="491"/>
      <c r="D269" s="491"/>
      <c r="E269" s="491"/>
      <c r="F269" s="491"/>
      <c r="G269" s="491"/>
      <c r="H269" s="491"/>
      <c r="I269" s="491"/>
      <c r="J269" s="491"/>
      <c r="K269" s="491"/>
      <c r="L269" s="491"/>
      <c r="M269" s="491"/>
      <c r="N269" s="491"/>
      <c r="O269" s="491"/>
      <c r="P269" s="491"/>
      <c r="Q269" s="491"/>
      <c r="R269" s="491"/>
      <c r="S269" s="491"/>
      <c r="T269" s="491"/>
      <c r="U269" s="491"/>
      <c r="V269" s="491"/>
    </row>
    <row r="270" spans="1:22" s="490" customFormat="1" x14ac:dyDescent="0.2">
      <c r="A270" s="494"/>
      <c r="B270" s="491"/>
      <c r="C270" s="491"/>
      <c r="D270" s="491"/>
      <c r="E270" s="491"/>
      <c r="F270" s="491"/>
      <c r="G270" s="491"/>
      <c r="H270" s="491"/>
      <c r="I270" s="491"/>
      <c r="J270" s="491"/>
      <c r="K270" s="491"/>
      <c r="L270" s="491"/>
      <c r="M270" s="491"/>
      <c r="N270" s="491"/>
      <c r="O270" s="491"/>
      <c r="P270" s="491"/>
      <c r="Q270" s="491"/>
      <c r="R270" s="491"/>
      <c r="S270" s="491"/>
      <c r="T270" s="491"/>
      <c r="U270" s="491"/>
      <c r="V270" s="491"/>
    </row>
    <row r="271" spans="1:22" s="490" customFormat="1" x14ac:dyDescent="0.2">
      <c r="A271" s="494"/>
      <c r="B271" s="491"/>
      <c r="C271" s="491"/>
      <c r="D271" s="491"/>
      <c r="E271" s="491"/>
      <c r="F271" s="491"/>
      <c r="G271" s="491"/>
      <c r="H271" s="491"/>
      <c r="I271" s="491"/>
      <c r="J271" s="491"/>
      <c r="K271" s="491"/>
      <c r="L271" s="491"/>
      <c r="M271" s="491"/>
      <c r="N271" s="491"/>
      <c r="O271" s="491"/>
      <c r="P271" s="491"/>
      <c r="Q271" s="491"/>
      <c r="R271" s="491"/>
      <c r="S271" s="491"/>
      <c r="T271" s="491"/>
      <c r="U271" s="491"/>
      <c r="V271" s="491"/>
    </row>
    <row r="272" spans="1:22" s="490" customFormat="1" x14ac:dyDescent="0.2">
      <c r="A272" s="494"/>
      <c r="B272" s="491"/>
      <c r="C272" s="491"/>
      <c r="D272" s="491"/>
      <c r="E272" s="491"/>
      <c r="F272" s="491"/>
      <c r="G272" s="491"/>
      <c r="H272" s="491"/>
      <c r="I272" s="491"/>
      <c r="J272" s="491"/>
      <c r="K272" s="491"/>
      <c r="L272" s="491"/>
      <c r="M272" s="491"/>
      <c r="N272" s="491"/>
      <c r="O272" s="491"/>
      <c r="P272" s="491"/>
      <c r="Q272" s="491"/>
      <c r="R272" s="491"/>
      <c r="S272" s="491"/>
      <c r="T272" s="491"/>
      <c r="U272" s="491"/>
      <c r="V272" s="491"/>
    </row>
    <row r="273" spans="1:22" s="490" customFormat="1" x14ac:dyDescent="0.2">
      <c r="A273" s="494"/>
      <c r="B273" s="491"/>
      <c r="C273" s="491"/>
      <c r="D273" s="491"/>
      <c r="E273" s="491"/>
      <c r="F273" s="491"/>
      <c r="G273" s="491"/>
      <c r="H273" s="491"/>
      <c r="I273" s="491"/>
      <c r="J273" s="491"/>
      <c r="K273" s="491"/>
      <c r="L273" s="491"/>
      <c r="M273" s="491"/>
      <c r="N273" s="491"/>
      <c r="O273" s="491"/>
      <c r="P273" s="491"/>
      <c r="Q273" s="491"/>
      <c r="R273" s="491"/>
      <c r="S273" s="491"/>
      <c r="T273" s="491"/>
      <c r="U273" s="491"/>
      <c r="V273" s="491"/>
    </row>
    <row r="274" spans="1:22" s="490" customFormat="1" x14ac:dyDescent="0.2">
      <c r="A274" s="494"/>
      <c r="B274" s="491"/>
      <c r="C274" s="491"/>
      <c r="D274" s="491"/>
      <c r="E274" s="491"/>
      <c r="F274" s="491"/>
      <c r="G274" s="491"/>
      <c r="H274" s="491"/>
      <c r="I274" s="491"/>
      <c r="J274" s="491"/>
      <c r="K274" s="491"/>
      <c r="L274" s="491"/>
      <c r="M274" s="491"/>
      <c r="N274" s="491"/>
      <c r="O274" s="491"/>
      <c r="P274" s="491"/>
      <c r="Q274" s="491"/>
      <c r="R274" s="491"/>
      <c r="S274" s="491"/>
      <c r="T274" s="491"/>
      <c r="U274" s="491"/>
      <c r="V274" s="491"/>
    </row>
    <row r="275" spans="1:22" s="490" customFormat="1" x14ac:dyDescent="0.2">
      <c r="A275" s="494"/>
      <c r="B275" s="491"/>
      <c r="C275" s="491"/>
      <c r="D275" s="491"/>
      <c r="E275" s="491"/>
      <c r="F275" s="491"/>
      <c r="G275" s="491"/>
      <c r="H275" s="491"/>
      <c r="I275" s="491"/>
      <c r="J275" s="491"/>
      <c r="K275" s="491"/>
      <c r="L275" s="491"/>
      <c r="M275" s="491"/>
      <c r="N275" s="491"/>
      <c r="O275" s="491"/>
      <c r="P275" s="491"/>
      <c r="Q275" s="491"/>
      <c r="R275" s="491"/>
      <c r="S275" s="491"/>
      <c r="T275" s="491"/>
      <c r="U275" s="491"/>
      <c r="V275" s="491"/>
    </row>
    <row r="276" spans="1:22" s="490" customFormat="1" x14ac:dyDescent="0.2">
      <c r="A276" s="494"/>
      <c r="B276" s="491"/>
      <c r="C276" s="491"/>
      <c r="D276" s="491"/>
      <c r="E276" s="491"/>
      <c r="F276" s="491"/>
      <c r="G276" s="491"/>
      <c r="H276" s="491"/>
      <c r="I276" s="491"/>
      <c r="J276" s="491"/>
      <c r="K276" s="491"/>
      <c r="L276" s="491"/>
      <c r="M276" s="491"/>
      <c r="N276" s="491"/>
      <c r="O276" s="491"/>
      <c r="P276" s="491"/>
      <c r="Q276" s="491"/>
      <c r="R276" s="491"/>
      <c r="S276" s="491"/>
      <c r="T276" s="491"/>
      <c r="U276" s="491"/>
      <c r="V276" s="491"/>
    </row>
    <row r="277" spans="1:22" s="490" customFormat="1" x14ac:dyDescent="0.2">
      <c r="A277" s="494"/>
      <c r="B277" s="491"/>
      <c r="C277" s="491"/>
      <c r="D277" s="491"/>
      <c r="E277" s="491"/>
      <c r="F277" s="491"/>
      <c r="G277" s="491"/>
      <c r="H277" s="491"/>
      <c r="I277" s="491"/>
      <c r="J277" s="491"/>
      <c r="K277" s="491"/>
      <c r="L277" s="491"/>
      <c r="M277" s="491"/>
      <c r="N277" s="491"/>
      <c r="O277" s="491"/>
      <c r="P277" s="491"/>
      <c r="Q277" s="491"/>
      <c r="R277" s="491"/>
      <c r="S277" s="491"/>
      <c r="T277" s="491"/>
      <c r="U277" s="491"/>
      <c r="V277" s="491"/>
    </row>
    <row r="278" spans="1:22" s="490" customFormat="1" x14ac:dyDescent="0.2">
      <c r="A278" s="494"/>
      <c r="B278" s="491"/>
      <c r="C278" s="491"/>
      <c r="D278" s="491"/>
      <c r="E278" s="491"/>
      <c r="F278" s="491"/>
      <c r="G278" s="491"/>
      <c r="H278" s="491"/>
      <c r="I278" s="491"/>
      <c r="J278" s="491"/>
      <c r="K278" s="491"/>
      <c r="L278" s="491"/>
      <c r="M278" s="491"/>
      <c r="N278" s="491"/>
      <c r="O278" s="491"/>
      <c r="P278" s="491"/>
      <c r="Q278" s="491"/>
      <c r="R278" s="491"/>
      <c r="S278" s="491"/>
      <c r="T278" s="491"/>
      <c r="U278" s="491"/>
      <c r="V278" s="491"/>
    </row>
    <row r="279" spans="1:22" s="490" customFormat="1" x14ac:dyDescent="0.2">
      <c r="A279" s="494"/>
      <c r="B279" s="491"/>
      <c r="C279" s="491"/>
      <c r="D279" s="491"/>
      <c r="E279" s="491"/>
      <c r="F279" s="491"/>
      <c r="G279" s="491"/>
      <c r="H279" s="491"/>
      <c r="I279" s="491"/>
      <c r="J279" s="491"/>
      <c r="K279" s="491"/>
      <c r="L279" s="491"/>
      <c r="M279" s="491"/>
      <c r="N279" s="491"/>
      <c r="O279" s="491"/>
      <c r="P279" s="491"/>
      <c r="Q279" s="491"/>
      <c r="R279" s="491"/>
      <c r="S279" s="491"/>
      <c r="T279" s="491"/>
      <c r="U279" s="491"/>
      <c r="V279" s="491"/>
    </row>
    <row r="280" spans="1:22" s="490" customFormat="1" x14ac:dyDescent="0.2">
      <c r="A280" s="494"/>
      <c r="B280" s="491"/>
      <c r="C280" s="491"/>
      <c r="D280" s="491"/>
      <c r="E280" s="491"/>
      <c r="F280" s="491"/>
      <c r="G280" s="491"/>
      <c r="H280" s="491"/>
      <c r="I280" s="491"/>
      <c r="J280" s="491"/>
      <c r="K280" s="491"/>
      <c r="L280" s="491"/>
      <c r="M280" s="491"/>
      <c r="N280" s="491"/>
      <c r="O280" s="491"/>
      <c r="P280" s="491"/>
      <c r="Q280" s="491"/>
      <c r="R280" s="491"/>
      <c r="S280" s="491"/>
      <c r="T280" s="491"/>
      <c r="U280" s="491"/>
      <c r="V280" s="491"/>
    </row>
    <row r="281" spans="1:22" s="490" customFormat="1" x14ac:dyDescent="0.2">
      <c r="A281" s="494"/>
      <c r="B281" s="491"/>
      <c r="C281" s="491"/>
      <c r="D281" s="491"/>
      <c r="E281" s="491"/>
      <c r="F281" s="491"/>
      <c r="G281" s="491"/>
      <c r="H281" s="491"/>
      <c r="I281" s="491"/>
      <c r="J281" s="491"/>
      <c r="K281" s="491"/>
      <c r="L281" s="491"/>
      <c r="M281" s="491"/>
      <c r="N281" s="491"/>
      <c r="O281" s="491"/>
      <c r="P281" s="491"/>
      <c r="Q281" s="491"/>
      <c r="R281" s="491"/>
      <c r="S281" s="491"/>
      <c r="T281" s="491"/>
      <c r="U281" s="491"/>
      <c r="V281" s="491"/>
    </row>
    <row r="282" spans="1:22" s="490" customFormat="1" x14ac:dyDescent="0.2">
      <c r="A282" s="494"/>
      <c r="B282" s="491"/>
      <c r="C282" s="491"/>
      <c r="D282" s="491"/>
      <c r="E282" s="491"/>
      <c r="F282" s="491"/>
      <c r="G282" s="491"/>
      <c r="H282" s="491"/>
      <c r="I282" s="491"/>
      <c r="J282" s="491"/>
      <c r="K282" s="491"/>
      <c r="L282" s="491"/>
      <c r="M282" s="491"/>
      <c r="N282" s="491"/>
      <c r="O282" s="491"/>
      <c r="P282" s="491"/>
      <c r="Q282" s="491"/>
      <c r="R282" s="491"/>
      <c r="S282" s="491"/>
      <c r="T282" s="491"/>
      <c r="U282" s="491"/>
      <c r="V282" s="491"/>
    </row>
    <row r="283" spans="1:22" s="490" customFormat="1" x14ac:dyDescent="0.2">
      <c r="A283" s="494"/>
      <c r="B283" s="491"/>
      <c r="C283" s="491"/>
      <c r="D283" s="491"/>
      <c r="E283" s="491"/>
      <c r="F283" s="491"/>
      <c r="G283" s="491"/>
      <c r="H283" s="491"/>
      <c r="I283" s="491"/>
      <c r="J283" s="491"/>
      <c r="K283" s="491"/>
      <c r="L283" s="491"/>
      <c r="M283" s="491"/>
      <c r="N283" s="491"/>
      <c r="O283" s="491"/>
      <c r="P283" s="491"/>
      <c r="Q283" s="491"/>
      <c r="R283" s="491"/>
      <c r="S283" s="491"/>
      <c r="T283" s="491"/>
      <c r="U283" s="491"/>
      <c r="V283" s="491"/>
    </row>
    <row r="284" spans="1:22" s="490" customFormat="1" x14ac:dyDescent="0.2">
      <c r="A284" s="494"/>
      <c r="B284" s="491"/>
      <c r="C284" s="491"/>
      <c r="D284" s="491"/>
      <c r="E284" s="491"/>
      <c r="F284" s="491"/>
      <c r="G284" s="491"/>
      <c r="H284" s="491"/>
      <c r="I284" s="491"/>
      <c r="J284" s="491"/>
      <c r="K284" s="491"/>
      <c r="L284" s="491"/>
      <c r="M284" s="491"/>
      <c r="N284" s="491"/>
      <c r="O284" s="491"/>
      <c r="P284" s="491"/>
      <c r="Q284" s="491"/>
      <c r="R284" s="491"/>
      <c r="S284" s="491"/>
      <c r="T284" s="491"/>
      <c r="U284" s="491"/>
      <c r="V284" s="491"/>
    </row>
    <row r="285" spans="1:22" s="490" customFormat="1" x14ac:dyDescent="0.2">
      <c r="A285" s="494"/>
      <c r="B285" s="491"/>
      <c r="C285" s="491"/>
      <c r="D285" s="491"/>
      <c r="E285" s="491"/>
      <c r="F285" s="491"/>
      <c r="G285" s="491"/>
      <c r="H285" s="491"/>
      <c r="I285" s="491"/>
      <c r="J285" s="491"/>
      <c r="K285" s="491"/>
      <c r="L285" s="491"/>
      <c r="M285" s="491"/>
      <c r="N285" s="491"/>
      <c r="O285" s="491"/>
      <c r="P285" s="491"/>
      <c r="Q285" s="491"/>
      <c r="R285" s="491"/>
      <c r="S285" s="491"/>
      <c r="T285" s="491"/>
      <c r="U285" s="491"/>
      <c r="V285" s="491"/>
    </row>
    <row r="286" spans="1:22" s="490" customFormat="1" x14ac:dyDescent="0.2">
      <c r="A286" s="494"/>
      <c r="B286" s="491"/>
      <c r="C286" s="491"/>
      <c r="D286" s="491"/>
      <c r="E286" s="491"/>
      <c r="F286" s="491"/>
      <c r="G286" s="491"/>
      <c r="H286" s="491"/>
      <c r="I286" s="491"/>
      <c r="J286" s="491"/>
      <c r="K286" s="491"/>
      <c r="L286" s="491"/>
      <c r="M286" s="491"/>
      <c r="N286" s="491"/>
      <c r="O286" s="491"/>
      <c r="P286" s="491"/>
      <c r="Q286" s="491"/>
      <c r="R286" s="491"/>
      <c r="S286" s="491"/>
      <c r="T286" s="491"/>
      <c r="U286" s="491"/>
      <c r="V286" s="491"/>
    </row>
    <row r="287" spans="1:22" s="490" customFormat="1" x14ac:dyDescent="0.2">
      <c r="A287" s="494"/>
      <c r="B287" s="491"/>
      <c r="C287" s="491"/>
      <c r="D287" s="491"/>
      <c r="E287" s="491"/>
      <c r="F287" s="491"/>
      <c r="G287" s="491"/>
      <c r="H287" s="491"/>
      <c r="I287" s="491"/>
      <c r="J287" s="491"/>
      <c r="K287" s="491"/>
      <c r="L287" s="491"/>
      <c r="M287" s="491"/>
      <c r="N287" s="491"/>
      <c r="O287" s="491"/>
      <c r="P287" s="491"/>
      <c r="Q287" s="491"/>
      <c r="R287" s="491"/>
      <c r="S287" s="491"/>
      <c r="T287" s="491"/>
      <c r="U287" s="491"/>
      <c r="V287" s="491"/>
    </row>
    <row r="288" spans="1:22" s="490" customFormat="1" x14ac:dyDescent="0.2">
      <c r="A288" s="494"/>
      <c r="B288" s="491"/>
      <c r="C288" s="491"/>
      <c r="D288" s="491"/>
      <c r="E288" s="491"/>
      <c r="F288" s="491"/>
      <c r="G288" s="491"/>
      <c r="H288" s="491"/>
      <c r="I288" s="491"/>
      <c r="J288" s="491"/>
      <c r="K288" s="491"/>
      <c r="L288" s="491"/>
      <c r="M288" s="491"/>
      <c r="N288" s="491"/>
      <c r="O288" s="491"/>
      <c r="P288" s="491"/>
      <c r="Q288" s="491"/>
      <c r="R288" s="491"/>
      <c r="S288" s="491"/>
      <c r="T288" s="491"/>
      <c r="U288" s="491"/>
      <c r="V288" s="491"/>
    </row>
    <row r="289" spans="1:22" s="490" customFormat="1" x14ac:dyDescent="0.2">
      <c r="A289" s="494"/>
      <c r="B289" s="491"/>
      <c r="C289" s="491"/>
      <c r="D289" s="491"/>
      <c r="E289" s="491"/>
      <c r="F289" s="491"/>
      <c r="G289" s="491"/>
      <c r="H289" s="491"/>
      <c r="I289" s="491"/>
      <c r="J289" s="491"/>
      <c r="K289" s="491"/>
      <c r="L289" s="491"/>
      <c r="M289" s="491"/>
      <c r="N289" s="491"/>
      <c r="O289" s="491"/>
      <c r="P289" s="491"/>
      <c r="Q289" s="491"/>
      <c r="R289" s="491"/>
      <c r="S289" s="491"/>
      <c r="T289" s="491"/>
      <c r="U289" s="491"/>
      <c r="V289" s="491"/>
    </row>
    <row r="290" spans="1:22" s="490" customFormat="1" x14ac:dyDescent="0.2">
      <c r="A290" s="494"/>
      <c r="B290" s="491"/>
      <c r="C290" s="491"/>
      <c r="D290" s="491"/>
      <c r="E290" s="491"/>
      <c r="F290" s="491"/>
      <c r="G290" s="491"/>
      <c r="H290" s="491"/>
      <c r="I290" s="491"/>
      <c r="J290" s="491"/>
      <c r="K290" s="491"/>
      <c r="L290" s="491"/>
      <c r="M290" s="491"/>
      <c r="N290" s="491"/>
      <c r="O290" s="491"/>
      <c r="P290" s="491"/>
      <c r="Q290" s="491"/>
      <c r="R290" s="491"/>
      <c r="S290" s="491"/>
      <c r="T290" s="491"/>
      <c r="U290" s="491"/>
      <c r="V290" s="491"/>
    </row>
    <row r="291" spans="1:22" s="490" customFormat="1" x14ac:dyDescent="0.2">
      <c r="A291" s="494"/>
      <c r="B291" s="491"/>
      <c r="C291" s="491"/>
      <c r="D291" s="491"/>
      <c r="E291" s="491"/>
      <c r="F291" s="491"/>
      <c r="G291" s="491"/>
      <c r="H291" s="491"/>
      <c r="I291" s="491"/>
      <c r="J291" s="491"/>
      <c r="K291" s="491"/>
      <c r="L291" s="491"/>
      <c r="M291" s="491"/>
      <c r="N291" s="491"/>
      <c r="O291" s="491"/>
      <c r="P291" s="491"/>
      <c r="Q291" s="491"/>
      <c r="R291" s="491"/>
      <c r="S291" s="491"/>
      <c r="T291" s="491"/>
      <c r="U291" s="491"/>
      <c r="V291" s="491"/>
    </row>
    <row r="292" spans="1:22" s="490" customFormat="1" x14ac:dyDescent="0.2">
      <c r="A292" s="494"/>
      <c r="B292" s="491"/>
      <c r="C292" s="491"/>
      <c r="D292" s="491"/>
      <c r="E292" s="491"/>
      <c r="F292" s="491"/>
      <c r="G292" s="491"/>
      <c r="H292" s="491"/>
      <c r="I292" s="491"/>
      <c r="J292" s="491"/>
      <c r="K292" s="491"/>
      <c r="L292" s="491"/>
      <c r="M292" s="491"/>
      <c r="N292" s="491"/>
      <c r="O292" s="491"/>
      <c r="P292" s="491"/>
      <c r="Q292" s="491"/>
      <c r="R292" s="491"/>
      <c r="S292" s="491"/>
      <c r="T292" s="491"/>
      <c r="U292" s="491"/>
      <c r="V292" s="491"/>
    </row>
    <row r="293" spans="1:22" s="490" customFormat="1" x14ac:dyDescent="0.2">
      <c r="A293" s="494"/>
      <c r="B293" s="491"/>
      <c r="C293" s="491"/>
      <c r="D293" s="491"/>
      <c r="E293" s="491"/>
      <c r="F293" s="491"/>
      <c r="G293" s="491"/>
      <c r="H293" s="491"/>
      <c r="I293" s="491"/>
      <c r="J293" s="491"/>
      <c r="K293" s="491"/>
      <c r="L293" s="491"/>
      <c r="M293" s="491"/>
      <c r="N293" s="491"/>
      <c r="O293" s="491"/>
      <c r="P293" s="491"/>
      <c r="Q293" s="491"/>
      <c r="R293" s="491"/>
      <c r="S293" s="491"/>
      <c r="T293" s="491"/>
      <c r="U293" s="491"/>
      <c r="V293" s="491"/>
    </row>
    <row r="294" spans="1:22" s="490" customFormat="1" x14ac:dyDescent="0.2">
      <c r="A294" s="494"/>
      <c r="B294" s="491"/>
      <c r="C294" s="491"/>
      <c r="D294" s="491"/>
      <c r="E294" s="491"/>
      <c r="F294" s="491"/>
      <c r="G294" s="491"/>
      <c r="H294" s="491"/>
      <c r="I294" s="491"/>
      <c r="J294" s="491"/>
      <c r="K294" s="491"/>
      <c r="L294" s="491"/>
      <c r="M294" s="491"/>
      <c r="N294" s="491"/>
      <c r="O294" s="491"/>
      <c r="P294" s="491"/>
      <c r="Q294" s="491"/>
      <c r="R294" s="491"/>
      <c r="S294" s="491"/>
      <c r="T294" s="491"/>
      <c r="U294" s="491"/>
      <c r="V294" s="491"/>
    </row>
    <row r="295" spans="1:22" s="490" customFormat="1" x14ac:dyDescent="0.2">
      <c r="A295" s="494"/>
      <c r="B295" s="491"/>
      <c r="C295" s="491"/>
      <c r="D295" s="491"/>
      <c r="E295" s="491"/>
      <c r="F295" s="491"/>
      <c r="G295" s="491"/>
      <c r="H295" s="491"/>
      <c r="I295" s="491"/>
      <c r="J295" s="491"/>
      <c r="K295" s="491"/>
      <c r="L295" s="491"/>
      <c r="M295" s="491"/>
      <c r="N295" s="491"/>
      <c r="O295" s="491"/>
      <c r="P295" s="491"/>
      <c r="Q295" s="491"/>
      <c r="R295" s="491"/>
      <c r="S295" s="491"/>
      <c r="T295" s="491"/>
      <c r="U295" s="491"/>
      <c r="V295" s="491"/>
    </row>
    <row r="296" spans="1:22" s="490" customFormat="1" x14ac:dyDescent="0.2">
      <c r="A296" s="494"/>
      <c r="B296" s="491"/>
      <c r="C296" s="491"/>
      <c r="D296" s="491"/>
      <c r="E296" s="491"/>
      <c r="F296" s="491"/>
      <c r="G296" s="491"/>
      <c r="H296" s="491"/>
      <c r="I296" s="491"/>
      <c r="J296" s="491"/>
      <c r="K296" s="491"/>
      <c r="L296" s="491"/>
      <c r="M296" s="491"/>
      <c r="N296" s="491"/>
      <c r="O296" s="491"/>
      <c r="P296" s="491"/>
      <c r="Q296" s="491"/>
      <c r="R296" s="491"/>
      <c r="S296" s="491"/>
      <c r="T296" s="491"/>
      <c r="U296" s="491"/>
      <c r="V296" s="491"/>
    </row>
    <row r="297" spans="1:22" s="490" customFormat="1" x14ac:dyDescent="0.2">
      <c r="A297" s="494"/>
      <c r="B297" s="491"/>
      <c r="C297" s="491"/>
      <c r="D297" s="491"/>
      <c r="E297" s="491"/>
      <c r="F297" s="491"/>
      <c r="G297" s="491"/>
      <c r="H297" s="491"/>
      <c r="I297" s="491"/>
      <c r="J297" s="491"/>
      <c r="K297" s="491"/>
      <c r="L297" s="491"/>
      <c r="M297" s="491"/>
      <c r="N297" s="491"/>
      <c r="O297" s="491"/>
      <c r="P297" s="491"/>
      <c r="Q297" s="491"/>
      <c r="R297" s="491"/>
      <c r="S297" s="491"/>
      <c r="T297" s="491"/>
      <c r="U297" s="491"/>
      <c r="V297" s="491"/>
    </row>
    <row r="298" spans="1:22" s="490" customFormat="1" x14ac:dyDescent="0.2">
      <c r="A298" s="494"/>
      <c r="B298" s="491"/>
      <c r="C298" s="491"/>
      <c r="D298" s="491"/>
      <c r="E298" s="491"/>
      <c r="F298" s="491"/>
      <c r="G298" s="491"/>
      <c r="H298" s="491"/>
      <c r="I298" s="491"/>
      <c r="J298" s="491"/>
      <c r="K298" s="491"/>
      <c r="L298" s="491"/>
      <c r="M298" s="491"/>
      <c r="N298" s="491"/>
      <c r="O298" s="491"/>
      <c r="P298" s="491"/>
      <c r="Q298" s="491"/>
      <c r="R298" s="491"/>
      <c r="S298" s="491"/>
      <c r="T298" s="491"/>
      <c r="U298" s="491"/>
      <c r="V298" s="491"/>
    </row>
    <row r="299" spans="1:22" s="490" customFormat="1" x14ac:dyDescent="0.2">
      <c r="A299" s="494"/>
      <c r="B299" s="491"/>
      <c r="C299" s="491"/>
      <c r="D299" s="491"/>
      <c r="E299" s="491"/>
      <c r="F299" s="491"/>
      <c r="G299" s="491"/>
      <c r="H299" s="491"/>
      <c r="I299" s="491"/>
      <c r="J299" s="491"/>
      <c r="K299" s="491"/>
      <c r="L299" s="491"/>
      <c r="M299" s="491"/>
      <c r="N299" s="491"/>
      <c r="O299" s="491"/>
      <c r="P299" s="491"/>
      <c r="Q299" s="491"/>
      <c r="R299" s="491"/>
      <c r="S299" s="491"/>
      <c r="T299" s="491"/>
      <c r="U299" s="491"/>
      <c r="V299" s="491"/>
    </row>
    <row r="300" spans="1:22" s="490" customFormat="1" x14ac:dyDescent="0.2">
      <c r="A300" s="494"/>
      <c r="B300" s="491"/>
      <c r="C300" s="491"/>
      <c r="D300" s="491"/>
      <c r="E300" s="491"/>
      <c r="F300" s="491"/>
      <c r="G300" s="491"/>
      <c r="H300" s="491"/>
      <c r="I300" s="491"/>
      <c r="J300" s="491"/>
      <c r="K300" s="491"/>
      <c r="L300" s="491"/>
      <c r="M300" s="491"/>
      <c r="N300" s="491"/>
      <c r="O300" s="491"/>
      <c r="P300" s="491"/>
      <c r="Q300" s="491"/>
      <c r="R300" s="491"/>
      <c r="S300" s="491"/>
      <c r="T300" s="491"/>
      <c r="U300" s="491"/>
      <c r="V300" s="491"/>
    </row>
    <row r="301" spans="1:22" s="490" customFormat="1" x14ac:dyDescent="0.2">
      <c r="A301" s="494"/>
      <c r="B301" s="491"/>
      <c r="C301" s="491"/>
      <c r="D301" s="491"/>
      <c r="E301" s="491"/>
      <c r="F301" s="491"/>
      <c r="G301" s="491"/>
      <c r="H301" s="491"/>
      <c r="I301" s="491"/>
      <c r="J301" s="491"/>
      <c r="K301" s="491"/>
      <c r="L301" s="491"/>
      <c r="M301" s="491"/>
      <c r="N301" s="491"/>
      <c r="O301" s="491"/>
      <c r="P301" s="491"/>
      <c r="Q301" s="491"/>
      <c r="R301" s="491"/>
      <c r="S301" s="491"/>
      <c r="T301" s="491"/>
      <c r="U301" s="491"/>
      <c r="V301" s="491"/>
    </row>
    <row r="302" spans="1:22" s="490" customFormat="1" x14ac:dyDescent="0.2">
      <c r="A302" s="494"/>
      <c r="B302" s="491"/>
      <c r="C302" s="491"/>
      <c r="D302" s="491"/>
      <c r="E302" s="491"/>
      <c r="F302" s="491"/>
      <c r="G302" s="491"/>
      <c r="H302" s="491"/>
      <c r="I302" s="491"/>
      <c r="J302" s="491"/>
      <c r="K302" s="491"/>
      <c r="L302" s="491"/>
      <c r="M302" s="491"/>
      <c r="N302" s="491"/>
      <c r="O302" s="491"/>
      <c r="P302" s="491"/>
      <c r="Q302" s="491"/>
      <c r="R302" s="491"/>
      <c r="S302" s="491"/>
      <c r="T302" s="491"/>
      <c r="U302" s="491"/>
      <c r="V302" s="491"/>
    </row>
    <row r="303" spans="1:22" s="490" customFormat="1" x14ac:dyDescent="0.2">
      <c r="A303" s="494"/>
      <c r="B303" s="491"/>
      <c r="C303" s="491"/>
      <c r="D303" s="491"/>
      <c r="E303" s="491"/>
      <c r="F303" s="491"/>
      <c r="G303" s="491"/>
      <c r="H303" s="491"/>
      <c r="I303" s="491"/>
      <c r="J303" s="491"/>
      <c r="K303" s="491"/>
      <c r="L303" s="491"/>
      <c r="M303" s="491"/>
      <c r="N303" s="491"/>
      <c r="O303" s="491"/>
      <c r="P303" s="491"/>
      <c r="Q303" s="491"/>
      <c r="R303" s="491"/>
      <c r="S303" s="491"/>
      <c r="T303" s="491"/>
      <c r="U303" s="491"/>
      <c r="V303" s="491"/>
    </row>
    <row r="304" spans="1:22" s="490" customFormat="1" x14ac:dyDescent="0.2">
      <c r="A304" s="494"/>
      <c r="B304" s="491"/>
      <c r="C304" s="491"/>
      <c r="D304" s="491"/>
      <c r="E304" s="491"/>
      <c r="F304" s="491"/>
      <c r="G304" s="491"/>
      <c r="H304" s="491"/>
      <c r="I304" s="491"/>
      <c r="J304" s="491"/>
      <c r="K304" s="491"/>
      <c r="L304" s="491"/>
      <c r="M304" s="491"/>
      <c r="N304" s="491"/>
      <c r="O304" s="491"/>
      <c r="P304" s="491"/>
      <c r="Q304" s="491"/>
      <c r="R304" s="491"/>
      <c r="S304" s="491"/>
      <c r="T304" s="491"/>
      <c r="U304" s="491"/>
      <c r="V304" s="491"/>
    </row>
    <row r="305" spans="1:22" s="490" customFormat="1" x14ac:dyDescent="0.2">
      <c r="A305" s="494"/>
      <c r="B305" s="491"/>
      <c r="C305" s="491"/>
      <c r="D305" s="491"/>
      <c r="E305" s="491"/>
      <c r="F305" s="491"/>
      <c r="G305" s="491"/>
      <c r="H305" s="491"/>
      <c r="I305" s="491"/>
      <c r="J305" s="491"/>
      <c r="K305" s="491"/>
      <c r="L305" s="491"/>
      <c r="M305" s="491"/>
      <c r="N305" s="491"/>
      <c r="O305" s="491"/>
      <c r="P305" s="491"/>
      <c r="Q305" s="491"/>
      <c r="R305" s="491"/>
      <c r="S305" s="491"/>
      <c r="T305" s="491"/>
      <c r="U305" s="491"/>
      <c r="V305" s="491"/>
    </row>
    <row r="306" spans="1:22" s="490" customFormat="1" x14ac:dyDescent="0.2">
      <c r="A306" s="494"/>
      <c r="B306" s="491"/>
      <c r="C306" s="491"/>
      <c r="D306" s="491"/>
      <c r="E306" s="491"/>
      <c r="F306" s="491"/>
      <c r="G306" s="491"/>
      <c r="H306" s="491"/>
      <c r="I306" s="491"/>
      <c r="J306" s="491"/>
      <c r="K306" s="491"/>
      <c r="L306" s="491"/>
      <c r="M306" s="491"/>
      <c r="N306" s="491"/>
      <c r="O306" s="491"/>
      <c r="P306" s="491"/>
      <c r="Q306" s="491"/>
      <c r="R306" s="491"/>
      <c r="S306" s="491"/>
      <c r="T306" s="491"/>
      <c r="U306" s="491"/>
      <c r="V306" s="491"/>
    </row>
    <row r="307" spans="1:22" s="490" customFormat="1" x14ac:dyDescent="0.2">
      <c r="A307" s="494"/>
      <c r="B307" s="491"/>
      <c r="C307" s="491"/>
      <c r="D307" s="491"/>
      <c r="E307" s="491"/>
      <c r="F307" s="491"/>
      <c r="G307" s="491"/>
      <c r="H307" s="491"/>
      <c r="I307" s="491"/>
      <c r="J307" s="491"/>
      <c r="K307" s="491"/>
      <c r="L307" s="491"/>
      <c r="M307" s="491"/>
      <c r="N307" s="491"/>
      <c r="O307" s="491"/>
      <c r="P307" s="491"/>
      <c r="Q307" s="491"/>
      <c r="R307" s="491"/>
      <c r="S307" s="491"/>
      <c r="T307" s="491"/>
      <c r="U307" s="491"/>
      <c r="V307" s="491"/>
    </row>
    <row r="308" spans="1:22" s="490" customFormat="1" x14ac:dyDescent="0.2">
      <c r="A308" s="494"/>
      <c r="B308" s="491"/>
      <c r="C308" s="491"/>
      <c r="D308" s="491"/>
      <c r="E308" s="491"/>
      <c r="F308" s="491"/>
      <c r="G308" s="491"/>
      <c r="H308" s="491"/>
      <c r="I308" s="491"/>
      <c r="J308" s="491"/>
      <c r="K308" s="491"/>
      <c r="L308" s="491"/>
      <c r="M308" s="491"/>
      <c r="N308" s="491"/>
      <c r="O308" s="491"/>
      <c r="P308" s="491"/>
      <c r="Q308" s="491"/>
      <c r="R308" s="491"/>
      <c r="S308" s="491"/>
      <c r="T308" s="491"/>
      <c r="U308" s="491"/>
      <c r="V308" s="491"/>
    </row>
    <row r="309" spans="1:22" s="490" customFormat="1" x14ac:dyDescent="0.2">
      <c r="A309" s="494"/>
      <c r="B309" s="491"/>
      <c r="C309" s="491"/>
      <c r="D309" s="491"/>
      <c r="E309" s="491"/>
      <c r="F309" s="491"/>
      <c r="G309" s="491"/>
      <c r="H309" s="491"/>
      <c r="I309" s="491"/>
      <c r="J309" s="491"/>
      <c r="K309" s="491"/>
      <c r="L309" s="491"/>
      <c r="M309" s="491"/>
      <c r="N309" s="491"/>
      <c r="O309" s="491"/>
      <c r="P309" s="491"/>
      <c r="Q309" s="491"/>
      <c r="R309" s="491"/>
      <c r="S309" s="491"/>
      <c r="T309" s="491"/>
      <c r="U309" s="491"/>
      <c r="V309" s="491"/>
    </row>
    <row r="310" spans="1:22" s="490" customFormat="1" x14ac:dyDescent="0.2">
      <c r="A310" s="494"/>
      <c r="B310" s="491"/>
      <c r="C310" s="491"/>
      <c r="D310" s="491"/>
      <c r="E310" s="491"/>
      <c r="F310" s="491"/>
      <c r="G310" s="491"/>
      <c r="H310" s="491"/>
      <c r="I310" s="491"/>
      <c r="J310" s="491"/>
      <c r="K310" s="491"/>
      <c r="L310" s="491"/>
      <c r="M310" s="491"/>
      <c r="N310" s="491"/>
      <c r="O310" s="491"/>
      <c r="P310" s="491"/>
      <c r="Q310" s="491"/>
      <c r="R310" s="491"/>
      <c r="S310" s="491"/>
      <c r="T310" s="491"/>
      <c r="U310" s="491"/>
      <c r="V310" s="491"/>
    </row>
    <row r="311" spans="1:22" s="490" customFormat="1" x14ac:dyDescent="0.2">
      <c r="A311" s="494"/>
      <c r="B311" s="491"/>
      <c r="C311" s="491"/>
      <c r="D311" s="491"/>
      <c r="E311" s="491"/>
      <c r="F311" s="491"/>
      <c r="G311" s="491"/>
      <c r="H311" s="491"/>
      <c r="I311" s="491"/>
      <c r="J311" s="491"/>
      <c r="K311" s="491"/>
      <c r="L311" s="491"/>
      <c r="M311" s="491"/>
      <c r="N311" s="491"/>
      <c r="O311" s="491"/>
      <c r="P311" s="491"/>
      <c r="Q311" s="491"/>
      <c r="R311" s="491"/>
      <c r="S311" s="491"/>
      <c r="T311" s="491"/>
      <c r="U311" s="491"/>
      <c r="V311" s="491"/>
    </row>
    <row r="312" spans="1:22" s="490" customFormat="1" x14ac:dyDescent="0.2">
      <c r="A312" s="494"/>
      <c r="B312" s="491"/>
      <c r="C312" s="491"/>
      <c r="D312" s="491"/>
      <c r="E312" s="491"/>
      <c r="F312" s="491"/>
      <c r="G312" s="491"/>
      <c r="H312" s="491"/>
      <c r="I312" s="491"/>
      <c r="J312" s="491"/>
      <c r="K312" s="491"/>
      <c r="L312" s="491"/>
      <c r="M312" s="491"/>
      <c r="N312" s="491"/>
      <c r="O312" s="491"/>
      <c r="P312" s="491"/>
      <c r="Q312" s="491"/>
      <c r="R312" s="491"/>
      <c r="S312" s="491"/>
      <c r="T312" s="491"/>
      <c r="U312" s="491"/>
      <c r="V312" s="491"/>
    </row>
    <row r="313" spans="1:22" s="490" customFormat="1" x14ac:dyDescent="0.2">
      <c r="A313" s="494"/>
      <c r="B313" s="491"/>
      <c r="C313" s="491"/>
      <c r="D313" s="491"/>
      <c r="E313" s="491"/>
      <c r="F313" s="491"/>
      <c r="G313" s="491"/>
      <c r="H313" s="491"/>
      <c r="I313" s="491"/>
      <c r="J313" s="491"/>
      <c r="K313" s="491"/>
      <c r="L313" s="491"/>
      <c r="M313" s="491"/>
      <c r="N313" s="491"/>
      <c r="O313" s="491"/>
      <c r="P313" s="491"/>
      <c r="Q313" s="491"/>
      <c r="R313" s="491"/>
      <c r="S313" s="491"/>
      <c r="T313" s="491"/>
      <c r="U313" s="491"/>
      <c r="V313" s="491"/>
    </row>
    <row r="314" spans="1:22" s="490" customFormat="1" x14ac:dyDescent="0.2">
      <c r="A314" s="494"/>
      <c r="B314" s="491"/>
      <c r="C314" s="491"/>
      <c r="D314" s="491"/>
      <c r="E314" s="491"/>
      <c r="F314" s="491"/>
      <c r="G314" s="491"/>
      <c r="H314" s="491"/>
      <c r="I314" s="491"/>
      <c r="J314" s="491"/>
      <c r="K314" s="491"/>
      <c r="L314" s="491"/>
      <c r="M314" s="491"/>
      <c r="N314" s="491"/>
      <c r="O314" s="491"/>
      <c r="P314" s="491"/>
      <c r="Q314" s="491"/>
      <c r="R314" s="491"/>
      <c r="S314" s="491"/>
      <c r="T314" s="491"/>
      <c r="U314" s="491"/>
      <c r="V314" s="491"/>
    </row>
    <row r="315" spans="1:22" s="490" customFormat="1" x14ac:dyDescent="0.2">
      <c r="A315" s="494"/>
      <c r="B315" s="491"/>
      <c r="C315" s="491"/>
      <c r="D315" s="491"/>
      <c r="E315" s="491"/>
      <c r="F315" s="491"/>
      <c r="G315" s="491"/>
      <c r="H315" s="491"/>
      <c r="I315" s="491"/>
      <c r="J315" s="491"/>
      <c r="K315" s="491"/>
      <c r="L315" s="491"/>
      <c r="M315" s="491"/>
      <c r="N315" s="491"/>
      <c r="O315" s="491"/>
      <c r="P315" s="491"/>
      <c r="Q315" s="491"/>
      <c r="R315" s="491"/>
      <c r="S315" s="491"/>
      <c r="T315" s="491"/>
      <c r="U315" s="491"/>
      <c r="V315" s="491"/>
    </row>
    <row r="316" spans="1:22" s="490" customFormat="1" x14ac:dyDescent="0.2">
      <c r="A316" s="494"/>
      <c r="B316" s="491"/>
      <c r="C316" s="491"/>
      <c r="D316" s="491"/>
      <c r="E316" s="491"/>
      <c r="F316" s="491"/>
      <c r="G316" s="491"/>
      <c r="H316" s="491"/>
      <c r="I316" s="491"/>
      <c r="J316" s="491"/>
      <c r="K316" s="491"/>
      <c r="L316" s="491"/>
      <c r="M316" s="491"/>
      <c r="N316" s="491"/>
      <c r="O316" s="491"/>
      <c r="P316" s="491"/>
      <c r="Q316" s="491"/>
      <c r="R316" s="491"/>
      <c r="S316" s="491"/>
      <c r="T316" s="491"/>
      <c r="U316" s="491"/>
      <c r="V316" s="491"/>
    </row>
    <row r="317" spans="1:22" s="490" customFormat="1" x14ac:dyDescent="0.2">
      <c r="A317" s="494"/>
      <c r="B317" s="491"/>
      <c r="C317" s="491"/>
      <c r="D317" s="491"/>
      <c r="E317" s="491"/>
      <c r="F317" s="491"/>
      <c r="G317" s="491"/>
      <c r="H317" s="491"/>
      <c r="I317" s="491"/>
      <c r="J317" s="491"/>
      <c r="K317" s="491"/>
      <c r="L317" s="491"/>
      <c r="M317" s="491"/>
      <c r="N317" s="491"/>
      <c r="O317" s="491"/>
      <c r="P317" s="491"/>
      <c r="Q317" s="491"/>
      <c r="R317" s="491"/>
      <c r="S317" s="491"/>
      <c r="T317" s="491"/>
      <c r="U317" s="491"/>
      <c r="V317" s="491"/>
    </row>
    <row r="318" spans="1:22" s="490" customFormat="1" x14ac:dyDescent="0.2">
      <c r="A318" s="494"/>
      <c r="B318" s="491"/>
      <c r="C318" s="491"/>
      <c r="D318" s="491"/>
      <c r="E318" s="491"/>
      <c r="F318" s="491"/>
      <c r="G318" s="491"/>
      <c r="H318" s="491"/>
      <c r="I318" s="491"/>
      <c r="J318" s="491"/>
      <c r="K318" s="491"/>
      <c r="L318" s="491"/>
      <c r="M318" s="491"/>
      <c r="N318" s="491"/>
      <c r="O318" s="491"/>
      <c r="P318" s="491"/>
      <c r="Q318" s="491"/>
      <c r="R318" s="491"/>
      <c r="S318" s="491"/>
      <c r="T318" s="491"/>
      <c r="U318" s="491"/>
      <c r="V318" s="491"/>
    </row>
    <row r="319" spans="1:22" s="490" customFormat="1" x14ac:dyDescent="0.2">
      <c r="A319" s="494"/>
      <c r="B319" s="491"/>
      <c r="C319" s="491"/>
      <c r="D319" s="491"/>
      <c r="E319" s="491"/>
      <c r="F319" s="491"/>
      <c r="G319" s="491"/>
      <c r="H319" s="491"/>
      <c r="I319" s="491"/>
      <c r="J319" s="491"/>
      <c r="K319" s="491"/>
      <c r="L319" s="491"/>
      <c r="M319" s="491"/>
      <c r="N319" s="491"/>
      <c r="O319" s="491"/>
      <c r="P319" s="491"/>
      <c r="Q319" s="491"/>
      <c r="R319" s="491"/>
      <c r="S319" s="491"/>
      <c r="T319" s="491"/>
      <c r="U319" s="491"/>
      <c r="V319" s="491"/>
    </row>
    <row r="320" spans="1:22" s="490" customFormat="1" x14ac:dyDescent="0.2">
      <c r="A320" s="494"/>
      <c r="B320" s="491"/>
      <c r="C320" s="491"/>
      <c r="D320" s="491"/>
      <c r="E320" s="491"/>
      <c r="F320" s="491"/>
      <c r="G320" s="491"/>
      <c r="H320" s="491"/>
      <c r="I320" s="491"/>
      <c r="J320" s="491"/>
      <c r="K320" s="491"/>
      <c r="L320" s="491"/>
      <c r="M320" s="491"/>
      <c r="N320" s="491"/>
      <c r="O320" s="491"/>
      <c r="P320" s="491"/>
      <c r="Q320" s="491"/>
      <c r="R320" s="491"/>
      <c r="S320" s="491"/>
      <c r="T320" s="491"/>
      <c r="U320" s="491"/>
      <c r="V320" s="491"/>
    </row>
    <row r="321" spans="1:22" s="490" customFormat="1" x14ac:dyDescent="0.2">
      <c r="A321" s="494"/>
      <c r="B321" s="491"/>
      <c r="C321" s="491"/>
      <c r="D321" s="491"/>
      <c r="E321" s="491"/>
      <c r="F321" s="491"/>
      <c r="G321" s="491"/>
      <c r="H321" s="491"/>
      <c r="I321" s="491"/>
      <c r="J321" s="491"/>
      <c r="K321" s="491"/>
      <c r="L321" s="491"/>
      <c r="M321" s="491"/>
      <c r="N321" s="491"/>
      <c r="O321" s="491"/>
      <c r="P321" s="491"/>
      <c r="Q321" s="491"/>
      <c r="R321" s="491"/>
      <c r="S321" s="491"/>
      <c r="T321" s="491"/>
      <c r="U321" s="491"/>
      <c r="V321" s="491"/>
    </row>
    <row r="322" spans="1:22" s="490" customFormat="1" x14ac:dyDescent="0.2">
      <c r="A322" s="494"/>
      <c r="B322" s="491"/>
      <c r="C322" s="491"/>
      <c r="D322" s="491"/>
      <c r="E322" s="491"/>
      <c r="F322" s="491"/>
      <c r="G322" s="491"/>
      <c r="H322" s="491"/>
      <c r="I322" s="491"/>
      <c r="J322" s="491"/>
      <c r="K322" s="491"/>
      <c r="L322" s="491"/>
      <c r="M322" s="491"/>
      <c r="N322" s="491"/>
      <c r="O322" s="491"/>
      <c r="P322" s="491"/>
      <c r="Q322" s="491"/>
      <c r="R322" s="491"/>
      <c r="S322" s="491"/>
      <c r="T322" s="491"/>
      <c r="U322" s="491"/>
      <c r="V322" s="491"/>
    </row>
    <row r="323" spans="1:22" s="490" customFormat="1" x14ac:dyDescent="0.2">
      <c r="A323" s="494"/>
      <c r="B323" s="491"/>
      <c r="C323" s="491"/>
      <c r="D323" s="491"/>
      <c r="E323" s="491"/>
      <c r="F323" s="491"/>
      <c r="G323" s="491"/>
      <c r="H323" s="491"/>
      <c r="I323" s="491"/>
      <c r="J323" s="491"/>
      <c r="K323" s="491"/>
      <c r="L323" s="491"/>
      <c r="M323" s="491"/>
      <c r="N323" s="491"/>
      <c r="O323" s="491"/>
      <c r="P323" s="491"/>
      <c r="Q323" s="491"/>
      <c r="R323" s="491"/>
      <c r="S323" s="491"/>
      <c r="T323" s="491"/>
      <c r="U323" s="491"/>
      <c r="V323" s="491"/>
    </row>
    <row r="324" spans="1:22" s="490" customFormat="1" x14ac:dyDescent="0.2">
      <c r="A324" s="494"/>
      <c r="B324" s="491"/>
      <c r="C324" s="491"/>
      <c r="D324" s="491"/>
      <c r="E324" s="491"/>
      <c r="F324" s="491"/>
      <c r="G324" s="491"/>
      <c r="H324" s="491"/>
      <c r="I324" s="491"/>
      <c r="J324" s="491"/>
      <c r="K324" s="491"/>
      <c r="L324" s="491"/>
      <c r="M324" s="491"/>
      <c r="N324" s="491"/>
      <c r="O324" s="491"/>
      <c r="P324" s="491"/>
      <c r="Q324" s="491"/>
      <c r="R324" s="491"/>
      <c r="S324" s="491"/>
      <c r="T324" s="491"/>
      <c r="U324" s="491"/>
      <c r="V324" s="491"/>
    </row>
    <row r="325" spans="1:22" s="490" customFormat="1" x14ac:dyDescent="0.2">
      <c r="A325" s="494"/>
      <c r="B325" s="491"/>
      <c r="C325" s="491"/>
      <c r="D325" s="491"/>
      <c r="E325" s="491"/>
      <c r="F325" s="491"/>
      <c r="G325" s="491"/>
      <c r="H325" s="491"/>
      <c r="I325" s="491"/>
      <c r="J325" s="491"/>
      <c r="K325" s="491"/>
      <c r="L325" s="491"/>
      <c r="M325" s="491"/>
      <c r="N325" s="491"/>
      <c r="O325" s="491"/>
      <c r="P325" s="491"/>
      <c r="Q325" s="491"/>
      <c r="R325" s="491"/>
      <c r="S325" s="491"/>
      <c r="T325" s="491"/>
      <c r="U325" s="491"/>
      <c r="V325" s="491"/>
    </row>
    <row r="326" spans="1:22" s="490" customFormat="1" x14ac:dyDescent="0.2">
      <c r="A326" s="494"/>
      <c r="B326" s="491"/>
      <c r="C326" s="491"/>
      <c r="D326" s="491"/>
      <c r="E326" s="491"/>
      <c r="F326" s="491"/>
      <c r="G326" s="491"/>
      <c r="H326" s="491"/>
      <c r="I326" s="491"/>
      <c r="J326" s="491"/>
      <c r="K326" s="491"/>
      <c r="L326" s="491"/>
      <c r="M326" s="491"/>
      <c r="N326" s="491"/>
      <c r="O326" s="491"/>
      <c r="P326" s="491"/>
      <c r="Q326" s="491"/>
      <c r="R326" s="491"/>
      <c r="S326" s="491"/>
      <c r="T326" s="491"/>
      <c r="U326" s="491"/>
      <c r="V326" s="491"/>
    </row>
    <row r="327" spans="1:22" s="490" customFormat="1" x14ac:dyDescent="0.2">
      <c r="A327" s="494"/>
      <c r="B327" s="491"/>
      <c r="C327" s="491"/>
      <c r="D327" s="491"/>
      <c r="E327" s="491"/>
      <c r="F327" s="491"/>
      <c r="G327" s="491"/>
      <c r="H327" s="491"/>
      <c r="I327" s="491"/>
      <c r="J327" s="491"/>
      <c r="K327" s="491"/>
      <c r="L327" s="491"/>
      <c r="M327" s="491"/>
      <c r="N327" s="491"/>
      <c r="O327" s="491"/>
      <c r="P327" s="491"/>
      <c r="Q327" s="491"/>
      <c r="R327" s="491"/>
      <c r="S327" s="491"/>
      <c r="T327" s="491"/>
      <c r="U327" s="491"/>
      <c r="V327" s="491"/>
    </row>
    <row r="328" spans="1:22" s="490" customFormat="1" x14ac:dyDescent="0.2">
      <c r="A328" s="494"/>
      <c r="B328" s="491"/>
      <c r="C328" s="491"/>
      <c r="D328" s="491"/>
      <c r="E328" s="491"/>
      <c r="F328" s="491"/>
      <c r="G328" s="491"/>
      <c r="H328" s="491"/>
      <c r="I328" s="491"/>
      <c r="J328" s="491"/>
      <c r="K328" s="491"/>
      <c r="L328" s="491"/>
      <c r="M328" s="491"/>
      <c r="N328" s="491"/>
      <c r="O328" s="491"/>
      <c r="P328" s="491"/>
      <c r="Q328" s="491"/>
      <c r="R328" s="491"/>
      <c r="S328" s="491"/>
      <c r="T328" s="491"/>
      <c r="U328" s="491"/>
      <c r="V328" s="491"/>
    </row>
    <row r="329" spans="1:22" s="490" customFormat="1" x14ac:dyDescent="0.2">
      <c r="A329" s="494"/>
      <c r="B329" s="491"/>
      <c r="C329" s="491"/>
      <c r="D329" s="491"/>
      <c r="E329" s="491"/>
      <c r="F329" s="491"/>
      <c r="G329" s="491"/>
      <c r="H329" s="491"/>
      <c r="I329" s="491"/>
      <c r="J329" s="491"/>
      <c r="K329" s="491"/>
      <c r="L329" s="491"/>
      <c r="M329" s="491"/>
      <c r="N329" s="491"/>
      <c r="O329" s="491"/>
      <c r="P329" s="491"/>
      <c r="Q329" s="491"/>
      <c r="R329" s="491"/>
      <c r="S329" s="491"/>
      <c r="T329" s="491"/>
      <c r="U329" s="491"/>
      <c r="V329" s="491"/>
    </row>
    <row r="330" spans="1:22" s="490" customFormat="1" x14ac:dyDescent="0.2">
      <c r="A330" s="494"/>
      <c r="B330" s="491"/>
      <c r="C330" s="491"/>
      <c r="D330" s="491"/>
      <c r="E330" s="491"/>
      <c r="F330" s="491"/>
      <c r="G330" s="491"/>
      <c r="H330" s="491"/>
      <c r="I330" s="491"/>
      <c r="J330" s="491"/>
      <c r="K330" s="491"/>
      <c r="L330" s="491"/>
      <c r="M330" s="491"/>
      <c r="N330" s="491"/>
      <c r="O330" s="491"/>
      <c r="P330" s="491"/>
      <c r="Q330" s="491"/>
      <c r="R330" s="491"/>
      <c r="S330" s="491"/>
      <c r="T330" s="491"/>
      <c r="U330" s="491"/>
      <c r="V330" s="491"/>
    </row>
    <row r="331" spans="1:22" s="490" customFormat="1" x14ac:dyDescent="0.2">
      <c r="A331" s="494"/>
      <c r="B331" s="491"/>
      <c r="C331" s="491"/>
      <c r="D331" s="491"/>
      <c r="E331" s="491"/>
      <c r="F331" s="491"/>
      <c r="G331" s="491"/>
      <c r="H331" s="491"/>
      <c r="I331" s="491"/>
      <c r="J331" s="491"/>
      <c r="K331" s="491"/>
      <c r="L331" s="491"/>
      <c r="M331" s="491"/>
      <c r="N331" s="491"/>
      <c r="O331" s="491"/>
      <c r="P331" s="491"/>
      <c r="Q331" s="491"/>
      <c r="R331" s="491"/>
      <c r="S331" s="491"/>
      <c r="T331" s="491"/>
      <c r="U331" s="491"/>
      <c r="V331" s="491"/>
    </row>
    <row r="332" spans="1:22" s="490" customFormat="1" x14ac:dyDescent="0.2">
      <c r="A332" s="494"/>
      <c r="B332" s="491"/>
      <c r="C332" s="491"/>
      <c r="D332" s="491"/>
      <c r="E332" s="491"/>
      <c r="F332" s="491"/>
      <c r="G332" s="491"/>
      <c r="H332" s="491"/>
      <c r="I332" s="491"/>
      <c r="J332" s="491"/>
      <c r="K332" s="491"/>
      <c r="L332" s="491"/>
      <c r="M332" s="491"/>
      <c r="N332" s="491"/>
      <c r="O332" s="491"/>
      <c r="P332" s="491"/>
      <c r="Q332" s="491"/>
      <c r="R332" s="491"/>
      <c r="S332" s="491"/>
      <c r="T332" s="491"/>
      <c r="U332" s="491"/>
      <c r="V332" s="491"/>
    </row>
    <row r="333" spans="1:22" s="490" customFormat="1" x14ac:dyDescent="0.2">
      <c r="A333" s="494"/>
      <c r="B333" s="491"/>
      <c r="C333" s="491"/>
      <c r="D333" s="491"/>
      <c r="E333" s="491"/>
      <c r="F333" s="491"/>
      <c r="G333" s="491"/>
      <c r="H333" s="491"/>
      <c r="I333" s="491"/>
      <c r="J333" s="491"/>
      <c r="K333" s="491"/>
      <c r="L333" s="491"/>
      <c r="M333" s="491"/>
      <c r="N333" s="491"/>
      <c r="O333" s="491"/>
      <c r="P333" s="491"/>
      <c r="Q333" s="491"/>
      <c r="R333" s="491"/>
      <c r="S333" s="491"/>
      <c r="T333" s="491"/>
      <c r="U333" s="491"/>
      <c r="V333" s="491"/>
    </row>
    <row r="334" spans="1:22" s="490" customFormat="1" x14ac:dyDescent="0.2">
      <c r="A334" s="494"/>
      <c r="B334" s="491"/>
      <c r="C334" s="491"/>
      <c r="D334" s="491"/>
      <c r="E334" s="491"/>
      <c r="F334" s="491"/>
      <c r="G334" s="491"/>
      <c r="H334" s="491"/>
      <c r="I334" s="491"/>
      <c r="J334" s="491"/>
      <c r="K334" s="491"/>
      <c r="L334" s="491"/>
      <c r="M334" s="491"/>
      <c r="N334" s="491"/>
      <c r="O334" s="491"/>
      <c r="P334" s="491"/>
      <c r="Q334" s="491"/>
      <c r="R334" s="491"/>
      <c r="S334" s="491"/>
      <c r="T334" s="491"/>
      <c r="U334" s="491"/>
      <c r="V334" s="491"/>
    </row>
    <row r="335" spans="1:22" s="490" customFormat="1" x14ac:dyDescent="0.2">
      <c r="A335" s="494"/>
      <c r="B335" s="491"/>
      <c r="C335" s="491"/>
      <c r="D335" s="491"/>
      <c r="E335" s="491"/>
      <c r="F335" s="491"/>
      <c r="G335" s="491"/>
      <c r="H335" s="491"/>
      <c r="I335" s="491"/>
      <c r="J335" s="491"/>
      <c r="K335" s="491"/>
      <c r="L335" s="491"/>
      <c r="M335" s="491"/>
      <c r="N335" s="491"/>
      <c r="O335" s="491"/>
      <c r="P335" s="491"/>
      <c r="Q335" s="491"/>
      <c r="R335" s="491"/>
      <c r="S335" s="491"/>
      <c r="T335" s="491"/>
      <c r="U335" s="491"/>
      <c r="V335" s="491"/>
    </row>
    <row r="336" spans="1:22" s="490" customFormat="1" x14ac:dyDescent="0.2">
      <c r="A336" s="494"/>
      <c r="B336" s="491"/>
      <c r="C336" s="491"/>
      <c r="D336" s="491"/>
      <c r="E336" s="491"/>
      <c r="F336" s="491"/>
      <c r="G336" s="491"/>
      <c r="H336" s="491"/>
      <c r="I336" s="491"/>
      <c r="J336" s="491"/>
      <c r="K336" s="491"/>
      <c r="L336" s="491"/>
      <c r="M336" s="491"/>
      <c r="N336" s="491"/>
      <c r="O336" s="491"/>
      <c r="P336" s="491"/>
      <c r="Q336" s="491"/>
      <c r="R336" s="491"/>
      <c r="S336" s="491"/>
      <c r="T336" s="491"/>
      <c r="U336" s="491"/>
      <c r="V336" s="491"/>
    </row>
    <row r="337" spans="1:22" s="490" customFormat="1" x14ac:dyDescent="0.2">
      <c r="A337" s="494"/>
      <c r="B337" s="491"/>
      <c r="C337" s="491"/>
      <c r="D337" s="491"/>
      <c r="E337" s="491"/>
      <c r="F337" s="491"/>
      <c r="G337" s="491"/>
      <c r="H337" s="491"/>
      <c r="I337" s="491"/>
      <c r="J337" s="491"/>
      <c r="K337" s="491"/>
      <c r="L337" s="491"/>
      <c r="M337" s="491"/>
      <c r="N337" s="491"/>
      <c r="O337" s="491"/>
      <c r="P337" s="491"/>
      <c r="Q337" s="491"/>
      <c r="R337" s="491"/>
      <c r="S337" s="491"/>
      <c r="T337" s="491"/>
      <c r="U337" s="491"/>
      <c r="V337" s="491"/>
    </row>
    <row r="338" spans="1:22" s="490" customFormat="1" x14ac:dyDescent="0.2">
      <c r="A338" s="494"/>
      <c r="B338" s="491"/>
      <c r="C338" s="491"/>
      <c r="D338" s="491"/>
      <c r="E338" s="491"/>
      <c r="F338" s="491"/>
      <c r="G338" s="491"/>
      <c r="H338" s="491"/>
      <c r="I338" s="491"/>
      <c r="J338" s="491"/>
      <c r="K338" s="491"/>
      <c r="L338" s="491"/>
      <c r="M338" s="491"/>
      <c r="N338" s="491"/>
      <c r="O338" s="491"/>
      <c r="P338" s="491"/>
      <c r="Q338" s="491"/>
      <c r="R338" s="491"/>
      <c r="S338" s="491"/>
      <c r="T338" s="491"/>
      <c r="U338" s="491"/>
      <c r="V338" s="491"/>
    </row>
    <row r="339" spans="1:22" s="490" customFormat="1" x14ac:dyDescent="0.2">
      <c r="A339" s="494"/>
      <c r="B339" s="491"/>
      <c r="C339" s="491"/>
      <c r="D339" s="491"/>
      <c r="E339" s="491"/>
      <c r="F339" s="491"/>
      <c r="G339" s="491"/>
      <c r="H339" s="491"/>
      <c r="I339" s="491"/>
      <c r="J339" s="491"/>
      <c r="K339" s="491"/>
      <c r="L339" s="491"/>
      <c r="M339" s="491"/>
      <c r="N339" s="491"/>
      <c r="O339" s="491"/>
      <c r="P339" s="491"/>
      <c r="Q339" s="491"/>
      <c r="R339" s="491"/>
      <c r="S339" s="491"/>
      <c r="T339" s="491"/>
      <c r="U339" s="491"/>
      <c r="V339" s="491"/>
    </row>
    <row r="340" spans="1:22" s="490" customFormat="1" x14ac:dyDescent="0.2">
      <c r="A340" s="494"/>
      <c r="B340" s="491"/>
      <c r="C340" s="491"/>
      <c r="D340" s="491"/>
      <c r="E340" s="491"/>
      <c r="F340" s="491"/>
      <c r="G340" s="491"/>
      <c r="H340" s="491"/>
      <c r="I340" s="491"/>
      <c r="J340" s="491"/>
      <c r="K340" s="491"/>
      <c r="L340" s="491"/>
      <c r="M340" s="491"/>
      <c r="N340" s="491"/>
      <c r="O340" s="491"/>
      <c r="P340" s="491"/>
      <c r="Q340" s="491"/>
      <c r="R340" s="491"/>
      <c r="S340" s="491"/>
      <c r="T340" s="491"/>
      <c r="U340" s="491"/>
      <c r="V340" s="491"/>
    </row>
    <row r="341" spans="1:22" s="490" customFormat="1" x14ac:dyDescent="0.2">
      <c r="A341" s="494"/>
      <c r="B341" s="491"/>
      <c r="C341" s="491"/>
      <c r="D341" s="491"/>
      <c r="E341" s="491"/>
      <c r="F341" s="491"/>
      <c r="G341" s="491"/>
      <c r="H341" s="491"/>
      <c r="I341" s="491"/>
      <c r="J341" s="491"/>
      <c r="K341" s="491"/>
      <c r="L341" s="491"/>
      <c r="M341" s="491"/>
      <c r="N341" s="491"/>
      <c r="O341" s="491"/>
      <c r="P341" s="491"/>
      <c r="Q341" s="491"/>
      <c r="R341" s="491"/>
      <c r="S341" s="491"/>
      <c r="T341" s="491"/>
      <c r="U341" s="491"/>
      <c r="V341" s="491"/>
    </row>
    <row r="342" spans="1:22" s="490" customFormat="1" x14ac:dyDescent="0.2">
      <c r="A342" s="494"/>
      <c r="B342" s="491"/>
      <c r="C342" s="491"/>
      <c r="D342" s="491"/>
      <c r="E342" s="491"/>
      <c r="F342" s="491"/>
      <c r="G342" s="491"/>
      <c r="H342" s="491"/>
      <c r="I342" s="491"/>
      <c r="J342" s="491"/>
      <c r="K342" s="491"/>
      <c r="L342" s="491"/>
      <c r="M342" s="491"/>
      <c r="N342" s="491"/>
      <c r="O342" s="491"/>
      <c r="P342" s="491"/>
      <c r="Q342" s="491"/>
      <c r="R342" s="491"/>
      <c r="S342" s="491"/>
      <c r="T342" s="491"/>
      <c r="U342" s="491"/>
      <c r="V342" s="491"/>
    </row>
    <row r="343" spans="1:22" s="490" customFormat="1" x14ac:dyDescent="0.2">
      <c r="A343" s="494"/>
      <c r="B343" s="491"/>
      <c r="C343" s="491"/>
      <c r="D343" s="491"/>
      <c r="E343" s="491"/>
      <c r="F343" s="491"/>
      <c r="G343" s="491"/>
      <c r="H343" s="491"/>
      <c r="I343" s="491"/>
      <c r="J343" s="491"/>
      <c r="K343" s="491"/>
      <c r="L343" s="491"/>
      <c r="M343" s="491"/>
      <c r="N343" s="491"/>
      <c r="O343" s="491"/>
      <c r="P343" s="491"/>
      <c r="Q343" s="491"/>
      <c r="R343" s="491"/>
      <c r="S343" s="491"/>
      <c r="T343" s="491"/>
      <c r="U343" s="491"/>
      <c r="V343" s="491"/>
    </row>
    <row r="344" spans="1:22" s="490" customFormat="1" x14ac:dyDescent="0.2">
      <c r="A344" s="494"/>
      <c r="B344" s="491"/>
      <c r="C344" s="491"/>
      <c r="D344" s="491"/>
      <c r="E344" s="491"/>
      <c r="F344" s="491"/>
      <c r="G344" s="491"/>
      <c r="H344" s="491"/>
      <c r="I344" s="491"/>
      <c r="J344" s="491"/>
      <c r="K344" s="491"/>
      <c r="L344" s="491"/>
      <c r="M344" s="491"/>
      <c r="N344" s="491"/>
      <c r="O344" s="491"/>
      <c r="P344" s="491"/>
      <c r="Q344" s="491"/>
      <c r="R344" s="491"/>
      <c r="S344" s="491"/>
      <c r="T344" s="491"/>
      <c r="U344" s="491"/>
      <c r="V344" s="491"/>
    </row>
    <row r="345" spans="1:22" s="490" customFormat="1" x14ac:dyDescent="0.2">
      <c r="A345" s="494"/>
      <c r="B345" s="491"/>
      <c r="C345" s="491"/>
      <c r="D345" s="491"/>
      <c r="E345" s="491"/>
      <c r="F345" s="491"/>
      <c r="G345" s="491"/>
      <c r="H345" s="491"/>
      <c r="I345" s="491"/>
      <c r="J345" s="491"/>
      <c r="K345" s="491"/>
      <c r="L345" s="491"/>
      <c r="M345" s="491"/>
      <c r="N345" s="491"/>
      <c r="O345" s="491"/>
      <c r="P345" s="491"/>
      <c r="Q345" s="491"/>
      <c r="R345" s="491"/>
      <c r="S345" s="491"/>
      <c r="T345" s="491"/>
      <c r="U345" s="491"/>
      <c r="V345" s="491"/>
    </row>
    <row r="346" spans="1:22" s="490" customFormat="1" x14ac:dyDescent="0.2">
      <c r="A346" s="494"/>
      <c r="B346" s="491"/>
      <c r="C346" s="491"/>
      <c r="D346" s="491"/>
      <c r="E346" s="491"/>
      <c r="F346" s="491"/>
      <c r="G346" s="491"/>
      <c r="H346" s="491"/>
      <c r="I346" s="491"/>
      <c r="J346" s="491"/>
      <c r="K346" s="491"/>
      <c r="L346" s="491"/>
      <c r="M346" s="491"/>
      <c r="N346" s="491"/>
      <c r="O346" s="491"/>
      <c r="P346" s="491"/>
      <c r="Q346" s="491"/>
      <c r="R346" s="491"/>
      <c r="S346" s="491"/>
      <c r="T346" s="491"/>
      <c r="U346" s="491"/>
      <c r="V346" s="491"/>
    </row>
    <row r="347" spans="1:22" s="490" customFormat="1" x14ac:dyDescent="0.2">
      <c r="A347" s="494"/>
      <c r="B347" s="491"/>
      <c r="C347" s="491"/>
      <c r="D347" s="491"/>
      <c r="E347" s="491"/>
      <c r="F347" s="491"/>
      <c r="G347" s="491"/>
      <c r="H347" s="491"/>
      <c r="I347" s="491"/>
      <c r="J347" s="491"/>
      <c r="K347" s="491"/>
      <c r="L347" s="491"/>
      <c r="M347" s="491"/>
      <c r="N347" s="491"/>
      <c r="O347" s="491"/>
      <c r="P347" s="491"/>
      <c r="Q347" s="491"/>
      <c r="R347" s="491"/>
      <c r="S347" s="491"/>
      <c r="T347" s="491"/>
      <c r="U347" s="491"/>
      <c r="V347" s="491"/>
    </row>
    <row r="348" spans="1:22" s="490" customFormat="1" x14ac:dyDescent="0.2">
      <c r="A348" s="494"/>
      <c r="B348" s="491"/>
      <c r="C348" s="491"/>
      <c r="D348" s="491"/>
      <c r="E348" s="491"/>
      <c r="F348" s="491"/>
      <c r="G348" s="491"/>
      <c r="H348" s="491"/>
      <c r="I348" s="491"/>
      <c r="J348" s="491"/>
      <c r="K348" s="491"/>
      <c r="L348" s="491"/>
      <c r="M348" s="491"/>
      <c r="N348" s="491"/>
      <c r="O348" s="491"/>
      <c r="P348" s="491"/>
      <c r="Q348" s="491"/>
      <c r="R348" s="491"/>
      <c r="S348" s="491"/>
      <c r="T348" s="491"/>
      <c r="U348" s="491"/>
      <c r="V348" s="491"/>
    </row>
    <row r="349" spans="1:22" s="490" customFormat="1" x14ac:dyDescent="0.2">
      <c r="A349" s="494"/>
      <c r="B349" s="491"/>
      <c r="C349" s="491"/>
      <c r="D349" s="491"/>
      <c r="E349" s="491"/>
      <c r="F349" s="491"/>
      <c r="G349" s="491"/>
      <c r="H349" s="491"/>
      <c r="I349" s="491"/>
      <c r="J349" s="491"/>
      <c r="K349" s="491"/>
      <c r="L349" s="491"/>
      <c r="M349" s="491"/>
      <c r="N349" s="491"/>
      <c r="O349" s="491"/>
      <c r="P349" s="491"/>
      <c r="Q349" s="491"/>
      <c r="R349" s="491"/>
      <c r="S349" s="491"/>
      <c r="T349" s="491"/>
      <c r="U349" s="491"/>
      <c r="V349" s="491"/>
    </row>
    <row r="350" spans="1:22" s="490" customFormat="1" x14ac:dyDescent="0.2">
      <c r="A350" s="494"/>
      <c r="B350" s="491"/>
      <c r="C350" s="491"/>
      <c r="D350" s="491"/>
      <c r="E350" s="491"/>
      <c r="F350" s="491"/>
      <c r="G350" s="491"/>
      <c r="H350" s="491"/>
      <c r="I350" s="491"/>
      <c r="J350" s="491"/>
      <c r="K350" s="491"/>
      <c r="L350" s="491"/>
      <c r="M350" s="491"/>
      <c r="N350" s="491"/>
      <c r="O350" s="491"/>
      <c r="P350" s="491"/>
      <c r="Q350" s="491"/>
      <c r="R350" s="491"/>
      <c r="S350" s="491"/>
      <c r="T350" s="491"/>
      <c r="U350" s="491"/>
      <c r="V350" s="491"/>
    </row>
    <row r="351" spans="1:22" s="490" customFormat="1" x14ac:dyDescent="0.2">
      <c r="A351" s="494"/>
      <c r="B351" s="491"/>
      <c r="C351" s="491"/>
      <c r="D351" s="491"/>
      <c r="E351" s="491"/>
      <c r="F351" s="491"/>
      <c r="G351" s="491"/>
      <c r="H351" s="491"/>
      <c r="I351" s="491"/>
      <c r="J351" s="491"/>
      <c r="K351" s="491"/>
      <c r="L351" s="491"/>
      <c r="M351" s="491"/>
      <c r="N351" s="491"/>
      <c r="O351" s="491"/>
      <c r="P351" s="491"/>
      <c r="Q351" s="491"/>
      <c r="R351" s="491"/>
      <c r="S351" s="491"/>
      <c r="T351" s="491"/>
      <c r="U351" s="491"/>
      <c r="V351" s="491"/>
    </row>
    <row r="352" spans="1:22" s="490" customFormat="1" x14ac:dyDescent="0.2">
      <c r="A352" s="494"/>
      <c r="B352" s="491"/>
      <c r="C352" s="491"/>
      <c r="D352" s="491"/>
      <c r="E352" s="491"/>
      <c r="F352" s="491"/>
      <c r="G352" s="491"/>
      <c r="H352" s="491"/>
      <c r="I352" s="491"/>
      <c r="J352" s="491"/>
      <c r="K352" s="491"/>
      <c r="L352" s="491"/>
      <c r="M352" s="491"/>
      <c r="N352" s="491"/>
      <c r="O352" s="491"/>
      <c r="P352" s="491"/>
      <c r="Q352" s="491"/>
      <c r="R352" s="491"/>
      <c r="S352" s="491"/>
      <c r="T352" s="491"/>
      <c r="U352" s="491"/>
      <c r="V352" s="491"/>
    </row>
    <row r="353" spans="1:22" s="490" customFormat="1" x14ac:dyDescent="0.2">
      <c r="A353" s="494"/>
      <c r="B353" s="491"/>
      <c r="C353" s="491"/>
      <c r="D353" s="491"/>
      <c r="E353" s="491"/>
      <c r="F353" s="491"/>
      <c r="G353" s="491"/>
      <c r="H353" s="491"/>
      <c r="I353" s="491"/>
      <c r="J353" s="491"/>
      <c r="K353" s="491"/>
      <c r="L353" s="491"/>
      <c r="M353" s="491"/>
      <c r="N353" s="491"/>
      <c r="O353" s="491"/>
      <c r="P353" s="491"/>
      <c r="Q353" s="491"/>
      <c r="R353" s="491"/>
      <c r="S353" s="491"/>
      <c r="T353" s="491"/>
      <c r="U353" s="491"/>
      <c r="V353" s="491"/>
    </row>
    <row r="354" spans="1:22" s="490" customFormat="1" x14ac:dyDescent="0.2">
      <c r="A354" s="494"/>
      <c r="B354" s="491"/>
      <c r="C354" s="491"/>
      <c r="D354" s="491"/>
      <c r="E354" s="491"/>
      <c r="F354" s="491"/>
      <c r="G354" s="491"/>
      <c r="H354" s="491"/>
      <c r="I354" s="491"/>
      <c r="J354" s="491"/>
      <c r="K354" s="491"/>
      <c r="L354" s="491"/>
      <c r="M354" s="491"/>
      <c r="N354" s="491"/>
      <c r="O354" s="491"/>
      <c r="P354" s="491"/>
      <c r="Q354" s="491"/>
      <c r="R354" s="491"/>
      <c r="S354" s="491"/>
      <c r="T354" s="491"/>
      <c r="U354" s="491"/>
      <c r="V354" s="491"/>
    </row>
    <row r="355" spans="1:22" s="490" customFormat="1" x14ac:dyDescent="0.2">
      <c r="A355" s="494"/>
      <c r="B355" s="491"/>
      <c r="C355" s="491"/>
      <c r="D355" s="491"/>
      <c r="E355" s="491"/>
      <c r="F355" s="491"/>
      <c r="G355" s="491"/>
      <c r="H355" s="491"/>
      <c r="I355" s="491"/>
      <c r="J355" s="491"/>
      <c r="K355" s="491"/>
      <c r="L355" s="491"/>
      <c r="M355" s="491"/>
      <c r="N355" s="491"/>
      <c r="O355" s="491"/>
      <c r="P355" s="491"/>
      <c r="Q355" s="491"/>
      <c r="R355" s="491"/>
      <c r="S355" s="491"/>
      <c r="T355" s="491"/>
      <c r="U355" s="491"/>
      <c r="V355" s="491"/>
    </row>
    <row r="356" spans="1:22" s="490" customFormat="1" x14ac:dyDescent="0.2">
      <c r="A356" s="494"/>
      <c r="B356" s="491"/>
      <c r="C356" s="491"/>
      <c r="D356" s="491"/>
      <c r="E356" s="491"/>
      <c r="F356" s="491"/>
      <c r="G356" s="491"/>
      <c r="H356" s="491"/>
      <c r="I356" s="491"/>
      <c r="J356" s="491"/>
      <c r="K356" s="491"/>
      <c r="L356" s="491"/>
      <c r="M356" s="491"/>
      <c r="N356" s="491"/>
      <c r="O356" s="491"/>
      <c r="P356" s="491"/>
      <c r="Q356" s="491"/>
      <c r="R356" s="491"/>
      <c r="S356" s="491"/>
      <c r="T356" s="491"/>
      <c r="U356" s="491"/>
      <c r="V356" s="491"/>
    </row>
    <row r="357" spans="1:22" s="490" customFormat="1" x14ac:dyDescent="0.2">
      <c r="A357" s="494"/>
      <c r="B357" s="491"/>
      <c r="C357" s="491"/>
      <c r="D357" s="491"/>
      <c r="E357" s="491"/>
      <c r="F357" s="491"/>
      <c r="G357" s="491"/>
      <c r="H357" s="491"/>
      <c r="I357" s="491"/>
      <c r="J357" s="491"/>
      <c r="K357" s="491"/>
      <c r="L357" s="491"/>
      <c r="M357" s="491"/>
      <c r="N357" s="491"/>
      <c r="O357" s="491"/>
      <c r="P357" s="491"/>
      <c r="Q357" s="491"/>
      <c r="R357" s="491"/>
      <c r="S357" s="491"/>
      <c r="T357" s="491"/>
      <c r="U357" s="491"/>
      <c r="V357" s="491"/>
    </row>
    <row r="358" spans="1:22" s="490" customFormat="1" x14ac:dyDescent="0.2">
      <c r="A358" s="494"/>
      <c r="B358" s="491"/>
      <c r="C358" s="491"/>
      <c r="D358" s="491"/>
      <c r="E358" s="491"/>
      <c r="F358" s="491"/>
      <c r="G358" s="491"/>
      <c r="H358" s="491"/>
      <c r="I358" s="491"/>
      <c r="J358" s="491"/>
      <c r="K358" s="491"/>
      <c r="L358" s="491"/>
      <c r="M358" s="491"/>
      <c r="N358" s="491"/>
      <c r="O358" s="491"/>
      <c r="P358" s="491"/>
      <c r="Q358" s="491"/>
      <c r="R358" s="491"/>
      <c r="S358" s="491"/>
      <c r="T358" s="491"/>
      <c r="U358" s="491"/>
      <c r="V358" s="491"/>
    </row>
    <row r="359" spans="1:22" s="490" customFormat="1" x14ac:dyDescent="0.2">
      <c r="A359" s="494"/>
      <c r="B359" s="491"/>
      <c r="C359" s="491"/>
      <c r="D359" s="491"/>
      <c r="E359" s="491"/>
      <c r="F359" s="491"/>
      <c r="G359" s="491"/>
      <c r="H359" s="491"/>
      <c r="I359" s="491"/>
      <c r="J359" s="491"/>
      <c r="K359" s="491"/>
      <c r="L359" s="491"/>
      <c r="M359" s="491"/>
      <c r="N359" s="491"/>
      <c r="O359" s="491"/>
      <c r="P359" s="491"/>
      <c r="Q359" s="491"/>
      <c r="R359" s="491"/>
      <c r="S359" s="491"/>
      <c r="T359" s="491"/>
      <c r="U359" s="491"/>
      <c r="V359" s="491"/>
    </row>
    <row r="360" spans="1:22" s="490" customFormat="1" x14ac:dyDescent="0.2">
      <c r="A360" s="494"/>
      <c r="B360" s="491"/>
      <c r="C360" s="491"/>
      <c r="D360" s="491"/>
      <c r="E360" s="491"/>
      <c r="F360" s="491"/>
      <c r="G360" s="491"/>
      <c r="H360" s="491"/>
      <c r="I360" s="491"/>
      <c r="J360" s="491"/>
      <c r="K360" s="491"/>
      <c r="L360" s="491"/>
      <c r="M360" s="491"/>
      <c r="N360" s="491"/>
      <c r="O360" s="491"/>
      <c r="P360" s="491"/>
      <c r="Q360" s="491"/>
      <c r="R360" s="491"/>
      <c r="S360" s="491"/>
      <c r="T360" s="491"/>
      <c r="U360" s="491"/>
      <c r="V360" s="491"/>
    </row>
    <row r="361" spans="1:22" s="490" customFormat="1" x14ac:dyDescent="0.2">
      <c r="A361" s="494"/>
      <c r="B361" s="491"/>
      <c r="C361" s="491"/>
      <c r="D361" s="491"/>
      <c r="E361" s="491"/>
      <c r="F361" s="491"/>
      <c r="G361" s="491"/>
      <c r="H361" s="491"/>
      <c r="I361" s="491"/>
      <c r="J361" s="491"/>
      <c r="K361" s="491"/>
      <c r="L361" s="491"/>
      <c r="M361" s="491"/>
      <c r="N361" s="491"/>
      <c r="O361" s="491"/>
      <c r="P361" s="491"/>
      <c r="Q361" s="491"/>
      <c r="R361" s="491"/>
      <c r="S361" s="491"/>
      <c r="T361" s="491"/>
      <c r="U361" s="491"/>
      <c r="V361" s="491"/>
    </row>
    <row r="362" spans="1:22" s="490" customFormat="1" x14ac:dyDescent="0.2">
      <c r="A362" s="494"/>
      <c r="B362" s="491"/>
      <c r="C362" s="491"/>
      <c r="D362" s="491"/>
      <c r="E362" s="491"/>
      <c r="F362" s="491"/>
      <c r="G362" s="491"/>
      <c r="H362" s="491"/>
      <c r="I362" s="491"/>
      <c r="J362" s="491"/>
      <c r="K362" s="491"/>
      <c r="L362" s="491"/>
      <c r="M362" s="491"/>
      <c r="N362" s="491"/>
      <c r="O362" s="491"/>
      <c r="P362" s="491"/>
      <c r="Q362" s="491"/>
      <c r="R362" s="491"/>
      <c r="S362" s="491"/>
      <c r="T362" s="491"/>
      <c r="U362" s="491"/>
      <c r="V362" s="491"/>
    </row>
    <row r="363" spans="1:22" s="490" customFormat="1" x14ac:dyDescent="0.2">
      <c r="A363" s="494"/>
      <c r="B363" s="491"/>
      <c r="C363" s="491"/>
      <c r="D363" s="491"/>
      <c r="E363" s="491"/>
      <c r="F363" s="491"/>
      <c r="G363" s="491"/>
      <c r="H363" s="491"/>
      <c r="I363" s="491"/>
      <c r="J363" s="491"/>
      <c r="K363" s="491"/>
      <c r="L363" s="491"/>
      <c r="M363" s="491"/>
      <c r="N363" s="491"/>
      <c r="O363" s="491"/>
      <c r="P363" s="491"/>
      <c r="Q363" s="491"/>
      <c r="R363" s="491"/>
      <c r="S363" s="491"/>
      <c r="T363" s="491"/>
      <c r="U363" s="491"/>
      <c r="V363" s="491"/>
    </row>
    <row r="364" spans="1:22" s="490" customFormat="1" x14ac:dyDescent="0.2">
      <c r="A364" s="494"/>
      <c r="B364" s="491"/>
      <c r="C364" s="491"/>
      <c r="D364" s="491"/>
      <c r="E364" s="491"/>
      <c r="F364" s="491"/>
      <c r="G364" s="491"/>
      <c r="H364" s="491"/>
      <c r="I364" s="491"/>
      <c r="J364" s="491"/>
      <c r="K364" s="491"/>
      <c r="L364" s="491"/>
      <c r="M364" s="491"/>
      <c r="N364" s="491"/>
      <c r="O364" s="491"/>
      <c r="P364" s="491"/>
      <c r="Q364" s="491"/>
      <c r="R364" s="491"/>
      <c r="S364" s="491"/>
      <c r="T364" s="491"/>
      <c r="U364" s="491"/>
      <c r="V364" s="491"/>
    </row>
    <row r="365" spans="1:22" s="490" customFormat="1" x14ac:dyDescent="0.2">
      <c r="A365" s="494"/>
      <c r="B365" s="491"/>
      <c r="C365" s="491"/>
      <c r="D365" s="491"/>
      <c r="E365" s="491"/>
      <c r="F365" s="491"/>
      <c r="G365" s="491"/>
      <c r="H365" s="491"/>
      <c r="I365" s="491"/>
      <c r="J365" s="491"/>
      <c r="K365" s="491"/>
      <c r="L365" s="491"/>
      <c r="M365" s="491"/>
      <c r="N365" s="491"/>
      <c r="O365" s="491"/>
      <c r="P365" s="491"/>
      <c r="Q365" s="491"/>
      <c r="R365" s="491"/>
      <c r="S365" s="491"/>
      <c r="T365" s="491"/>
      <c r="U365" s="491"/>
      <c r="V365" s="491"/>
    </row>
    <row r="366" spans="1:22" s="490" customFormat="1" x14ac:dyDescent="0.2">
      <c r="A366" s="494"/>
      <c r="B366" s="491"/>
      <c r="C366" s="491"/>
      <c r="D366" s="491"/>
      <c r="E366" s="491"/>
      <c r="F366" s="491"/>
      <c r="G366" s="491"/>
      <c r="H366" s="491"/>
      <c r="I366" s="491"/>
      <c r="J366" s="491"/>
      <c r="K366" s="491"/>
      <c r="L366" s="491"/>
      <c r="M366" s="491"/>
      <c r="N366" s="491"/>
      <c r="O366" s="491"/>
      <c r="P366" s="491"/>
      <c r="Q366" s="491"/>
      <c r="R366" s="491"/>
      <c r="S366" s="491"/>
      <c r="T366" s="491"/>
      <c r="U366" s="491"/>
      <c r="V366" s="491"/>
    </row>
    <row r="367" spans="1:22" s="490" customFormat="1" x14ac:dyDescent="0.2">
      <c r="A367" s="494"/>
      <c r="B367" s="491"/>
      <c r="C367" s="491"/>
      <c r="D367" s="491"/>
      <c r="E367" s="491"/>
      <c r="F367" s="491"/>
      <c r="G367" s="491"/>
      <c r="H367" s="491"/>
      <c r="I367" s="491"/>
      <c r="J367" s="491"/>
      <c r="K367" s="491"/>
      <c r="L367" s="491"/>
      <c r="M367" s="491"/>
      <c r="N367" s="491"/>
      <c r="O367" s="491"/>
      <c r="P367" s="491"/>
      <c r="Q367" s="491"/>
      <c r="R367" s="491"/>
      <c r="S367" s="491"/>
      <c r="T367" s="491"/>
      <c r="U367" s="491"/>
      <c r="V367" s="491"/>
    </row>
    <row r="368" spans="1:22" s="490" customFormat="1" x14ac:dyDescent="0.2">
      <c r="A368" s="494"/>
      <c r="B368" s="491"/>
      <c r="C368" s="491"/>
      <c r="D368" s="491"/>
      <c r="E368" s="491"/>
      <c r="F368" s="491"/>
      <c r="G368" s="491"/>
      <c r="H368" s="491"/>
      <c r="I368" s="491"/>
      <c r="J368" s="491"/>
      <c r="K368" s="491"/>
      <c r="L368" s="491"/>
      <c r="M368" s="491"/>
      <c r="N368" s="491"/>
      <c r="O368" s="491"/>
      <c r="P368" s="491"/>
      <c r="Q368" s="491"/>
      <c r="R368" s="491"/>
      <c r="S368" s="491"/>
      <c r="T368" s="491"/>
      <c r="U368" s="491"/>
      <c r="V368" s="491"/>
    </row>
    <row r="369" spans="1:22" s="490" customFormat="1" x14ac:dyDescent="0.2">
      <c r="A369" s="494"/>
      <c r="B369" s="491"/>
      <c r="C369" s="491"/>
      <c r="D369" s="491"/>
      <c r="E369" s="491"/>
      <c r="F369" s="491"/>
      <c r="G369" s="491"/>
      <c r="H369" s="491"/>
      <c r="I369" s="491"/>
      <c r="J369" s="491"/>
      <c r="K369" s="491"/>
      <c r="L369" s="491"/>
      <c r="M369" s="491"/>
      <c r="N369" s="491"/>
      <c r="O369" s="491"/>
      <c r="P369" s="491"/>
      <c r="Q369" s="491"/>
      <c r="R369" s="491"/>
      <c r="S369" s="491"/>
      <c r="T369" s="491"/>
      <c r="U369" s="491"/>
      <c r="V369" s="491"/>
    </row>
    <row r="370" spans="1:22" s="490" customFormat="1" x14ac:dyDescent="0.2">
      <c r="A370" s="494"/>
      <c r="B370" s="491"/>
      <c r="C370" s="491"/>
      <c r="D370" s="491"/>
      <c r="E370" s="491"/>
      <c r="F370" s="491"/>
      <c r="G370" s="491"/>
      <c r="H370" s="491"/>
      <c r="I370" s="491"/>
      <c r="J370" s="491"/>
      <c r="K370" s="491"/>
      <c r="L370" s="491"/>
      <c r="M370" s="491"/>
      <c r="N370" s="491"/>
      <c r="O370" s="491"/>
      <c r="P370" s="491"/>
      <c r="Q370" s="491"/>
      <c r="R370" s="491"/>
      <c r="S370" s="491"/>
      <c r="T370" s="491"/>
      <c r="U370" s="491"/>
      <c r="V370" s="491"/>
    </row>
    <row r="371" spans="1:22" s="490" customFormat="1" x14ac:dyDescent="0.2">
      <c r="A371" s="494"/>
      <c r="B371" s="491"/>
      <c r="C371" s="491"/>
      <c r="D371" s="491"/>
      <c r="E371" s="491"/>
      <c r="F371" s="491"/>
      <c r="G371" s="491"/>
      <c r="H371" s="491"/>
      <c r="I371" s="491"/>
      <c r="J371" s="491"/>
      <c r="K371" s="491"/>
      <c r="L371" s="491"/>
      <c r="M371" s="491"/>
      <c r="N371" s="491"/>
      <c r="O371" s="491"/>
      <c r="P371" s="491"/>
      <c r="Q371" s="491"/>
      <c r="R371" s="491"/>
      <c r="S371" s="491"/>
      <c r="T371" s="491"/>
      <c r="U371" s="491"/>
      <c r="V371" s="491"/>
    </row>
    <row r="372" spans="1:22" s="490" customFormat="1" x14ac:dyDescent="0.2">
      <c r="A372" s="494"/>
      <c r="B372" s="491"/>
      <c r="C372" s="491"/>
      <c r="D372" s="491"/>
      <c r="E372" s="491"/>
      <c r="F372" s="491"/>
      <c r="G372" s="491"/>
      <c r="H372" s="491"/>
      <c r="I372" s="491"/>
      <c r="J372" s="491"/>
      <c r="K372" s="491"/>
      <c r="L372" s="491"/>
      <c r="M372" s="491"/>
      <c r="N372" s="491"/>
      <c r="O372" s="491"/>
      <c r="P372" s="491"/>
      <c r="Q372" s="491"/>
      <c r="R372" s="491"/>
      <c r="S372" s="491"/>
      <c r="T372" s="491"/>
      <c r="U372" s="491"/>
      <c r="V372" s="491"/>
    </row>
    <row r="373" spans="1:22" s="490" customFormat="1" x14ac:dyDescent="0.2">
      <c r="A373" s="494"/>
      <c r="B373" s="491"/>
      <c r="C373" s="491"/>
      <c r="D373" s="491"/>
      <c r="E373" s="491"/>
      <c r="F373" s="491"/>
      <c r="G373" s="491"/>
      <c r="H373" s="491"/>
      <c r="I373" s="491"/>
      <c r="J373" s="491"/>
      <c r="K373" s="491"/>
      <c r="L373" s="491"/>
      <c r="M373" s="491"/>
      <c r="N373" s="491"/>
      <c r="O373" s="491"/>
      <c r="P373" s="491"/>
      <c r="Q373" s="491"/>
      <c r="R373" s="491"/>
      <c r="S373" s="491"/>
      <c r="T373" s="491"/>
      <c r="U373" s="491"/>
      <c r="V373" s="491"/>
    </row>
    <row r="374" spans="1:22" s="490" customFormat="1" x14ac:dyDescent="0.2">
      <c r="A374" s="494"/>
      <c r="B374" s="491"/>
      <c r="C374" s="491"/>
      <c r="D374" s="491"/>
      <c r="E374" s="491"/>
      <c r="F374" s="491"/>
      <c r="G374" s="491"/>
      <c r="H374" s="491"/>
      <c r="I374" s="491"/>
      <c r="J374" s="491"/>
      <c r="K374" s="491"/>
      <c r="L374" s="491"/>
      <c r="M374" s="491"/>
      <c r="N374" s="491"/>
      <c r="O374" s="491"/>
      <c r="P374" s="491"/>
      <c r="Q374" s="491"/>
      <c r="R374" s="491"/>
      <c r="S374" s="491"/>
      <c r="T374" s="491"/>
      <c r="U374" s="491"/>
      <c r="V374" s="491"/>
    </row>
    <row r="375" spans="1:22" s="490" customFormat="1" x14ac:dyDescent="0.2">
      <c r="A375" s="494"/>
      <c r="B375" s="491"/>
      <c r="C375" s="491"/>
      <c r="D375" s="491"/>
      <c r="E375" s="491"/>
      <c r="F375" s="491"/>
      <c r="G375" s="491"/>
      <c r="H375" s="491"/>
      <c r="I375" s="491"/>
      <c r="J375" s="491"/>
      <c r="K375" s="491"/>
      <c r="L375" s="491"/>
      <c r="M375" s="491"/>
      <c r="N375" s="491"/>
      <c r="O375" s="491"/>
      <c r="P375" s="491"/>
      <c r="Q375" s="491"/>
      <c r="R375" s="491"/>
      <c r="S375" s="491"/>
      <c r="T375" s="491"/>
      <c r="U375" s="491"/>
      <c r="V375" s="491"/>
    </row>
    <row r="376" spans="1:22" s="490" customFormat="1" x14ac:dyDescent="0.2">
      <c r="A376" s="494"/>
      <c r="B376" s="491"/>
      <c r="C376" s="491"/>
      <c r="D376" s="491"/>
      <c r="E376" s="491"/>
      <c r="F376" s="491"/>
      <c r="G376" s="491"/>
      <c r="H376" s="491"/>
      <c r="I376" s="491"/>
      <c r="J376" s="491"/>
      <c r="K376" s="491"/>
      <c r="L376" s="491"/>
      <c r="M376" s="491"/>
      <c r="N376" s="491"/>
      <c r="O376" s="491"/>
      <c r="P376" s="491"/>
      <c r="Q376" s="491"/>
      <c r="R376" s="491"/>
      <c r="S376" s="491"/>
      <c r="T376" s="491"/>
      <c r="U376" s="491"/>
      <c r="V376" s="491"/>
    </row>
    <row r="377" spans="1:22" s="490" customFormat="1" x14ac:dyDescent="0.2">
      <c r="A377" s="494"/>
      <c r="B377" s="491"/>
      <c r="C377" s="491"/>
      <c r="D377" s="491"/>
      <c r="E377" s="491"/>
      <c r="F377" s="491"/>
      <c r="G377" s="491"/>
      <c r="H377" s="491"/>
      <c r="I377" s="491"/>
      <c r="J377" s="491"/>
      <c r="K377" s="491"/>
      <c r="L377" s="491"/>
      <c r="M377" s="491"/>
      <c r="N377" s="491"/>
      <c r="O377" s="491"/>
      <c r="P377" s="491"/>
      <c r="Q377" s="491"/>
      <c r="R377" s="491"/>
      <c r="S377" s="491"/>
      <c r="T377" s="491"/>
      <c r="U377" s="491"/>
      <c r="V377" s="491"/>
    </row>
    <row r="378" spans="1:22" s="490" customFormat="1" x14ac:dyDescent="0.2">
      <c r="A378" s="494"/>
      <c r="B378" s="491"/>
      <c r="C378" s="491"/>
      <c r="D378" s="491"/>
      <c r="E378" s="491"/>
      <c r="F378" s="491"/>
      <c r="G378" s="491"/>
      <c r="H378" s="491"/>
      <c r="I378" s="491"/>
      <c r="J378" s="491"/>
      <c r="K378" s="491"/>
      <c r="L378" s="491"/>
      <c r="M378" s="491"/>
      <c r="N378" s="491"/>
      <c r="O378" s="491"/>
      <c r="P378" s="491"/>
      <c r="Q378" s="491"/>
      <c r="R378" s="491"/>
      <c r="S378" s="491"/>
      <c r="T378" s="491"/>
      <c r="U378" s="491"/>
      <c r="V378" s="491"/>
    </row>
    <row r="379" spans="1:22" s="490" customFormat="1" x14ac:dyDescent="0.2">
      <c r="A379" s="494"/>
      <c r="B379" s="491"/>
      <c r="C379" s="491"/>
      <c r="D379" s="491"/>
      <c r="E379" s="491"/>
      <c r="F379" s="491"/>
      <c r="G379" s="491"/>
      <c r="H379" s="491"/>
      <c r="I379" s="491"/>
      <c r="J379" s="491"/>
      <c r="K379" s="491"/>
      <c r="L379" s="491"/>
      <c r="M379" s="491"/>
      <c r="N379" s="491"/>
      <c r="O379" s="491"/>
      <c r="P379" s="491"/>
      <c r="Q379" s="491"/>
      <c r="R379" s="491"/>
      <c r="S379" s="491"/>
      <c r="T379" s="491"/>
      <c r="U379" s="491"/>
      <c r="V379" s="491"/>
    </row>
    <row r="380" spans="1:22" s="490" customFormat="1" x14ac:dyDescent="0.2">
      <c r="A380" s="494"/>
      <c r="B380" s="491"/>
      <c r="C380" s="491"/>
      <c r="D380" s="491"/>
      <c r="E380" s="491"/>
      <c r="F380" s="491"/>
      <c r="G380" s="491"/>
      <c r="H380" s="491"/>
      <c r="I380" s="491"/>
      <c r="J380" s="491"/>
      <c r="K380" s="491"/>
      <c r="L380" s="491"/>
      <c r="M380" s="491"/>
      <c r="N380" s="491"/>
      <c r="O380" s="491"/>
      <c r="P380" s="491"/>
      <c r="Q380" s="491"/>
      <c r="R380" s="491"/>
      <c r="S380" s="491"/>
      <c r="T380" s="491"/>
      <c r="U380" s="491"/>
      <c r="V380" s="491"/>
    </row>
    <row r="381" spans="1:22" s="490" customFormat="1" x14ac:dyDescent="0.2">
      <c r="A381" s="494"/>
      <c r="B381" s="491"/>
      <c r="C381" s="491"/>
      <c r="D381" s="491"/>
      <c r="E381" s="491"/>
      <c r="F381" s="491"/>
      <c r="G381" s="491"/>
      <c r="H381" s="491"/>
      <c r="I381" s="491"/>
      <c r="J381" s="491"/>
      <c r="K381" s="491"/>
      <c r="L381" s="491"/>
      <c r="M381" s="491"/>
      <c r="N381" s="491"/>
      <c r="O381" s="491"/>
      <c r="P381" s="491"/>
      <c r="Q381" s="491"/>
      <c r="R381" s="491"/>
      <c r="S381" s="491"/>
      <c r="T381" s="491"/>
      <c r="U381" s="491"/>
      <c r="V381" s="491"/>
    </row>
    <row r="382" spans="1:22" s="490" customFormat="1" x14ac:dyDescent="0.2">
      <c r="A382" s="494"/>
      <c r="B382" s="491"/>
      <c r="C382" s="491"/>
      <c r="D382" s="491"/>
      <c r="E382" s="491"/>
      <c r="F382" s="491"/>
      <c r="G382" s="491"/>
      <c r="H382" s="491"/>
      <c r="I382" s="491"/>
      <c r="J382" s="491"/>
      <c r="K382" s="491"/>
      <c r="L382" s="491"/>
      <c r="M382" s="491"/>
      <c r="N382" s="491"/>
      <c r="O382" s="491"/>
      <c r="P382" s="491"/>
      <c r="Q382" s="491"/>
      <c r="R382" s="491"/>
      <c r="S382" s="491"/>
      <c r="T382" s="491"/>
      <c r="U382" s="491"/>
      <c r="V382" s="491"/>
    </row>
    <row r="383" spans="1:22" s="490" customFormat="1" x14ac:dyDescent="0.2">
      <c r="A383" s="494"/>
      <c r="B383" s="491"/>
      <c r="C383" s="491"/>
      <c r="D383" s="491"/>
      <c r="E383" s="491"/>
      <c r="F383" s="491"/>
      <c r="G383" s="491"/>
      <c r="H383" s="491"/>
      <c r="I383" s="491"/>
      <c r="J383" s="491"/>
      <c r="K383" s="491"/>
      <c r="L383" s="491"/>
      <c r="M383" s="491"/>
      <c r="N383" s="491"/>
      <c r="O383" s="491"/>
      <c r="P383" s="491"/>
      <c r="Q383" s="491"/>
      <c r="R383" s="491"/>
      <c r="S383" s="491"/>
      <c r="T383" s="491"/>
      <c r="U383" s="491"/>
      <c r="V383" s="491"/>
    </row>
    <row r="384" spans="1:22" s="490" customFormat="1" x14ac:dyDescent="0.2">
      <c r="A384" s="494"/>
      <c r="B384" s="491"/>
      <c r="C384" s="491"/>
      <c r="D384" s="491"/>
      <c r="E384" s="491"/>
      <c r="F384" s="491"/>
      <c r="G384" s="491"/>
      <c r="H384" s="491"/>
      <c r="I384" s="491"/>
      <c r="J384" s="491"/>
      <c r="K384" s="491"/>
      <c r="L384" s="491"/>
      <c r="M384" s="491"/>
      <c r="N384" s="491"/>
      <c r="O384" s="491"/>
      <c r="P384" s="491"/>
      <c r="Q384" s="491"/>
      <c r="R384" s="491"/>
      <c r="S384" s="491"/>
      <c r="T384" s="491"/>
      <c r="U384" s="491"/>
      <c r="V384" s="491"/>
    </row>
    <row r="385" spans="1:22" s="490" customFormat="1" x14ac:dyDescent="0.2">
      <c r="A385" s="494"/>
      <c r="B385" s="491"/>
      <c r="C385" s="491"/>
      <c r="D385" s="491"/>
      <c r="E385" s="491"/>
      <c r="F385" s="491"/>
      <c r="G385" s="491"/>
      <c r="H385" s="491"/>
      <c r="I385" s="491"/>
      <c r="J385" s="491"/>
      <c r="K385" s="491"/>
      <c r="L385" s="491"/>
      <c r="M385" s="491"/>
      <c r="N385" s="491"/>
      <c r="O385" s="491"/>
      <c r="P385" s="491"/>
      <c r="Q385" s="491"/>
      <c r="R385" s="491"/>
      <c r="S385" s="491"/>
      <c r="T385" s="491"/>
      <c r="U385" s="491"/>
      <c r="V385" s="491"/>
    </row>
    <row r="386" spans="1:22" s="490" customFormat="1" x14ac:dyDescent="0.2">
      <c r="A386" s="494"/>
      <c r="B386" s="491"/>
      <c r="C386" s="491"/>
      <c r="D386" s="491"/>
      <c r="E386" s="491"/>
      <c r="F386" s="491"/>
      <c r="G386" s="491"/>
      <c r="H386" s="491"/>
      <c r="I386" s="491"/>
      <c r="J386" s="491"/>
      <c r="K386" s="491"/>
      <c r="L386" s="491"/>
      <c r="M386" s="491"/>
      <c r="N386" s="491"/>
      <c r="O386" s="491"/>
      <c r="P386" s="491"/>
      <c r="Q386" s="491"/>
      <c r="R386" s="491"/>
      <c r="S386" s="491"/>
      <c r="T386" s="491"/>
      <c r="U386" s="491"/>
      <c r="V386" s="491"/>
    </row>
    <row r="387" spans="1:22" s="490" customFormat="1" x14ac:dyDescent="0.2">
      <c r="A387" s="494"/>
      <c r="B387" s="491"/>
      <c r="C387" s="491"/>
      <c r="D387" s="491"/>
      <c r="E387" s="491"/>
      <c r="F387" s="491"/>
      <c r="G387" s="491"/>
      <c r="H387" s="491"/>
      <c r="I387" s="491"/>
      <c r="J387" s="491"/>
      <c r="K387" s="491"/>
      <c r="L387" s="491"/>
      <c r="M387" s="491"/>
      <c r="N387" s="491"/>
      <c r="O387" s="491"/>
      <c r="P387" s="491"/>
      <c r="Q387" s="491"/>
      <c r="R387" s="491"/>
      <c r="S387" s="491"/>
      <c r="T387" s="491"/>
      <c r="U387" s="491"/>
      <c r="V387" s="491"/>
    </row>
    <row r="388" spans="1:22" s="490" customFormat="1" x14ac:dyDescent="0.2">
      <c r="A388" s="494"/>
      <c r="B388" s="491"/>
      <c r="C388" s="491"/>
      <c r="D388" s="491"/>
      <c r="E388" s="491"/>
      <c r="F388" s="491"/>
      <c r="G388" s="491"/>
      <c r="H388" s="491"/>
      <c r="I388" s="491"/>
      <c r="J388" s="491"/>
      <c r="K388" s="491"/>
      <c r="L388" s="491"/>
      <c r="M388" s="491"/>
      <c r="N388" s="491"/>
      <c r="O388" s="491"/>
      <c r="P388" s="491"/>
      <c r="Q388" s="491"/>
      <c r="R388" s="491"/>
      <c r="S388" s="491"/>
      <c r="T388" s="491"/>
      <c r="U388" s="491"/>
      <c r="V388" s="491"/>
    </row>
    <row r="389" spans="1:22" s="490" customFormat="1" x14ac:dyDescent="0.2">
      <c r="A389" s="494"/>
      <c r="B389" s="491"/>
      <c r="C389" s="491"/>
      <c r="D389" s="491"/>
      <c r="E389" s="491"/>
      <c r="F389" s="491"/>
      <c r="G389" s="491"/>
      <c r="H389" s="491"/>
      <c r="I389" s="491"/>
      <c r="J389" s="491"/>
      <c r="K389" s="491"/>
      <c r="L389" s="491"/>
      <c r="M389" s="491"/>
      <c r="N389" s="491"/>
      <c r="O389" s="491"/>
      <c r="P389" s="491"/>
      <c r="Q389" s="491"/>
      <c r="R389" s="491"/>
      <c r="S389" s="491"/>
      <c r="T389" s="491"/>
      <c r="U389" s="491"/>
      <c r="V389" s="491"/>
    </row>
    <row r="390" spans="1:22" s="490" customFormat="1" x14ac:dyDescent="0.2">
      <c r="A390" s="494"/>
      <c r="B390" s="491"/>
      <c r="C390" s="491"/>
      <c r="D390" s="491"/>
      <c r="E390" s="491"/>
      <c r="F390" s="491"/>
      <c r="G390" s="491"/>
      <c r="H390" s="491"/>
      <c r="I390" s="491"/>
      <c r="J390" s="491"/>
      <c r="K390" s="491"/>
      <c r="L390" s="491"/>
      <c r="M390" s="491"/>
      <c r="N390" s="491"/>
      <c r="O390" s="491"/>
      <c r="P390" s="491"/>
      <c r="Q390" s="491"/>
      <c r="R390" s="491"/>
      <c r="S390" s="491"/>
      <c r="T390" s="491"/>
      <c r="U390" s="491"/>
      <c r="V390" s="491"/>
    </row>
    <row r="391" spans="1:22" s="490" customFormat="1" x14ac:dyDescent="0.2">
      <c r="A391" s="494"/>
      <c r="B391" s="491"/>
      <c r="C391" s="491"/>
      <c r="D391" s="491"/>
      <c r="E391" s="491"/>
      <c r="F391" s="491"/>
      <c r="G391" s="491"/>
      <c r="H391" s="491"/>
      <c r="I391" s="491"/>
      <c r="J391" s="491"/>
      <c r="K391" s="491"/>
      <c r="L391" s="491"/>
      <c r="M391" s="491"/>
      <c r="N391" s="491"/>
      <c r="O391" s="491"/>
      <c r="P391" s="491"/>
      <c r="Q391" s="491"/>
      <c r="R391" s="491"/>
      <c r="S391" s="491"/>
      <c r="T391" s="491"/>
      <c r="U391" s="491"/>
      <c r="V391" s="491"/>
    </row>
    <row r="392" spans="1:22" s="490" customFormat="1" x14ac:dyDescent="0.2">
      <c r="A392" s="494"/>
      <c r="B392" s="491"/>
      <c r="C392" s="491"/>
      <c r="D392" s="491"/>
      <c r="E392" s="491"/>
      <c r="F392" s="491"/>
      <c r="G392" s="491"/>
      <c r="H392" s="491"/>
      <c r="I392" s="491"/>
      <c r="J392" s="491"/>
      <c r="K392" s="491"/>
      <c r="L392" s="491"/>
      <c r="M392" s="491"/>
      <c r="N392" s="491"/>
      <c r="O392" s="491"/>
      <c r="P392" s="491"/>
      <c r="Q392" s="491"/>
      <c r="R392" s="491"/>
      <c r="S392" s="491"/>
      <c r="T392" s="491"/>
      <c r="U392" s="491"/>
      <c r="V392" s="491"/>
    </row>
    <row r="393" spans="1:22" s="490" customFormat="1" x14ac:dyDescent="0.2">
      <c r="A393" s="494"/>
      <c r="B393" s="491"/>
      <c r="C393" s="491"/>
      <c r="D393" s="491"/>
      <c r="E393" s="491"/>
      <c r="F393" s="491"/>
      <c r="G393" s="491"/>
      <c r="H393" s="491"/>
      <c r="I393" s="491"/>
      <c r="J393" s="491"/>
      <c r="K393" s="491"/>
      <c r="L393" s="491"/>
      <c r="M393" s="491"/>
      <c r="N393" s="491"/>
      <c r="O393" s="491"/>
      <c r="P393" s="491"/>
      <c r="Q393" s="491"/>
      <c r="R393" s="491"/>
      <c r="S393" s="491"/>
      <c r="T393" s="491"/>
      <c r="U393" s="491"/>
      <c r="V393" s="491"/>
    </row>
    <row r="394" spans="1:22" s="490" customFormat="1" x14ac:dyDescent="0.2">
      <c r="A394" s="494"/>
      <c r="B394" s="491"/>
      <c r="C394" s="491"/>
      <c r="D394" s="491"/>
      <c r="E394" s="491"/>
      <c r="F394" s="491"/>
      <c r="G394" s="491"/>
      <c r="H394" s="491"/>
      <c r="I394" s="491"/>
      <c r="J394" s="491"/>
      <c r="K394" s="491"/>
      <c r="L394" s="491"/>
      <c r="M394" s="491"/>
      <c r="N394" s="491"/>
      <c r="O394" s="491"/>
      <c r="P394" s="491"/>
      <c r="Q394" s="491"/>
      <c r="R394" s="491"/>
      <c r="S394" s="491"/>
      <c r="T394" s="491"/>
      <c r="U394" s="491"/>
      <c r="V394" s="491"/>
    </row>
    <row r="395" spans="1:22" s="490" customFormat="1" x14ac:dyDescent="0.2">
      <c r="A395" s="494"/>
      <c r="B395" s="491"/>
      <c r="C395" s="491"/>
      <c r="D395" s="491"/>
      <c r="E395" s="491"/>
      <c r="F395" s="491"/>
      <c r="G395" s="491"/>
      <c r="H395" s="491"/>
      <c r="I395" s="491"/>
      <c r="J395" s="491"/>
      <c r="K395" s="491"/>
      <c r="L395" s="491"/>
      <c r="M395" s="491"/>
      <c r="N395" s="491"/>
      <c r="O395" s="491"/>
      <c r="P395" s="491"/>
      <c r="Q395" s="491"/>
      <c r="R395" s="491"/>
      <c r="S395" s="491"/>
      <c r="T395" s="491"/>
      <c r="U395" s="491"/>
      <c r="V395" s="491"/>
    </row>
    <row r="396" spans="1:22" s="490" customFormat="1" x14ac:dyDescent="0.2">
      <c r="A396" s="494"/>
      <c r="B396" s="491"/>
      <c r="C396" s="491"/>
      <c r="D396" s="491"/>
      <c r="E396" s="491"/>
      <c r="F396" s="491"/>
      <c r="G396" s="491"/>
      <c r="H396" s="491"/>
      <c r="I396" s="491"/>
      <c r="J396" s="491"/>
      <c r="K396" s="491"/>
      <c r="L396" s="491"/>
      <c r="M396" s="491"/>
      <c r="N396" s="491"/>
      <c r="O396" s="491"/>
      <c r="P396" s="491"/>
      <c r="Q396" s="491"/>
      <c r="R396" s="491"/>
      <c r="S396" s="491"/>
      <c r="T396" s="491"/>
      <c r="U396" s="491"/>
      <c r="V396" s="491"/>
    </row>
    <row r="397" spans="1:22" s="490" customFormat="1" x14ac:dyDescent="0.2">
      <c r="A397" s="494"/>
      <c r="B397" s="491"/>
      <c r="C397" s="491"/>
      <c r="D397" s="491"/>
      <c r="E397" s="491"/>
      <c r="F397" s="491"/>
      <c r="G397" s="491"/>
      <c r="H397" s="491"/>
      <c r="I397" s="491"/>
      <c r="J397" s="491"/>
      <c r="K397" s="491"/>
      <c r="L397" s="491"/>
      <c r="M397" s="491"/>
      <c r="N397" s="491"/>
      <c r="O397" s="491"/>
      <c r="P397" s="491"/>
      <c r="Q397" s="491"/>
      <c r="R397" s="491"/>
      <c r="S397" s="491"/>
      <c r="T397" s="491"/>
      <c r="U397" s="491"/>
      <c r="V397" s="491"/>
    </row>
    <row r="398" spans="1:22" s="490" customFormat="1" x14ac:dyDescent="0.2">
      <c r="A398" s="494"/>
      <c r="B398" s="491"/>
      <c r="C398" s="491"/>
      <c r="D398" s="491"/>
      <c r="E398" s="491"/>
      <c r="F398" s="491"/>
      <c r="G398" s="491"/>
      <c r="H398" s="491"/>
      <c r="I398" s="491"/>
      <c r="J398" s="491"/>
      <c r="K398" s="491"/>
      <c r="L398" s="491"/>
      <c r="M398" s="491"/>
      <c r="N398" s="491"/>
      <c r="O398" s="491"/>
      <c r="P398" s="491"/>
      <c r="Q398" s="491"/>
      <c r="R398" s="491"/>
      <c r="S398" s="491"/>
      <c r="T398" s="491"/>
      <c r="U398" s="491"/>
      <c r="V398" s="491"/>
    </row>
    <row r="399" spans="1:22" s="490" customFormat="1" x14ac:dyDescent="0.2">
      <c r="A399" s="494"/>
      <c r="B399" s="491"/>
      <c r="C399" s="491"/>
      <c r="D399" s="491"/>
      <c r="E399" s="491"/>
      <c r="F399" s="491"/>
      <c r="G399" s="491"/>
      <c r="H399" s="491"/>
      <c r="I399" s="491"/>
      <c r="J399" s="491"/>
      <c r="K399" s="491"/>
      <c r="L399" s="491"/>
      <c r="M399" s="491"/>
      <c r="N399" s="491"/>
      <c r="O399" s="491"/>
      <c r="P399" s="491"/>
      <c r="Q399" s="491"/>
      <c r="R399" s="491"/>
      <c r="S399" s="491"/>
      <c r="T399" s="491"/>
      <c r="U399" s="491"/>
      <c r="V399" s="491"/>
    </row>
    <row r="400" spans="1:22" s="490" customFormat="1" x14ac:dyDescent="0.2">
      <c r="A400" s="494"/>
      <c r="B400" s="491"/>
      <c r="C400" s="491"/>
      <c r="D400" s="491"/>
      <c r="E400" s="491"/>
      <c r="F400" s="491"/>
      <c r="G400" s="491"/>
      <c r="H400" s="491"/>
      <c r="I400" s="491"/>
      <c r="J400" s="491"/>
      <c r="K400" s="491"/>
      <c r="L400" s="491"/>
      <c r="M400" s="491"/>
      <c r="N400" s="491"/>
      <c r="O400" s="491"/>
      <c r="P400" s="491"/>
      <c r="Q400" s="491"/>
      <c r="R400" s="491"/>
      <c r="S400" s="491"/>
      <c r="T400" s="491"/>
      <c r="U400" s="491"/>
      <c r="V400" s="491"/>
    </row>
    <row r="401" spans="1:22" s="490" customFormat="1" x14ac:dyDescent="0.2">
      <c r="A401" s="494"/>
      <c r="B401" s="491"/>
      <c r="C401" s="491"/>
      <c r="D401" s="491"/>
      <c r="E401" s="491"/>
      <c r="F401" s="491"/>
      <c r="G401" s="491"/>
      <c r="H401" s="491"/>
      <c r="I401" s="491"/>
      <c r="J401" s="491"/>
      <c r="K401" s="491"/>
      <c r="L401" s="491"/>
      <c r="M401" s="491"/>
      <c r="N401" s="491"/>
      <c r="O401" s="491"/>
      <c r="P401" s="491"/>
      <c r="Q401" s="491"/>
      <c r="R401" s="491"/>
      <c r="S401" s="491"/>
      <c r="T401" s="491"/>
      <c r="U401" s="491"/>
      <c r="V401" s="491"/>
    </row>
    <row r="402" spans="1:22" s="490" customFormat="1" x14ac:dyDescent="0.2">
      <c r="A402" s="494"/>
      <c r="B402" s="491"/>
      <c r="C402" s="491"/>
      <c r="D402" s="491"/>
      <c r="E402" s="491"/>
      <c r="F402" s="491"/>
      <c r="G402" s="491"/>
      <c r="H402" s="491"/>
      <c r="I402" s="491"/>
      <c r="J402" s="491"/>
      <c r="K402" s="491"/>
      <c r="L402" s="491"/>
      <c r="M402" s="491"/>
      <c r="N402" s="491"/>
      <c r="O402" s="491"/>
      <c r="P402" s="491"/>
      <c r="Q402" s="491"/>
      <c r="R402" s="491"/>
      <c r="S402" s="491"/>
      <c r="T402" s="491"/>
      <c r="U402" s="491"/>
      <c r="V402" s="491"/>
    </row>
    <row r="403" spans="1:22" s="490" customFormat="1" x14ac:dyDescent="0.2">
      <c r="A403" s="494"/>
      <c r="B403" s="491"/>
      <c r="C403" s="491"/>
      <c r="D403" s="491"/>
      <c r="E403" s="491"/>
      <c r="F403" s="491"/>
      <c r="G403" s="491"/>
      <c r="H403" s="491"/>
      <c r="I403" s="491"/>
      <c r="J403" s="491"/>
      <c r="K403" s="491"/>
      <c r="L403" s="491"/>
      <c r="M403" s="491"/>
      <c r="N403" s="491"/>
      <c r="O403" s="491"/>
      <c r="P403" s="491"/>
      <c r="Q403" s="491"/>
      <c r="R403" s="491"/>
      <c r="S403" s="491"/>
      <c r="T403" s="491"/>
      <c r="U403" s="491"/>
      <c r="V403" s="491"/>
    </row>
    <row r="404" spans="1:22" s="490" customFormat="1" x14ac:dyDescent="0.2">
      <c r="A404" s="494"/>
      <c r="B404" s="491"/>
      <c r="C404" s="491"/>
      <c r="D404" s="491"/>
      <c r="E404" s="491"/>
      <c r="F404" s="491"/>
      <c r="G404" s="491"/>
      <c r="H404" s="491"/>
      <c r="I404" s="491"/>
      <c r="J404" s="491"/>
      <c r="K404" s="491"/>
      <c r="L404" s="491"/>
      <c r="M404" s="491"/>
      <c r="N404" s="491"/>
      <c r="O404" s="491"/>
      <c r="P404" s="491"/>
      <c r="Q404" s="491"/>
      <c r="R404" s="491"/>
      <c r="S404" s="491"/>
      <c r="T404" s="491"/>
      <c r="U404" s="491"/>
      <c r="V404" s="491"/>
    </row>
    <row r="405" spans="1:22" s="490" customFormat="1" x14ac:dyDescent="0.2">
      <c r="A405" s="494"/>
      <c r="B405" s="491"/>
      <c r="C405" s="491"/>
      <c r="D405" s="491"/>
      <c r="E405" s="491"/>
      <c r="F405" s="491"/>
      <c r="G405" s="491"/>
      <c r="H405" s="491"/>
      <c r="I405" s="491"/>
      <c r="J405" s="491"/>
      <c r="K405" s="491"/>
      <c r="L405" s="491"/>
      <c r="M405" s="491"/>
      <c r="N405" s="491"/>
      <c r="O405" s="491"/>
      <c r="P405" s="491"/>
      <c r="Q405" s="491"/>
      <c r="R405" s="491"/>
      <c r="S405" s="491"/>
      <c r="T405" s="491"/>
      <c r="U405" s="491"/>
      <c r="V405" s="491"/>
    </row>
    <row r="406" spans="1:22" s="490" customFormat="1" x14ac:dyDescent="0.2">
      <c r="A406" s="494"/>
      <c r="B406" s="491"/>
      <c r="C406" s="491"/>
      <c r="D406" s="491"/>
      <c r="E406" s="491"/>
      <c r="F406" s="491"/>
      <c r="G406" s="491"/>
      <c r="H406" s="491"/>
      <c r="I406" s="491"/>
      <c r="J406" s="491"/>
      <c r="K406" s="491"/>
      <c r="L406" s="491"/>
      <c r="M406" s="491"/>
      <c r="N406" s="491"/>
      <c r="O406" s="491"/>
      <c r="P406" s="491"/>
      <c r="Q406" s="491"/>
      <c r="R406" s="491"/>
      <c r="S406" s="491"/>
      <c r="T406" s="491"/>
      <c r="U406" s="491"/>
      <c r="V406" s="491"/>
    </row>
    <row r="407" spans="1:22" s="490" customFormat="1" x14ac:dyDescent="0.2">
      <c r="A407" s="494"/>
      <c r="B407" s="491"/>
      <c r="C407" s="491"/>
      <c r="D407" s="491"/>
      <c r="E407" s="491"/>
      <c r="F407" s="491"/>
      <c r="G407" s="491"/>
      <c r="H407" s="491"/>
      <c r="I407" s="491"/>
      <c r="J407" s="491"/>
      <c r="K407" s="491"/>
      <c r="L407" s="491"/>
      <c r="M407" s="491"/>
      <c r="N407" s="491"/>
      <c r="O407" s="491"/>
      <c r="P407" s="491"/>
      <c r="Q407" s="491"/>
      <c r="R407" s="491"/>
      <c r="S407" s="491"/>
      <c r="T407" s="491"/>
      <c r="U407" s="491"/>
      <c r="V407" s="491"/>
    </row>
    <row r="408" spans="1:22" s="490" customFormat="1" x14ac:dyDescent="0.2">
      <c r="A408" s="494"/>
      <c r="B408" s="491"/>
      <c r="C408" s="491"/>
      <c r="D408" s="491"/>
      <c r="E408" s="491"/>
      <c r="F408" s="491"/>
      <c r="G408" s="491"/>
      <c r="H408" s="491"/>
      <c r="I408" s="491"/>
      <c r="J408" s="491"/>
      <c r="K408" s="491"/>
      <c r="L408" s="491"/>
      <c r="M408" s="491"/>
      <c r="N408" s="491"/>
      <c r="O408" s="491"/>
      <c r="P408" s="491"/>
      <c r="Q408" s="491"/>
      <c r="R408" s="491"/>
      <c r="S408" s="491"/>
      <c r="T408" s="491"/>
      <c r="U408" s="491"/>
      <c r="V408" s="491"/>
    </row>
    <row r="409" spans="1:22" s="490" customFormat="1" x14ac:dyDescent="0.2">
      <c r="A409" s="494"/>
      <c r="B409" s="491"/>
      <c r="C409" s="491"/>
      <c r="D409" s="491"/>
      <c r="E409" s="491"/>
      <c r="F409" s="491"/>
      <c r="G409" s="491"/>
      <c r="H409" s="491"/>
      <c r="I409" s="491"/>
      <c r="J409" s="491"/>
      <c r="K409" s="491"/>
      <c r="L409" s="491"/>
      <c r="M409" s="491"/>
      <c r="N409" s="491"/>
      <c r="O409" s="491"/>
      <c r="P409" s="491"/>
      <c r="Q409" s="491"/>
      <c r="R409" s="491"/>
      <c r="S409" s="491"/>
      <c r="T409" s="491"/>
      <c r="U409" s="491"/>
      <c r="V409" s="491"/>
    </row>
    <row r="410" spans="1:22" s="490" customFormat="1" x14ac:dyDescent="0.2">
      <c r="A410" s="494"/>
      <c r="B410" s="491"/>
      <c r="C410" s="491"/>
      <c r="D410" s="491"/>
      <c r="E410" s="491"/>
      <c r="F410" s="491"/>
      <c r="G410" s="491"/>
      <c r="H410" s="491"/>
      <c r="I410" s="491"/>
      <c r="J410" s="491"/>
      <c r="K410" s="491"/>
      <c r="L410" s="491"/>
      <c r="M410" s="491"/>
      <c r="N410" s="491"/>
      <c r="O410" s="491"/>
      <c r="P410" s="491"/>
      <c r="Q410" s="491"/>
      <c r="R410" s="491"/>
      <c r="S410" s="491"/>
      <c r="T410" s="491"/>
      <c r="U410" s="491"/>
      <c r="V410" s="491"/>
    </row>
    <row r="411" spans="1:22" s="490" customFormat="1" x14ac:dyDescent="0.2">
      <c r="A411" s="494"/>
      <c r="B411" s="491"/>
      <c r="C411" s="491"/>
      <c r="D411" s="491"/>
      <c r="E411" s="491"/>
      <c r="F411" s="491"/>
      <c r="G411" s="491"/>
      <c r="H411" s="491"/>
      <c r="I411" s="491"/>
      <c r="J411" s="491"/>
      <c r="K411" s="491"/>
      <c r="L411" s="491"/>
      <c r="M411" s="491"/>
      <c r="N411" s="491"/>
      <c r="O411" s="491"/>
      <c r="P411" s="491"/>
      <c r="Q411" s="491"/>
      <c r="R411" s="491"/>
      <c r="S411" s="491"/>
      <c r="T411" s="491"/>
      <c r="U411" s="491"/>
      <c r="V411" s="491"/>
    </row>
    <row r="412" spans="1:22" s="490" customFormat="1" x14ac:dyDescent="0.2">
      <c r="A412" s="494"/>
      <c r="B412" s="491"/>
      <c r="C412" s="491"/>
      <c r="D412" s="491"/>
      <c r="E412" s="491"/>
      <c r="F412" s="491"/>
      <c r="G412" s="491"/>
      <c r="H412" s="491"/>
      <c r="I412" s="491"/>
      <c r="J412" s="491"/>
      <c r="K412" s="491"/>
      <c r="L412" s="491"/>
      <c r="M412" s="491"/>
      <c r="N412" s="491"/>
      <c r="O412" s="491"/>
      <c r="P412" s="491"/>
      <c r="Q412" s="491"/>
      <c r="R412" s="491"/>
      <c r="S412" s="491"/>
      <c r="T412" s="491"/>
      <c r="U412" s="491"/>
      <c r="V412" s="491"/>
    </row>
    <row r="413" spans="1:22" s="490" customFormat="1" x14ac:dyDescent="0.2">
      <c r="A413" s="494"/>
      <c r="B413" s="491"/>
      <c r="C413" s="491"/>
      <c r="D413" s="491"/>
      <c r="E413" s="491"/>
      <c r="F413" s="491"/>
      <c r="G413" s="491"/>
      <c r="H413" s="491"/>
      <c r="I413" s="491"/>
      <c r="J413" s="491"/>
      <c r="K413" s="491"/>
      <c r="L413" s="491"/>
      <c r="M413" s="491"/>
      <c r="N413" s="491"/>
      <c r="O413" s="491"/>
      <c r="P413" s="491"/>
      <c r="Q413" s="491"/>
      <c r="R413" s="491"/>
      <c r="S413" s="491"/>
      <c r="T413" s="491"/>
      <c r="U413" s="491"/>
      <c r="V413" s="491"/>
    </row>
    <row r="414" spans="1:22" s="490" customFormat="1" x14ac:dyDescent="0.2">
      <c r="A414" s="494"/>
      <c r="B414" s="491"/>
      <c r="C414" s="491"/>
      <c r="D414" s="491"/>
      <c r="E414" s="491"/>
      <c r="F414" s="491"/>
      <c r="G414" s="491"/>
      <c r="H414" s="491"/>
      <c r="I414" s="491"/>
      <c r="J414" s="491"/>
      <c r="K414" s="491"/>
      <c r="L414" s="491"/>
      <c r="M414" s="491"/>
      <c r="N414" s="491"/>
      <c r="O414" s="491"/>
      <c r="P414" s="491"/>
      <c r="Q414" s="491"/>
      <c r="R414" s="491"/>
      <c r="S414" s="491"/>
      <c r="T414" s="491"/>
      <c r="U414" s="491"/>
      <c r="V414" s="491"/>
    </row>
    <row r="415" spans="1:22" s="490" customFormat="1" x14ac:dyDescent="0.2">
      <c r="A415" s="494"/>
      <c r="B415" s="491"/>
      <c r="C415" s="491"/>
      <c r="D415" s="491"/>
      <c r="E415" s="491"/>
      <c r="F415" s="491"/>
      <c r="G415" s="491"/>
      <c r="H415" s="491"/>
      <c r="I415" s="491"/>
      <c r="J415" s="491"/>
      <c r="K415" s="491"/>
      <c r="L415" s="491"/>
      <c r="M415" s="491"/>
      <c r="N415" s="491"/>
      <c r="O415" s="491"/>
      <c r="P415" s="491"/>
      <c r="Q415" s="491"/>
      <c r="R415" s="491"/>
      <c r="S415" s="491"/>
      <c r="T415" s="491"/>
      <c r="U415" s="491"/>
      <c r="V415" s="491"/>
    </row>
    <row r="416" spans="1:22" s="490" customFormat="1" x14ac:dyDescent="0.2">
      <c r="A416" s="494"/>
      <c r="B416" s="491"/>
      <c r="C416" s="491"/>
      <c r="D416" s="491"/>
      <c r="E416" s="491"/>
      <c r="F416" s="491"/>
      <c r="G416" s="491"/>
      <c r="H416" s="491"/>
      <c r="I416" s="491"/>
      <c r="J416" s="491"/>
      <c r="K416" s="491"/>
      <c r="L416" s="491"/>
      <c r="M416" s="491"/>
      <c r="N416" s="491"/>
      <c r="O416" s="491"/>
      <c r="P416" s="491"/>
      <c r="Q416" s="491"/>
      <c r="R416" s="491"/>
      <c r="S416" s="491"/>
      <c r="T416" s="491"/>
      <c r="U416" s="491"/>
      <c r="V416" s="491"/>
    </row>
    <row r="417" spans="1:22" s="490" customFormat="1" x14ac:dyDescent="0.2">
      <c r="A417" s="494"/>
      <c r="B417" s="491"/>
      <c r="C417" s="491"/>
      <c r="D417" s="491"/>
      <c r="E417" s="491"/>
      <c r="F417" s="491"/>
      <c r="G417" s="491"/>
      <c r="H417" s="491"/>
      <c r="I417" s="491"/>
      <c r="J417" s="491"/>
      <c r="K417" s="491"/>
      <c r="L417" s="491"/>
      <c r="M417" s="491"/>
      <c r="N417" s="491"/>
      <c r="O417" s="491"/>
      <c r="P417" s="491"/>
      <c r="Q417" s="491"/>
      <c r="R417" s="491"/>
      <c r="S417" s="491"/>
      <c r="T417" s="491"/>
      <c r="U417" s="491"/>
      <c r="V417" s="491"/>
    </row>
    <row r="418" spans="1:22" s="490" customFormat="1" x14ac:dyDescent="0.2">
      <c r="A418" s="494"/>
      <c r="B418" s="491"/>
      <c r="C418" s="491"/>
      <c r="D418" s="491"/>
      <c r="E418" s="491"/>
      <c r="F418" s="491"/>
      <c r="G418" s="491"/>
      <c r="H418" s="491"/>
      <c r="I418" s="491"/>
      <c r="J418" s="491"/>
      <c r="K418" s="491"/>
      <c r="L418" s="491"/>
      <c r="M418" s="491"/>
      <c r="N418" s="491"/>
      <c r="O418" s="491"/>
      <c r="P418" s="491"/>
      <c r="Q418" s="491"/>
      <c r="R418" s="491"/>
      <c r="S418" s="491"/>
      <c r="T418" s="491"/>
      <c r="U418" s="491"/>
      <c r="V418" s="491"/>
    </row>
    <row r="419" spans="1:22" s="490" customFormat="1" x14ac:dyDescent="0.2">
      <c r="A419" s="494"/>
      <c r="B419" s="491"/>
      <c r="C419" s="491"/>
      <c r="D419" s="491"/>
      <c r="E419" s="491"/>
      <c r="F419" s="491"/>
      <c r="G419" s="491"/>
      <c r="H419" s="491"/>
      <c r="I419" s="491"/>
      <c r="J419" s="491"/>
      <c r="K419" s="491"/>
      <c r="L419" s="491"/>
      <c r="M419" s="491"/>
      <c r="N419" s="491"/>
      <c r="O419" s="491"/>
      <c r="P419" s="491"/>
      <c r="Q419" s="491"/>
      <c r="R419" s="491"/>
      <c r="S419" s="491"/>
      <c r="T419" s="491"/>
      <c r="U419" s="491"/>
      <c r="V419" s="491"/>
    </row>
    <row r="420" spans="1:22" s="490" customFormat="1" x14ac:dyDescent="0.2">
      <c r="A420" s="494"/>
      <c r="B420" s="491"/>
      <c r="C420" s="491"/>
      <c r="D420" s="491"/>
      <c r="E420" s="491"/>
      <c r="F420" s="491"/>
      <c r="G420" s="491"/>
      <c r="H420" s="491"/>
      <c r="I420" s="491"/>
      <c r="J420" s="491"/>
      <c r="K420" s="491"/>
      <c r="L420" s="491"/>
      <c r="M420" s="491"/>
      <c r="N420" s="491"/>
      <c r="O420" s="491"/>
      <c r="P420" s="491"/>
      <c r="Q420" s="491"/>
      <c r="R420" s="491"/>
      <c r="S420" s="491"/>
      <c r="T420" s="491"/>
      <c r="U420" s="491"/>
      <c r="V420" s="491"/>
    </row>
    <row r="421" spans="1:22" s="490" customFormat="1" x14ac:dyDescent="0.2">
      <c r="A421" s="494"/>
      <c r="B421" s="491"/>
      <c r="C421" s="491"/>
      <c r="D421" s="491"/>
      <c r="E421" s="491"/>
      <c r="F421" s="491"/>
      <c r="G421" s="491"/>
      <c r="H421" s="491"/>
      <c r="I421" s="491"/>
      <c r="J421" s="491"/>
      <c r="K421" s="491"/>
      <c r="L421" s="491"/>
      <c r="M421" s="491"/>
      <c r="N421" s="491"/>
      <c r="O421" s="491"/>
      <c r="P421" s="491"/>
      <c r="Q421" s="491"/>
      <c r="R421" s="491"/>
      <c r="S421" s="491"/>
      <c r="T421" s="491"/>
      <c r="U421" s="491"/>
      <c r="V421" s="491"/>
    </row>
    <row r="422" spans="1:22" s="490" customFormat="1" x14ac:dyDescent="0.2">
      <c r="A422" s="494"/>
      <c r="B422" s="491"/>
      <c r="C422" s="491"/>
      <c r="D422" s="491"/>
      <c r="E422" s="491"/>
      <c r="F422" s="491"/>
      <c r="G422" s="491"/>
      <c r="H422" s="491"/>
      <c r="I422" s="491"/>
      <c r="J422" s="491"/>
      <c r="K422" s="491"/>
      <c r="L422" s="491"/>
      <c r="M422" s="491"/>
      <c r="N422" s="491"/>
      <c r="O422" s="491"/>
      <c r="P422" s="491"/>
      <c r="Q422" s="491"/>
      <c r="R422" s="491"/>
      <c r="S422" s="491"/>
      <c r="T422" s="491"/>
      <c r="U422" s="491"/>
      <c r="V422" s="491"/>
    </row>
    <row r="423" spans="1:22" s="490" customFormat="1" x14ac:dyDescent="0.2">
      <c r="A423" s="494"/>
      <c r="B423" s="491"/>
      <c r="C423" s="491"/>
      <c r="D423" s="491"/>
      <c r="E423" s="491"/>
      <c r="F423" s="491"/>
      <c r="G423" s="491"/>
      <c r="H423" s="491"/>
      <c r="I423" s="491"/>
      <c r="J423" s="491"/>
      <c r="K423" s="491"/>
      <c r="L423" s="491"/>
      <c r="M423" s="491"/>
      <c r="N423" s="491"/>
      <c r="O423" s="491"/>
      <c r="P423" s="491"/>
      <c r="Q423" s="491"/>
      <c r="R423" s="491"/>
      <c r="S423" s="491"/>
      <c r="T423" s="491"/>
      <c r="U423" s="491"/>
      <c r="V423" s="491"/>
    </row>
    <row r="424" spans="1:22" s="490" customFormat="1" x14ac:dyDescent="0.2">
      <c r="A424" s="494"/>
      <c r="B424" s="491"/>
      <c r="C424" s="491"/>
      <c r="D424" s="491"/>
      <c r="E424" s="491"/>
      <c r="F424" s="491"/>
      <c r="G424" s="491"/>
      <c r="H424" s="491"/>
      <c r="I424" s="491"/>
      <c r="J424" s="491"/>
      <c r="K424" s="491"/>
      <c r="L424" s="491"/>
      <c r="M424" s="491"/>
      <c r="N424" s="491"/>
      <c r="O424" s="491"/>
      <c r="P424" s="491"/>
      <c r="Q424" s="491"/>
      <c r="R424" s="491"/>
      <c r="S424" s="491"/>
      <c r="T424" s="491"/>
      <c r="U424" s="491"/>
      <c r="V424" s="491"/>
    </row>
    <row r="425" spans="1:22" s="490" customFormat="1" x14ac:dyDescent="0.2">
      <c r="A425" s="494"/>
      <c r="B425" s="491"/>
      <c r="C425" s="491"/>
      <c r="D425" s="491"/>
      <c r="E425" s="491"/>
      <c r="F425" s="491"/>
      <c r="G425" s="491"/>
      <c r="H425" s="491"/>
      <c r="I425" s="491"/>
      <c r="J425" s="491"/>
      <c r="K425" s="491"/>
      <c r="L425" s="491"/>
      <c r="M425" s="491"/>
      <c r="N425" s="491"/>
      <c r="O425" s="491"/>
      <c r="P425" s="491"/>
      <c r="Q425" s="491"/>
      <c r="R425" s="491"/>
      <c r="S425" s="491"/>
      <c r="T425" s="491"/>
      <c r="U425" s="491"/>
      <c r="V425" s="491"/>
    </row>
    <row r="426" spans="1:22" s="490" customFormat="1" x14ac:dyDescent="0.2">
      <c r="A426" s="494"/>
      <c r="B426" s="491"/>
      <c r="C426" s="491"/>
      <c r="D426" s="491"/>
      <c r="E426" s="491"/>
      <c r="F426" s="491"/>
      <c r="G426" s="491"/>
      <c r="H426" s="491"/>
      <c r="I426" s="491"/>
      <c r="J426" s="491"/>
      <c r="K426" s="491"/>
      <c r="L426" s="491"/>
      <c r="M426" s="491"/>
      <c r="N426" s="491"/>
      <c r="O426" s="491"/>
      <c r="P426" s="491"/>
      <c r="Q426" s="491"/>
      <c r="R426" s="491"/>
      <c r="S426" s="491"/>
      <c r="T426" s="491"/>
      <c r="U426" s="491"/>
      <c r="V426" s="491"/>
    </row>
    <row r="427" spans="1:22" s="490" customFormat="1" x14ac:dyDescent="0.2">
      <c r="A427" s="494"/>
      <c r="B427" s="491"/>
      <c r="C427" s="491"/>
      <c r="D427" s="491"/>
      <c r="E427" s="491"/>
      <c r="F427" s="491"/>
      <c r="G427" s="491"/>
      <c r="H427" s="491"/>
      <c r="I427" s="491"/>
      <c r="J427" s="491"/>
      <c r="K427" s="491"/>
      <c r="L427" s="491"/>
      <c r="M427" s="491"/>
      <c r="N427" s="491"/>
      <c r="O427" s="491"/>
      <c r="P427" s="491"/>
      <c r="Q427" s="491"/>
      <c r="R427" s="491"/>
      <c r="S427" s="491"/>
      <c r="T427" s="491"/>
      <c r="U427" s="491"/>
      <c r="V427" s="491"/>
    </row>
    <row r="428" spans="1:22" s="490" customFormat="1" x14ac:dyDescent="0.2">
      <c r="A428" s="494"/>
      <c r="B428" s="491"/>
      <c r="C428" s="491"/>
      <c r="D428" s="491"/>
      <c r="E428" s="491"/>
      <c r="F428" s="491"/>
      <c r="G428" s="491"/>
      <c r="H428" s="491"/>
      <c r="I428" s="491"/>
      <c r="J428" s="491"/>
      <c r="K428" s="491"/>
      <c r="L428" s="491"/>
      <c r="M428" s="491"/>
      <c r="N428" s="491"/>
      <c r="O428" s="491"/>
      <c r="P428" s="491"/>
      <c r="Q428" s="491"/>
      <c r="R428" s="491"/>
      <c r="S428" s="491"/>
      <c r="T428" s="491"/>
      <c r="U428" s="491"/>
      <c r="V428" s="491"/>
    </row>
    <row r="429" spans="1:22" s="490" customFormat="1" x14ac:dyDescent="0.2">
      <c r="A429" s="494"/>
      <c r="B429" s="491"/>
      <c r="C429" s="491"/>
      <c r="D429" s="491"/>
      <c r="E429" s="491"/>
      <c r="F429" s="491"/>
      <c r="G429" s="491"/>
      <c r="H429" s="491"/>
      <c r="I429" s="491"/>
      <c r="J429" s="491"/>
      <c r="K429" s="491"/>
      <c r="L429" s="491"/>
      <c r="M429" s="491"/>
      <c r="N429" s="491"/>
      <c r="O429" s="491"/>
      <c r="P429" s="491"/>
      <c r="Q429" s="491"/>
      <c r="R429" s="491"/>
      <c r="S429" s="491"/>
      <c r="T429" s="491"/>
      <c r="U429" s="491"/>
      <c r="V429" s="491"/>
    </row>
    <row r="430" spans="1:22" s="490" customFormat="1" x14ac:dyDescent="0.2">
      <c r="A430" s="494"/>
      <c r="B430" s="491"/>
      <c r="C430" s="491"/>
      <c r="D430" s="491"/>
      <c r="E430" s="491"/>
      <c r="F430" s="491"/>
      <c r="G430" s="491"/>
      <c r="H430" s="491"/>
      <c r="I430" s="491"/>
      <c r="J430" s="491"/>
      <c r="K430" s="491"/>
      <c r="L430" s="491"/>
      <c r="M430" s="491"/>
      <c r="N430" s="491"/>
      <c r="O430" s="491"/>
      <c r="P430" s="491"/>
      <c r="Q430" s="491"/>
      <c r="R430" s="491"/>
      <c r="S430" s="491"/>
      <c r="T430" s="491"/>
      <c r="U430" s="491"/>
      <c r="V430" s="491"/>
    </row>
    <row r="431" spans="1:22" s="490" customFormat="1" x14ac:dyDescent="0.2">
      <c r="A431" s="494"/>
      <c r="B431" s="491"/>
      <c r="C431" s="491"/>
      <c r="D431" s="491"/>
      <c r="E431" s="491"/>
      <c r="F431" s="491"/>
      <c r="G431" s="491"/>
      <c r="H431" s="491"/>
      <c r="I431" s="491"/>
      <c r="J431" s="491"/>
      <c r="K431" s="491"/>
      <c r="L431" s="491"/>
      <c r="M431" s="491"/>
      <c r="N431" s="491"/>
      <c r="O431" s="491"/>
      <c r="P431" s="491"/>
      <c r="Q431" s="491"/>
      <c r="R431" s="491"/>
      <c r="S431" s="491"/>
      <c r="T431" s="491"/>
      <c r="U431" s="491"/>
      <c r="V431" s="491"/>
    </row>
    <row r="432" spans="1:22" s="490" customFormat="1" x14ac:dyDescent="0.2">
      <c r="A432" s="494"/>
      <c r="B432" s="491"/>
      <c r="C432" s="491"/>
      <c r="D432" s="491"/>
      <c r="E432" s="491"/>
      <c r="F432" s="491"/>
      <c r="G432" s="491"/>
      <c r="H432" s="491"/>
      <c r="I432" s="491"/>
      <c r="J432" s="491"/>
      <c r="K432" s="491"/>
      <c r="L432" s="491"/>
      <c r="M432" s="491"/>
      <c r="N432" s="491"/>
      <c r="O432" s="491"/>
      <c r="P432" s="491"/>
      <c r="Q432" s="491"/>
      <c r="R432" s="491"/>
      <c r="S432" s="491"/>
      <c r="T432" s="491"/>
      <c r="U432" s="491"/>
      <c r="V432" s="491"/>
    </row>
    <row r="433" spans="1:22" s="490" customFormat="1" x14ac:dyDescent="0.2">
      <c r="A433" s="494"/>
      <c r="B433" s="491"/>
      <c r="C433" s="491"/>
      <c r="D433" s="491"/>
      <c r="E433" s="491"/>
      <c r="F433" s="491"/>
      <c r="G433" s="491"/>
      <c r="H433" s="491"/>
      <c r="I433" s="491"/>
      <c r="J433" s="491"/>
      <c r="K433" s="491"/>
      <c r="L433" s="491"/>
      <c r="M433" s="491"/>
      <c r="N433" s="491"/>
      <c r="O433" s="491"/>
      <c r="P433" s="491"/>
      <c r="Q433" s="491"/>
      <c r="R433" s="491"/>
      <c r="S433" s="491"/>
      <c r="T433" s="491"/>
      <c r="U433" s="491"/>
      <c r="V433" s="491"/>
    </row>
    <row r="434" spans="1:22" s="490" customFormat="1" x14ac:dyDescent="0.2">
      <c r="A434" s="494"/>
      <c r="B434" s="491"/>
      <c r="C434" s="491"/>
      <c r="D434" s="491"/>
      <c r="E434" s="491"/>
      <c r="F434" s="491"/>
      <c r="G434" s="491"/>
      <c r="H434" s="491"/>
      <c r="I434" s="491"/>
      <c r="J434" s="491"/>
      <c r="K434" s="491"/>
      <c r="L434" s="491"/>
      <c r="M434" s="491"/>
      <c r="N434" s="491"/>
      <c r="O434" s="491"/>
      <c r="P434" s="491"/>
      <c r="Q434" s="491"/>
      <c r="R434" s="491"/>
      <c r="S434" s="491"/>
      <c r="T434" s="491"/>
      <c r="U434" s="491"/>
      <c r="V434" s="491"/>
    </row>
    <row r="435" spans="1:22" s="490" customFormat="1" x14ac:dyDescent="0.2">
      <c r="A435" s="494"/>
      <c r="B435" s="491"/>
      <c r="C435" s="491"/>
      <c r="D435" s="491"/>
      <c r="E435" s="491"/>
      <c r="F435" s="491"/>
      <c r="G435" s="491"/>
      <c r="H435" s="491"/>
      <c r="I435" s="491"/>
      <c r="J435" s="491"/>
      <c r="K435" s="491"/>
      <c r="L435" s="491"/>
      <c r="M435" s="491"/>
      <c r="N435" s="491"/>
      <c r="O435" s="491"/>
      <c r="P435" s="491"/>
      <c r="Q435" s="491"/>
      <c r="R435" s="491"/>
      <c r="S435" s="491"/>
      <c r="T435" s="491"/>
      <c r="U435" s="491"/>
      <c r="V435" s="491"/>
    </row>
    <row r="436" spans="1:22" s="490" customFormat="1" x14ac:dyDescent="0.2">
      <c r="A436" s="494"/>
      <c r="B436" s="491"/>
      <c r="C436" s="491"/>
      <c r="D436" s="491"/>
      <c r="E436" s="491"/>
      <c r="F436" s="491"/>
      <c r="G436" s="491"/>
      <c r="H436" s="491"/>
      <c r="I436" s="491"/>
      <c r="J436" s="491"/>
      <c r="K436" s="491"/>
      <c r="L436" s="491"/>
      <c r="M436" s="491"/>
      <c r="N436" s="491"/>
      <c r="O436" s="491"/>
      <c r="P436" s="491"/>
      <c r="Q436" s="491"/>
      <c r="R436" s="491"/>
      <c r="S436" s="491"/>
      <c r="T436" s="491"/>
      <c r="U436" s="491"/>
      <c r="V436" s="491"/>
    </row>
    <row r="437" spans="1:22" s="490" customFormat="1" x14ac:dyDescent="0.2">
      <c r="A437" s="494"/>
      <c r="B437" s="491"/>
      <c r="C437" s="491"/>
      <c r="D437" s="491"/>
      <c r="E437" s="491"/>
      <c r="F437" s="491"/>
      <c r="G437" s="491"/>
      <c r="H437" s="491"/>
      <c r="I437" s="491"/>
      <c r="J437" s="491"/>
      <c r="K437" s="491"/>
      <c r="L437" s="491"/>
      <c r="M437" s="491"/>
      <c r="N437" s="491"/>
      <c r="O437" s="491"/>
      <c r="P437" s="491"/>
      <c r="Q437" s="491"/>
      <c r="R437" s="491"/>
      <c r="S437" s="491"/>
      <c r="T437" s="491"/>
      <c r="U437" s="491"/>
      <c r="V437" s="491"/>
    </row>
    <row r="438" spans="1:22" s="490" customFormat="1" x14ac:dyDescent="0.2">
      <c r="A438" s="494"/>
      <c r="B438" s="491"/>
      <c r="C438" s="491"/>
      <c r="D438" s="491"/>
      <c r="E438" s="491"/>
      <c r="F438" s="491"/>
      <c r="G438" s="491"/>
      <c r="H438" s="491"/>
      <c r="I438" s="491"/>
      <c r="J438" s="491"/>
      <c r="K438" s="491"/>
      <c r="L438" s="491"/>
      <c r="M438" s="491"/>
      <c r="N438" s="491"/>
      <c r="O438" s="491"/>
      <c r="P438" s="491"/>
      <c r="Q438" s="491"/>
      <c r="R438" s="491"/>
      <c r="S438" s="491"/>
      <c r="T438" s="491"/>
      <c r="U438" s="491"/>
      <c r="V438" s="491"/>
    </row>
    <row r="439" spans="1:22" s="490" customFormat="1" x14ac:dyDescent="0.2">
      <c r="A439" s="494"/>
      <c r="B439" s="491"/>
      <c r="C439" s="491"/>
      <c r="D439" s="491"/>
      <c r="E439" s="491"/>
      <c r="F439" s="491"/>
      <c r="G439" s="491"/>
      <c r="H439" s="491"/>
      <c r="I439" s="491"/>
      <c r="J439" s="491"/>
      <c r="K439" s="491"/>
      <c r="L439" s="491"/>
      <c r="M439" s="491"/>
      <c r="N439" s="491"/>
      <c r="O439" s="491"/>
      <c r="P439" s="491"/>
      <c r="Q439" s="491"/>
      <c r="R439" s="491"/>
      <c r="S439" s="491"/>
      <c r="T439" s="491"/>
      <c r="U439" s="491"/>
      <c r="V439" s="491"/>
    </row>
    <row r="440" spans="1:22" s="490" customFormat="1" x14ac:dyDescent="0.2">
      <c r="A440" s="494"/>
      <c r="B440" s="491"/>
      <c r="C440" s="491"/>
      <c r="D440" s="491"/>
      <c r="E440" s="491"/>
      <c r="F440" s="491"/>
      <c r="G440" s="491"/>
      <c r="H440" s="491"/>
      <c r="I440" s="491"/>
      <c r="J440" s="491"/>
      <c r="K440" s="491"/>
      <c r="L440" s="491"/>
      <c r="M440" s="491"/>
      <c r="N440" s="491"/>
      <c r="O440" s="491"/>
      <c r="P440" s="491"/>
      <c r="Q440" s="491"/>
      <c r="R440" s="491"/>
      <c r="S440" s="491"/>
      <c r="T440" s="491"/>
      <c r="U440" s="491"/>
      <c r="V440" s="491"/>
    </row>
    <row r="441" spans="1:22" s="490" customFormat="1" x14ac:dyDescent="0.2">
      <c r="A441" s="494"/>
      <c r="B441" s="491"/>
      <c r="C441" s="491"/>
      <c r="D441" s="491"/>
      <c r="E441" s="491"/>
      <c r="F441" s="491"/>
      <c r="G441" s="491"/>
      <c r="H441" s="491"/>
      <c r="I441" s="491"/>
      <c r="J441" s="491"/>
      <c r="K441" s="491"/>
      <c r="L441" s="491"/>
      <c r="M441" s="491"/>
      <c r="N441" s="491"/>
      <c r="O441" s="491"/>
      <c r="P441" s="491"/>
      <c r="Q441" s="491"/>
      <c r="R441" s="491"/>
      <c r="S441" s="491"/>
      <c r="T441" s="491"/>
      <c r="U441" s="491"/>
      <c r="V441" s="491"/>
    </row>
    <row r="442" spans="1:22" s="490" customFormat="1" x14ac:dyDescent="0.2">
      <c r="A442" s="494"/>
      <c r="B442" s="491"/>
      <c r="C442" s="491"/>
      <c r="D442" s="491"/>
      <c r="E442" s="491"/>
      <c r="F442" s="491"/>
      <c r="G442" s="491"/>
      <c r="H442" s="491"/>
      <c r="I442" s="491"/>
      <c r="J442" s="491"/>
      <c r="K442" s="491"/>
      <c r="L442" s="491"/>
      <c r="M442" s="491"/>
      <c r="N442" s="491"/>
      <c r="O442" s="491"/>
      <c r="P442" s="491"/>
      <c r="Q442" s="491"/>
      <c r="R442" s="491"/>
      <c r="S442" s="491"/>
      <c r="T442" s="491"/>
      <c r="U442" s="491"/>
      <c r="V442" s="491"/>
    </row>
    <row r="443" spans="1:22" s="490" customFormat="1" x14ac:dyDescent="0.2">
      <c r="A443" s="494"/>
      <c r="B443" s="491"/>
      <c r="C443" s="491"/>
      <c r="D443" s="491"/>
      <c r="E443" s="491"/>
      <c r="F443" s="491"/>
      <c r="G443" s="491"/>
      <c r="H443" s="491"/>
      <c r="I443" s="491"/>
      <c r="J443" s="491"/>
      <c r="K443" s="491"/>
      <c r="L443" s="491"/>
      <c r="M443" s="491"/>
      <c r="N443" s="491"/>
      <c r="O443" s="491"/>
      <c r="P443" s="491"/>
      <c r="Q443" s="491"/>
      <c r="R443" s="491"/>
      <c r="S443" s="491"/>
      <c r="T443" s="491"/>
      <c r="U443" s="491"/>
      <c r="V443" s="491"/>
    </row>
    <row r="444" spans="1:22" s="490" customFormat="1" x14ac:dyDescent="0.2">
      <c r="A444" s="494"/>
      <c r="B444" s="491"/>
      <c r="C444" s="491"/>
      <c r="D444" s="491"/>
      <c r="E444" s="491"/>
      <c r="F444" s="491"/>
      <c r="G444" s="491"/>
      <c r="H444" s="491"/>
      <c r="I444" s="491"/>
      <c r="J444" s="491"/>
      <c r="K444" s="491"/>
      <c r="L444" s="491"/>
      <c r="M444" s="491"/>
      <c r="N444" s="491"/>
      <c r="O444" s="491"/>
      <c r="P444" s="491"/>
      <c r="Q444" s="491"/>
      <c r="R444" s="491"/>
      <c r="S444" s="491"/>
      <c r="T444" s="491"/>
      <c r="U444" s="491"/>
      <c r="V444" s="491"/>
    </row>
    <row r="445" spans="1:22" s="490" customFormat="1" x14ac:dyDescent="0.2">
      <c r="A445" s="494"/>
      <c r="B445" s="491"/>
      <c r="C445" s="491"/>
      <c r="D445" s="491"/>
      <c r="E445" s="491"/>
      <c r="F445" s="491"/>
      <c r="G445" s="491"/>
      <c r="H445" s="491"/>
      <c r="I445" s="491"/>
      <c r="J445" s="491"/>
      <c r="K445" s="491"/>
      <c r="L445" s="491"/>
      <c r="M445" s="491"/>
      <c r="N445" s="491"/>
      <c r="O445" s="491"/>
      <c r="P445" s="491"/>
      <c r="Q445" s="491"/>
      <c r="R445" s="491"/>
      <c r="S445" s="491"/>
      <c r="T445" s="491"/>
      <c r="U445" s="491"/>
      <c r="V445" s="491"/>
    </row>
    <row r="446" spans="1:22" s="490" customFormat="1" x14ac:dyDescent="0.2">
      <c r="A446" s="494"/>
      <c r="B446" s="491"/>
      <c r="C446" s="491"/>
      <c r="D446" s="491"/>
      <c r="E446" s="491"/>
      <c r="F446" s="491"/>
      <c r="G446" s="491"/>
      <c r="H446" s="491"/>
      <c r="I446" s="491"/>
      <c r="J446" s="491"/>
      <c r="K446" s="491"/>
      <c r="L446" s="491"/>
      <c r="M446" s="491"/>
      <c r="N446" s="491"/>
      <c r="O446" s="491"/>
      <c r="P446" s="491"/>
      <c r="Q446" s="491"/>
      <c r="R446" s="491"/>
      <c r="S446" s="491"/>
      <c r="T446" s="491"/>
      <c r="U446" s="491"/>
      <c r="V446" s="491"/>
    </row>
    <row r="447" spans="1:22" s="490" customFormat="1" x14ac:dyDescent="0.2">
      <c r="A447" s="494"/>
      <c r="B447" s="491"/>
      <c r="C447" s="491"/>
      <c r="D447" s="491"/>
      <c r="E447" s="491"/>
      <c r="F447" s="491"/>
      <c r="G447" s="491"/>
      <c r="H447" s="491"/>
      <c r="I447" s="491"/>
      <c r="J447" s="491"/>
      <c r="K447" s="491"/>
      <c r="L447" s="491"/>
      <c r="M447" s="491"/>
      <c r="N447" s="491"/>
      <c r="O447" s="491"/>
      <c r="P447" s="491"/>
      <c r="Q447" s="491"/>
      <c r="R447" s="491"/>
      <c r="S447" s="491"/>
      <c r="T447" s="491"/>
      <c r="U447" s="491"/>
      <c r="V447" s="491"/>
    </row>
    <row r="448" spans="1:22" s="490" customFormat="1" x14ac:dyDescent="0.2">
      <c r="A448" s="494"/>
      <c r="B448" s="491"/>
      <c r="C448" s="491"/>
      <c r="D448" s="491"/>
      <c r="E448" s="491"/>
      <c r="F448" s="491"/>
      <c r="G448" s="491"/>
      <c r="H448" s="491"/>
      <c r="I448" s="491"/>
      <c r="J448" s="491"/>
      <c r="K448" s="491"/>
      <c r="L448" s="491"/>
      <c r="M448" s="491"/>
      <c r="N448" s="491"/>
      <c r="O448" s="491"/>
      <c r="P448" s="491"/>
      <c r="Q448" s="491"/>
      <c r="R448" s="491"/>
      <c r="S448" s="491"/>
      <c r="T448" s="491"/>
      <c r="U448" s="491"/>
      <c r="V448" s="491"/>
    </row>
    <row r="449" spans="1:22" s="490" customFormat="1" x14ac:dyDescent="0.2">
      <c r="A449" s="494"/>
      <c r="B449" s="491"/>
      <c r="C449" s="491"/>
      <c r="D449" s="491"/>
      <c r="E449" s="491"/>
      <c r="F449" s="491"/>
      <c r="G449" s="491"/>
      <c r="H449" s="491"/>
      <c r="I449" s="491"/>
      <c r="J449" s="491"/>
      <c r="K449" s="491"/>
      <c r="L449" s="491"/>
      <c r="M449" s="491"/>
      <c r="N449" s="491"/>
      <c r="O449" s="491"/>
      <c r="P449" s="491"/>
      <c r="Q449" s="491"/>
      <c r="R449" s="491"/>
      <c r="S449" s="491"/>
      <c r="T449" s="491"/>
      <c r="U449" s="491"/>
      <c r="V449" s="491"/>
    </row>
    <row r="450" spans="1:22" s="490" customFormat="1" x14ac:dyDescent="0.2">
      <c r="A450" s="494"/>
      <c r="B450" s="491"/>
      <c r="C450" s="491"/>
      <c r="D450" s="491"/>
      <c r="E450" s="491"/>
      <c r="F450" s="491"/>
      <c r="G450" s="491"/>
      <c r="H450" s="491"/>
      <c r="I450" s="491"/>
      <c r="J450" s="491"/>
      <c r="K450" s="491"/>
      <c r="L450" s="491"/>
      <c r="M450" s="491"/>
      <c r="N450" s="491"/>
      <c r="O450" s="491"/>
      <c r="P450" s="491"/>
      <c r="Q450" s="491"/>
      <c r="R450" s="491"/>
      <c r="S450" s="491"/>
      <c r="T450" s="491"/>
      <c r="U450" s="491"/>
      <c r="V450" s="491"/>
    </row>
    <row r="451" spans="1:22" s="490" customFormat="1" x14ac:dyDescent="0.2">
      <c r="A451" s="494"/>
      <c r="B451" s="491"/>
      <c r="C451" s="491"/>
      <c r="D451" s="491"/>
      <c r="E451" s="491"/>
      <c r="F451" s="491"/>
      <c r="G451" s="491"/>
      <c r="H451" s="491"/>
      <c r="I451" s="491"/>
      <c r="J451" s="491"/>
      <c r="K451" s="491"/>
      <c r="L451" s="491"/>
      <c r="M451" s="491"/>
      <c r="N451" s="491"/>
      <c r="O451" s="491"/>
      <c r="P451" s="491"/>
      <c r="Q451" s="491"/>
      <c r="R451" s="491"/>
      <c r="S451" s="491"/>
      <c r="T451" s="491"/>
      <c r="U451" s="491"/>
      <c r="V451" s="491"/>
    </row>
    <row r="452" spans="1:22" s="490" customFormat="1" x14ac:dyDescent="0.2">
      <c r="A452" s="494"/>
      <c r="B452" s="491"/>
      <c r="C452" s="491"/>
      <c r="D452" s="491"/>
      <c r="E452" s="491"/>
      <c r="F452" s="491"/>
      <c r="G452" s="491"/>
      <c r="H452" s="491"/>
      <c r="I452" s="491"/>
      <c r="J452" s="491"/>
      <c r="K452" s="491"/>
      <c r="L452" s="491"/>
      <c r="M452" s="491"/>
      <c r="N452" s="491"/>
      <c r="O452" s="491"/>
      <c r="P452" s="491"/>
      <c r="Q452" s="491"/>
      <c r="R452" s="491"/>
      <c r="S452" s="491"/>
      <c r="T452" s="491"/>
      <c r="U452" s="491"/>
      <c r="V452" s="491"/>
    </row>
    <row r="453" spans="1:22" s="490" customFormat="1" x14ac:dyDescent="0.2">
      <c r="A453" s="494"/>
      <c r="B453" s="491"/>
      <c r="C453" s="491"/>
      <c r="D453" s="491"/>
      <c r="E453" s="491"/>
      <c r="F453" s="491"/>
      <c r="G453" s="491"/>
      <c r="H453" s="491"/>
      <c r="I453" s="491"/>
      <c r="J453" s="491"/>
      <c r="K453" s="491"/>
      <c r="L453" s="491"/>
      <c r="M453" s="491"/>
      <c r="N453" s="491"/>
      <c r="O453" s="491"/>
      <c r="P453" s="491"/>
      <c r="Q453" s="491"/>
      <c r="R453" s="491"/>
      <c r="S453" s="491"/>
      <c r="T453" s="491"/>
      <c r="U453" s="491"/>
      <c r="V453" s="491"/>
    </row>
    <row r="454" spans="1:22" s="490" customFormat="1" x14ac:dyDescent="0.2">
      <c r="A454" s="494"/>
      <c r="B454" s="491"/>
      <c r="C454" s="491"/>
      <c r="D454" s="491"/>
      <c r="E454" s="491"/>
      <c r="F454" s="491"/>
      <c r="G454" s="491"/>
      <c r="H454" s="491"/>
      <c r="I454" s="491"/>
      <c r="J454" s="491"/>
      <c r="K454" s="491"/>
      <c r="L454" s="491"/>
      <c r="M454" s="491"/>
      <c r="N454" s="491"/>
      <c r="O454" s="491"/>
      <c r="P454" s="491"/>
      <c r="Q454" s="491"/>
      <c r="R454" s="491"/>
      <c r="S454" s="491"/>
      <c r="T454" s="491"/>
      <c r="U454" s="491"/>
      <c r="V454" s="491"/>
    </row>
    <row r="455" spans="1:22" s="490" customFormat="1" x14ac:dyDescent="0.2">
      <c r="A455" s="494"/>
      <c r="B455" s="491"/>
      <c r="C455" s="491"/>
      <c r="D455" s="491"/>
      <c r="E455" s="491"/>
      <c r="F455" s="491"/>
      <c r="G455" s="491"/>
      <c r="H455" s="491"/>
      <c r="I455" s="491"/>
      <c r="J455" s="491"/>
      <c r="K455" s="491"/>
      <c r="L455" s="491"/>
      <c r="M455" s="491"/>
      <c r="N455" s="491"/>
      <c r="O455" s="491"/>
      <c r="P455" s="491"/>
      <c r="Q455" s="491"/>
      <c r="R455" s="491"/>
      <c r="S455" s="491"/>
      <c r="T455" s="491"/>
      <c r="U455" s="491"/>
      <c r="V455" s="491"/>
    </row>
    <row r="456" spans="1:22" s="490" customFormat="1" x14ac:dyDescent="0.2">
      <c r="A456" s="494"/>
      <c r="B456" s="491"/>
      <c r="C456" s="491"/>
      <c r="D456" s="491"/>
      <c r="E456" s="491"/>
      <c r="F456" s="491"/>
      <c r="G456" s="491"/>
      <c r="H456" s="491"/>
      <c r="I456" s="491"/>
      <c r="J456" s="491"/>
      <c r="K456" s="491"/>
      <c r="L456" s="491"/>
      <c r="M456" s="491"/>
      <c r="N456" s="491"/>
      <c r="O456" s="491"/>
      <c r="P456" s="491"/>
      <c r="Q456" s="491"/>
      <c r="R456" s="491"/>
      <c r="S456" s="491"/>
      <c r="T456" s="491"/>
      <c r="U456" s="491"/>
      <c r="V456" s="491"/>
    </row>
    <row r="457" spans="1:22" s="490" customFormat="1" x14ac:dyDescent="0.2">
      <c r="A457" s="494"/>
      <c r="B457" s="491"/>
      <c r="C457" s="491"/>
      <c r="D457" s="491"/>
      <c r="E457" s="491"/>
      <c r="F457" s="491"/>
      <c r="G457" s="491"/>
      <c r="H457" s="491"/>
      <c r="I457" s="491"/>
      <c r="J457" s="491"/>
      <c r="K457" s="491"/>
      <c r="L457" s="491"/>
      <c r="M457" s="491"/>
      <c r="N457" s="491"/>
      <c r="O457" s="491"/>
      <c r="P457" s="491"/>
      <c r="Q457" s="491"/>
      <c r="R457" s="491"/>
      <c r="S457" s="491"/>
      <c r="T457" s="491"/>
      <c r="U457" s="491"/>
      <c r="V457" s="491"/>
    </row>
    <row r="458" spans="1:22" s="490" customFormat="1" x14ac:dyDescent="0.2">
      <c r="A458" s="494"/>
      <c r="B458" s="491"/>
      <c r="C458" s="491"/>
      <c r="D458" s="491"/>
      <c r="E458" s="491"/>
      <c r="F458" s="491"/>
      <c r="G458" s="491"/>
      <c r="H458" s="491"/>
      <c r="I458" s="491"/>
      <c r="J458" s="491"/>
      <c r="K458" s="491"/>
      <c r="L458" s="491"/>
      <c r="M458" s="491"/>
      <c r="N458" s="491"/>
      <c r="O458" s="491"/>
      <c r="P458" s="491"/>
      <c r="Q458" s="491"/>
      <c r="R458" s="491"/>
      <c r="S458" s="491"/>
      <c r="T458" s="491"/>
      <c r="U458" s="491"/>
      <c r="V458" s="491"/>
    </row>
    <row r="459" spans="1:22" s="490" customFormat="1" x14ac:dyDescent="0.2">
      <c r="A459" s="494"/>
      <c r="B459" s="491"/>
      <c r="C459" s="491"/>
      <c r="D459" s="491"/>
      <c r="E459" s="491"/>
      <c r="F459" s="491"/>
      <c r="G459" s="491"/>
      <c r="H459" s="491"/>
      <c r="I459" s="491"/>
      <c r="J459" s="491"/>
      <c r="K459" s="491"/>
      <c r="L459" s="491"/>
      <c r="M459" s="491"/>
      <c r="N459" s="491"/>
      <c r="O459" s="491"/>
      <c r="P459" s="491"/>
      <c r="Q459" s="491"/>
      <c r="R459" s="491"/>
      <c r="S459" s="491"/>
      <c r="T459" s="491"/>
      <c r="U459" s="491"/>
      <c r="V459" s="491"/>
    </row>
    <row r="460" spans="1:22" s="490" customFormat="1" x14ac:dyDescent="0.2">
      <c r="A460" s="494"/>
      <c r="B460" s="491"/>
      <c r="C460" s="491"/>
      <c r="D460" s="491"/>
      <c r="E460" s="491"/>
      <c r="F460" s="491"/>
      <c r="G460" s="491"/>
      <c r="H460" s="491"/>
      <c r="I460" s="491"/>
      <c r="J460" s="491"/>
      <c r="K460" s="491"/>
      <c r="L460" s="491"/>
      <c r="M460" s="491"/>
      <c r="N460" s="491"/>
      <c r="O460" s="491"/>
      <c r="P460" s="491"/>
      <c r="Q460" s="491"/>
      <c r="R460" s="491"/>
      <c r="S460" s="491"/>
      <c r="T460" s="491"/>
      <c r="U460" s="491"/>
      <c r="V460" s="491"/>
    </row>
    <row r="461" spans="1:22" s="490" customFormat="1" x14ac:dyDescent="0.2">
      <c r="A461" s="494"/>
      <c r="B461" s="491"/>
      <c r="C461" s="491"/>
      <c r="D461" s="491"/>
      <c r="E461" s="491"/>
      <c r="F461" s="491"/>
      <c r="G461" s="491"/>
      <c r="H461" s="491"/>
      <c r="I461" s="491"/>
      <c r="J461" s="491"/>
      <c r="K461" s="491"/>
      <c r="L461" s="491"/>
      <c r="M461" s="491"/>
      <c r="N461" s="491"/>
      <c r="O461" s="491"/>
      <c r="P461" s="491"/>
      <c r="Q461" s="491"/>
      <c r="R461" s="491"/>
      <c r="S461" s="491"/>
      <c r="T461" s="491"/>
      <c r="U461" s="491"/>
      <c r="V461" s="491"/>
    </row>
    <row r="462" spans="1:22" s="490" customFormat="1" x14ac:dyDescent="0.2">
      <c r="A462" s="494"/>
      <c r="B462" s="491"/>
      <c r="C462" s="491"/>
      <c r="D462" s="491"/>
      <c r="E462" s="491"/>
      <c r="F462" s="491"/>
      <c r="G462" s="491"/>
      <c r="H462" s="491"/>
      <c r="I462" s="491"/>
      <c r="J462" s="491"/>
      <c r="K462" s="491"/>
      <c r="L462" s="491"/>
      <c r="M462" s="491"/>
      <c r="N462" s="491"/>
      <c r="O462" s="491"/>
      <c r="P462" s="491"/>
      <c r="Q462" s="491"/>
      <c r="R462" s="491"/>
      <c r="S462" s="491"/>
      <c r="T462" s="491"/>
      <c r="U462" s="491"/>
      <c r="V462" s="491"/>
    </row>
    <row r="463" spans="1:22" s="490" customFormat="1" x14ac:dyDescent="0.2">
      <c r="A463" s="494"/>
      <c r="B463" s="491"/>
      <c r="C463" s="491"/>
      <c r="D463" s="491"/>
      <c r="E463" s="491"/>
      <c r="F463" s="491"/>
      <c r="G463" s="491"/>
      <c r="H463" s="491"/>
      <c r="I463" s="491"/>
      <c r="J463" s="491"/>
      <c r="K463" s="491"/>
      <c r="L463" s="491"/>
      <c r="M463" s="491"/>
      <c r="N463" s="491"/>
      <c r="O463" s="491"/>
      <c r="P463" s="491"/>
      <c r="Q463" s="491"/>
      <c r="R463" s="491"/>
      <c r="S463" s="491"/>
      <c r="T463" s="491"/>
      <c r="U463" s="491"/>
      <c r="V463" s="491"/>
    </row>
    <row r="464" spans="1:22" s="490" customFormat="1" x14ac:dyDescent="0.2">
      <c r="A464" s="494"/>
      <c r="B464" s="491"/>
      <c r="C464" s="491"/>
      <c r="D464" s="491"/>
      <c r="E464" s="491"/>
      <c r="F464" s="491"/>
      <c r="G464" s="491"/>
      <c r="H464" s="491"/>
      <c r="I464" s="491"/>
      <c r="J464" s="491"/>
      <c r="K464" s="491"/>
      <c r="L464" s="491"/>
      <c r="M464" s="491"/>
      <c r="N464" s="491"/>
      <c r="O464" s="491"/>
      <c r="P464" s="491"/>
      <c r="Q464" s="491"/>
      <c r="R464" s="491"/>
      <c r="S464" s="491"/>
      <c r="T464" s="491"/>
      <c r="U464" s="491"/>
      <c r="V464" s="491"/>
    </row>
    <row r="465" spans="1:22" s="490" customFormat="1" x14ac:dyDescent="0.2">
      <c r="A465" s="494"/>
      <c r="B465" s="491"/>
      <c r="C465" s="491"/>
      <c r="D465" s="491"/>
      <c r="E465" s="491"/>
      <c r="F465" s="491"/>
      <c r="G465" s="491"/>
      <c r="H465" s="491"/>
      <c r="I465" s="491"/>
      <c r="J465" s="491"/>
      <c r="K465" s="491"/>
      <c r="L465" s="491"/>
      <c r="M465" s="491"/>
      <c r="N465" s="491"/>
      <c r="O465" s="491"/>
      <c r="P465" s="491"/>
      <c r="Q465" s="491"/>
      <c r="R465" s="491"/>
      <c r="S465" s="491"/>
      <c r="T465" s="491"/>
      <c r="U465" s="491"/>
      <c r="V465" s="491"/>
    </row>
    <row r="466" spans="1:22" s="490" customFormat="1" x14ac:dyDescent="0.2">
      <c r="A466" s="494"/>
      <c r="B466" s="491"/>
      <c r="C466" s="491"/>
      <c r="D466" s="491"/>
      <c r="E466" s="491"/>
      <c r="F466" s="491"/>
      <c r="G466" s="491"/>
      <c r="H466" s="491"/>
      <c r="I466" s="491"/>
      <c r="J466" s="491"/>
      <c r="K466" s="491"/>
      <c r="L466" s="491"/>
      <c r="M466" s="491"/>
      <c r="N466" s="491"/>
      <c r="O466" s="491"/>
      <c r="P466" s="491"/>
      <c r="Q466" s="491"/>
      <c r="R466" s="491"/>
      <c r="S466" s="491"/>
      <c r="T466" s="491"/>
      <c r="U466" s="491"/>
      <c r="V466" s="491"/>
    </row>
    <row r="467" spans="1:22" s="490" customFormat="1" x14ac:dyDescent="0.2">
      <c r="A467" s="494"/>
      <c r="B467" s="491"/>
      <c r="C467" s="491"/>
      <c r="D467" s="491"/>
      <c r="E467" s="491"/>
      <c r="F467" s="491"/>
      <c r="G467" s="491"/>
      <c r="H467" s="491"/>
      <c r="I467" s="491"/>
      <c r="J467" s="491"/>
      <c r="K467" s="491"/>
      <c r="L467" s="491"/>
      <c r="M467" s="491"/>
      <c r="N467" s="491"/>
      <c r="O467" s="491"/>
      <c r="P467" s="491"/>
      <c r="Q467" s="491"/>
      <c r="R467" s="491"/>
      <c r="S467" s="491"/>
      <c r="T467" s="491"/>
      <c r="U467" s="491"/>
      <c r="V467" s="491"/>
    </row>
    <row r="468" spans="1:22" s="490" customFormat="1" x14ac:dyDescent="0.2">
      <c r="A468" s="494"/>
      <c r="B468" s="491"/>
      <c r="C468" s="491"/>
      <c r="D468" s="491"/>
      <c r="E468" s="491"/>
      <c r="F468" s="491"/>
      <c r="G468" s="491"/>
      <c r="H468" s="491"/>
      <c r="I468" s="491"/>
      <c r="J468" s="491"/>
      <c r="K468" s="491"/>
      <c r="L468" s="491"/>
      <c r="M468" s="491"/>
      <c r="N468" s="491"/>
      <c r="O468" s="491"/>
      <c r="P468" s="491"/>
      <c r="Q468" s="491"/>
      <c r="R468" s="491"/>
      <c r="S468" s="491"/>
      <c r="T468" s="491"/>
      <c r="U468" s="491"/>
      <c r="V468" s="491"/>
    </row>
    <row r="469" spans="1:22" s="490" customFormat="1" x14ac:dyDescent="0.2">
      <c r="A469" s="494"/>
      <c r="B469" s="491"/>
      <c r="C469" s="491"/>
      <c r="D469" s="491"/>
      <c r="E469" s="491"/>
      <c r="F469" s="491"/>
      <c r="G469" s="491"/>
      <c r="H469" s="491"/>
      <c r="I469" s="491"/>
      <c r="J469" s="491"/>
      <c r="K469" s="491"/>
      <c r="L469" s="491"/>
      <c r="M469" s="491"/>
      <c r="N469" s="491"/>
      <c r="O469" s="491"/>
      <c r="P469" s="491"/>
      <c r="Q469" s="491"/>
      <c r="R469" s="491"/>
      <c r="S469" s="491"/>
      <c r="T469" s="491"/>
      <c r="U469" s="491"/>
      <c r="V469" s="491"/>
    </row>
    <row r="470" spans="1:22" s="490" customFormat="1" x14ac:dyDescent="0.2">
      <c r="A470" s="494"/>
      <c r="B470" s="491"/>
      <c r="C470" s="491"/>
      <c r="D470" s="491"/>
      <c r="E470" s="491"/>
      <c r="F470" s="491"/>
      <c r="G470" s="491"/>
      <c r="H470" s="491"/>
      <c r="I470" s="491"/>
      <c r="J470" s="491"/>
      <c r="K470" s="491"/>
      <c r="L470" s="491"/>
      <c r="M470" s="491"/>
      <c r="N470" s="491"/>
      <c r="O470" s="491"/>
      <c r="P470" s="491"/>
      <c r="Q470" s="491"/>
      <c r="R470" s="491"/>
      <c r="S470" s="491"/>
      <c r="T470" s="491"/>
      <c r="U470" s="491"/>
      <c r="V470" s="491"/>
    </row>
    <row r="471" spans="1:22" s="490" customFormat="1" x14ac:dyDescent="0.2">
      <c r="A471" s="494"/>
      <c r="B471" s="491"/>
      <c r="C471" s="491"/>
      <c r="D471" s="491"/>
      <c r="E471" s="491"/>
      <c r="F471" s="491"/>
      <c r="G471" s="491"/>
      <c r="H471" s="491"/>
      <c r="I471" s="491"/>
      <c r="J471" s="491"/>
      <c r="K471" s="491"/>
      <c r="L471" s="491"/>
      <c r="M471" s="491"/>
      <c r="N471" s="491"/>
      <c r="O471" s="491"/>
      <c r="P471" s="491"/>
      <c r="Q471" s="491"/>
      <c r="R471" s="491"/>
      <c r="S471" s="491"/>
      <c r="T471" s="491"/>
      <c r="U471" s="491"/>
      <c r="V471" s="491"/>
    </row>
    <row r="472" spans="1:22" s="490" customFormat="1" x14ac:dyDescent="0.2">
      <c r="A472" s="494"/>
      <c r="B472" s="491"/>
      <c r="C472" s="491"/>
      <c r="D472" s="491"/>
      <c r="E472" s="491"/>
      <c r="F472" s="491"/>
      <c r="G472" s="491"/>
      <c r="H472" s="491"/>
      <c r="I472" s="491"/>
      <c r="J472" s="491"/>
      <c r="K472" s="491"/>
      <c r="L472" s="491"/>
      <c r="M472" s="491"/>
      <c r="N472" s="491"/>
      <c r="O472" s="491"/>
      <c r="P472" s="491"/>
      <c r="Q472" s="491"/>
      <c r="R472" s="491"/>
      <c r="S472" s="491"/>
      <c r="T472" s="491"/>
      <c r="U472" s="491"/>
      <c r="V472" s="491"/>
    </row>
    <row r="473" spans="1:22" s="490" customFormat="1" x14ac:dyDescent="0.2">
      <c r="A473" s="494"/>
      <c r="B473" s="491"/>
      <c r="C473" s="491"/>
      <c r="D473" s="491"/>
      <c r="E473" s="491"/>
      <c r="F473" s="491"/>
      <c r="G473" s="491"/>
      <c r="H473" s="491"/>
      <c r="I473" s="491"/>
      <c r="J473" s="491"/>
      <c r="K473" s="491"/>
      <c r="L473" s="491"/>
      <c r="M473" s="491"/>
      <c r="N473" s="491"/>
      <c r="O473" s="491"/>
      <c r="P473" s="491"/>
      <c r="Q473" s="491"/>
      <c r="R473" s="491"/>
      <c r="S473" s="491"/>
      <c r="T473" s="491"/>
      <c r="U473" s="491"/>
      <c r="V473" s="491"/>
    </row>
    <row r="474" spans="1:22" s="490" customFormat="1" x14ac:dyDescent="0.2">
      <c r="A474" s="494"/>
      <c r="B474" s="491"/>
      <c r="C474" s="491"/>
      <c r="D474" s="491"/>
      <c r="E474" s="491"/>
      <c r="F474" s="491"/>
      <c r="G474" s="491"/>
      <c r="H474" s="491"/>
      <c r="I474" s="491"/>
      <c r="J474" s="491"/>
      <c r="K474" s="491"/>
      <c r="L474" s="491"/>
      <c r="M474" s="491"/>
      <c r="N474" s="491"/>
      <c r="O474" s="491"/>
      <c r="P474" s="491"/>
      <c r="Q474" s="491"/>
      <c r="R474" s="491"/>
      <c r="S474" s="491"/>
      <c r="T474" s="491"/>
      <c r="U474" s="491"/>
      <c r="V474" s="491"/>
    </row>
    <row r="475" spans="1:22" s="490" customFormat="1" x14ac:dyDescent="0.2">
      <c r="A475" s="494"/>
      <c r="B475" s="491"/>
      <c r="C475" s="491"/>
      <c r="D475" s="491"/>
      <c r="E475" s="491"/>
      <c r="F475" s="491"/>
      <c r="G475" s="491"/>
      <c r="H475" s="491"/>
      <c r="I475" s="491"/>
      <c r="J475" s="491"/>
      <c r="K475" s="491"/>
      <c r="L475" s="491"/>
      <c r="M475" s="491"/>
      <c r="N475" s="491"/>
      <c r="O475" s="491"/>
      <c r="P475" s="491"/>
      <c r="Q475" s="491"/>
      <c r="R475" s="491"/>
      <c r="S475" s="491"/>
      <c r="T475" s="491"/>
      <c r="U475" s="491"/>
      <c r="V475" s="491"/>
    </row>
    <row r="476" spans="1:22" s="490" customFormat="1" x14ac:dyDescent="0.2">
      <c r="A476" s="494"/>
      <c r="B476" s="491"/>
      <c r="C476" s="491"/>
      <c r="D476" s="491"/>
      <c r="E476" s="491"/>
      <c r="F476" s="491"/>
      <c r="G476" s="491"/>
      <c r="H476" s="491"/>
      <c r="I476" s="491"/>
      <c r="J476" s="491"/>
      <c r="K476" s="491"/>
      <c r="L476" s="491"/>
      <c r="M476" s="491"/>
      <c r="N476" s="491"/>
      <c r="O476" s="491"/>
      <c r="P476" s="491"/>
      <c r="Q476" s="491"/>
      <c r="R476" s="491"/>
      <c r="S476" s="491"/>
      <c r="T476" s="491"/>
      <c r="U476" s="491"/>
      <c r="V476" s="491"/>
    </row>
    <row r="477" spans="1:22" s="490" customFormat="1" x14ac:dyDescent="0.2">
      <c r="A477" s="494"/>
      <c r="B477" s="491"/>
      <c r="C477" s="491"/>
      <c r="D477" s="491"/>
      <c r="E477" s="491"/>
      <c r="F477" s="491"/>
      <c r="G477" s="491"/>
      <c r="H477" s="491"/>
      <c r="I477" s="491"/>
      <c r="J477" s="491"/>
      <c r="K477" s="491"/>
      <c r="L477" s="491"/>
      <c r="M477" s="491"/>
      <c r="N477" s="491"/>
      <c r="O477" s="491"/>
      <c r="P477" s="491"/>
      <c r="Q477" s="491"/>
      <c r="R477" s="491"/>
      <c r="S477" s="491"/>
      <c r="T477" s="491"/>
      <c r="U477" s="491"/>
      <c r="V477" s="491"/>
    </row>
    <row r="478" spans="1:22" s="490" customFormat="1" x14ac:dyDescent="0.2">
      <c r="A478" s="494"/>
      <c r="B478" s="491"/>
      <c r="C478" s="491"/>
      <c r="D478" s="491"/>
      <c r="E478" s="491"/>
      <c r="F478" s="491"/>
      <c r="G478" s="491"/>
      <c r="H478" s="491"/>
      <c r="I478" s="491"/>
      <c r="J478" s="491"/>
      <c r="K478" s="491"/>
      <c r="L478" s="491"/>
      <c r="M478" s="491"/>
      <c r="N478" s="491"/>
      <c r="O478" s="491"/>
      <c r="P478" s="491"/>
      <c r="Q478" s="491"/>
      <c r="R478" s="491"/>
      <c r="S478" s="491"/>
      <c r="T478" s="491"/>
      <c r="U478" s="491"/>
      <c r="V478" s="491"/>
    </row>
    <row r="479" spans="1:22" s="490" customFormat="1" x14ac:dyDescent="0.2">
      <c r="A479" s="494"/>
      <c r="B479" s="491"/>
      <c r="C479" s="491"/>
      <c r="D479" s="491"/>
      <c r="E479" s="491"/>
      <c r="F479" s="491"/>
      <c r="G479" s="491"/>
      <c r="H479" s="491"/>
      <c r="I479" s="491"/>
      <c r="J479" s="491"/>
      <c r="K479" s="491"/>
      <c r="L479" s="491"/>
      <c r="M479" s="491"/>
      <c r="N479" s="491"/>
      <c r="O479" s="491"/>
      <c r="P479" s="491"/>
      <c r="Q479" s="491"/>
      <c r="R479" s="491"/>
      <c r="S479" s="491"/>
      <c r="T479" s="491"/>
      <c r="U479" s="491"/>
      <c r="V479" s="491"/>
    </row>
    <row r="480" spans="1:22" s="490" customFormat="1" x14ac:dyDescent="0.2">
      <c r="A480" s="494"/>
      <c r="B480" s="491"/>
      <c r="C480" s="491"/>
      <c r="D480" s="491"/>
      <c r="E480" s="491"/>
      <c r="F480" s="491"/>
      <c r="G480" s="491"/>
      <c r="H480" s="491"/>
      <c r="I480" s="491"/>
      <c r="J480" s="491"/>
      <c r="K480" s="491"/>
      <c r="L480" s="491"/>
      <c r="M480" s="491"/>
      <c r="N480" s="491"/>
      <c r="O480" s="491"/>
      <c r="P480" s="491"/>
      <c r="Q480" s="491"/>
      <c r="R480" s="491"/>
      <c r="S480" s="491"/>
      <c r="T480" s="491"/>
      <c r="U480" s="491"/>
      <c r="V480" s="491"/>
    </row>
    <row r="481" spans="1:22" s="490" customFormat="1" x14ac:dyDescent="0.2">
      <c r="A481" s="494"/>
      <c r="B481" s="491"/>
      <c r="C481" s="491"/>
      <c r="D481" s="491"/>
      <c r="E481" s="491"/>
      <c r="F481" s="491"/>
      <c r="G481" s="491"/>
      <c r="H481" s="491"/>
      <c r="I481" s="491"/>
      <c r="J481" s="491"/>
      <c r="K481" s="491"/>
      <c r="L481" s="491"/>
      <c r="M481" s="491"/>
      <c r="N481" s="491"/>
      <c r="O481" s="491"/>
      <c r="P481" s="491"/>
      <c r="Q481" s="491"/>
      <c r="R481" s="491"/>
      <c r="S481" s="491"/>
      <c r="T481" s="491"/>
      <c r="U481" s="491"/>
      <c r="V481" s="491"/>
    </row>
    <row r="482" spans="1:22" s="490" customFormat="1" x14ac:dyDescent="0.2">
      <c r="A482" s="494"/>
      <c r="B482" s="491"/>
      <c r="C482" s="491"/>
      <c r="D482" s="491"/>
      <c r="E482" s="491"/>
      <c r="F482" s="491"/>
      <c r="G482" s="491"/>
      <c r="H482" s="491"/>
      <c r="I482" s="491"/>
      <c r="J482" s="491"/>
      <c r="K482" s="491"/>
      <c r="L482" s="491"/>
      <c r="M482" s="491"/>
      <c r="N482" s="491"/>
      <c r="O482" s="491"/>
      <c r="P482" s="491"/>
      <c r="Q482" s="491"/>
      <c r="R482" s="491"/>
      <c r="S482" s="491"/>
      <c r="T482" s="491"/>
      <c r="U482" s="491"/>
      <c r="V482" s="491"/>
    </row>
    <row r="483" spans="1:22" s="490" customFormat="1" x14ac:dyDescent="0.2">
      <c r="A483" s="494"/>
      <c r="B483" s="491"/>
      <c r="C483" s="491"/>
      <c r="D483" s="491"/>
      <c r="E483" s="491"/>
      <c r="F483" s="491"/>
      <c r="G483" s="491"/>
      <c r="H483" s="491"/>
      <c r="I483" s="491"/>
      <c r="J483" s="491"/>
      <c r="K483" s="491"/>
      <c r="L483" s="491"/>
      <c r="M483" s="491"/>
      <c r="N483" s="491"/>
      <c r="O483" s="491"/>
      <c r="P483" s="491"/>
      <c r="Q483" s="491"/>
      <c r="R483" s="491"/>
      <c r="S483" s="491"/>
      <c r="T483" s="491"/>
      <c r="U483" s="491"/>
      <c r="V483" s="491"/>
    </row>
    <row r="484" spans="1:22" s="490" customFormat="1" x14ac:dyDescent="0.2">
      <c r="A484" s="494"/>
      <c r="B484" s="491"/>
      <c r="C484" s="491"/>
      <c r="D484" s="491"/>
      <c r="E484" s="491"/>
      <c r="F484" s="491"/>
      <c r="G484" s="491"/>
      <c r="H484" s="491"/>
      <c r="I484" s="491"/>
      <c r="J484" s="491"/>
      <c r="K484" s="491"/>
      <c r="L484" s="491"/>
      <c r="M484" s="491"/>
      <c r="N484" s="491"/>
      <c r="O484" s="491"/>
      <c r="P484" s="491"/>
      <c r="Q484" s="491"/>
      <c r="R484" s="491"/>
      <c r="S484" s="491"/>
      <c r="T484" s="491"/>
      <c r="U484" s="491"/>
      <c r="V484" s="491"/>
    </row>
    <row r="485" spans="1:22" s="490" customFormat="1" x14ac:dyDescent="0.2">
      <c r="A485" s="494"/>
      <c r="B485" s="491"/>
      <c r="C485" s="491"/>
      <c r="D485" s="491"/>
      <c r="E485" s="491"/>
      <c r="F485" s="491"/>
      <c r="G485" s="491"/>
      <c r="H485" s="491"/>
      <c r="I485" s="491"/>
      <c r="J485" s="491"/>
      <c r="K485" s="491"/>
      <c r="L485" s="491"/>
      <c r="M485" s="491"/>
      <c r="N485" s="491"/>
      <c r="O485" s="491"/>
      <c r="P485" s="491"/>
      <c r="Q485" s="491"/>
      <c r="R485" s="491"/>
      <c r="S485" s="491"/>
      <c r="T485" s="491"/>
      <c r="U485" s="491"/>
      <c r="V485" s="491"/>
    </row>
    <row r="486" spans="1:22" s="490" customFormat="1" x14ac:dyDescent="0.2">
      <c r="A486" s="494"/>
      <c r="B486" s="491"/>
      <c r="C486" s="491"/>
      <c r="D486" s="491"/>
      <c r="E486" s="491"/>
      <c r="F486" s="491"/>
      <c r="G486" s="491"/>
      <c r="H486" s="491"/>
      <c r="I486" s="491"/>
      <c r="J486" s="491"/>
      <c r="K486" s="491"/>
      <c r="L486" s="491"/>
      <c r="M486" s="491"/>
      <c r="N486" s="491"/>
      <c r="O486" s="491"/>
      <c r="P486" s="491"/>
      <c r="Q486" s="491"/>
      <c r="R486" s="491"/>
      <c r="S486" s="491"/>
      <c r="T486" s="491"/>
      <c r="U486" s="491"/>
      <c r="V486" s="491"/>
    </row>
    <row r="487" spans="1:22" s="490" customFormat="1" x14ac:dyDescent="0.2">
      <c r="A487" s="494"/>
      <c r="B487" s="491"/>
      <c r="C487" s="491"/>
      <c r="D487" s="491"/>
      <c r="E487" s="491"/>
      <c r="F487" s="491"/>
      <c r="G487" s="491"/>
      <c r="H487" s="491"/>
      <c r="I487" s="491"/>
      <c r="J487" s="491"/>
      <c r="K487" s="491"/>
      <c r="L487" s="491"/>
      <c r="M487" s="491"/>
      <c r="N487" s="491"/>
      <c r="O487" s="491"/>
      <c r="P487" s="491"/>
      <c r="Q487" s="491"/>
      <c r="R487" s="491"/>
      <c r="S487" s="491"/>
      <c r="T487" s="491"/>
      <c r="U487" s="491"/>
      <c r="V487" s="491"/>
    </row>
    <row r="488" spans="1:22" s="490" customFormat="1" x14ac:dyDescent="0.2">
      <c r="A488" s="494"/>
      <c r="B488" s="491"/>
      <c r="C488" s="491"/>
      <c r="D488" s="491"/>
      <c r="E488" s="491"/>
      <c r="F488" s="491"/>
      <c r="G488" s="491"/>
      <c r="H488" s="491"/>
      <c r="I488" s="491"/>
      <c r="J488" s="491"/>
      <c r="K488" s="491"/>
      <c r="L488" s="491"/>
      <c r="M488" s="491"/>
      <c r="N488" s="491"/>
      <c r="O488" s="491"/>
      <c r="P488" s="491"/>
      <c r="Q488" s="491"/>
      <c r="R488" s="491"/>
      <c r="S488" s="491"/>
      <c r="T488" s="491"/>
      <c r="U488" s="491"/>
      <c r="V488" s="491"/>
    </row>
    <row r="489" spans="1:22" s="490" customFormat="1" x14ac:dyDescent="0.2">
      <c r="A489" s="494"/>
      <c r="B489" s="491"/>
      <c r="C489" s="491"/>
      <c r="D489" s="491"/>
      <c r="E489" s="491"/>
      <c r="F489" s="491"/>
      <c r="G489" s="491"/>
      <c r="H489" s="491"/>
      <c r="I489" s="491"/>
      <c r="J489" s="491"/>
      <c r="K489" s="491"/>
      <c r="L489" s="491"/>
      <c r="M489" s="491"/>
      <c r="N489" s="491"/>
      <c r="O489" s="491"/>
      <c r="P489" s="491"/>
      <c r="Q489" s="491"/>
      <c r="R489" s="491"/>
      <c r="S489" s="491"/>
      <c r="T489" s="491"/>
      <c r="U489" s="491"/>
      <c r="V489" s="491"/>
    </row>
    <row r="490" spans="1:22" s="490" customFormat="1" x14ac:dyDescent="0.2">
      <c r="A490" s="494"/>
      <c r="B490" s="491"/>
      <c r="C490" s="491"/>
      <c r="D490" s="491"/>
      <c r="E490" s="491"/>
      <c r="F490" s="491"/>
      <c r="G490" s="491"/>
      <c r="H490" s="491"/>
      <c r="I490" s="491"/>
      <c r="J490" s="491"/>
      <c r="K490" s="491"/>
      <c r="L490" s="491"/>
      <c r="M490" s="491"/>
      <c r="N490" s="491"/>
      <c r="O490" s="491"/>
      <c r="P490" s="491"/>
      <c r="Q490" s="491"/>
      <c r="R490" s="491"/>
      <c r="S490" s="491"/>
      <c r="T490" s="491"/>
      <c r="U490" s="491"/>
      <c r="V490" s="491"/>
    </row>
    <row r="491" spans="1:22" s="490" customFormat="1" x14ac:dyDescent="0.2">
      <c r="A491" s="494"/>
      <c r="B491" s="491"/>
      <c r="C491" s="491"/>
      <c r="D491" s="491"/>
      <c r="E491" s="491"/>
      <c r="F491" s="491"/>
      <c r="G491" s="491"/>
      <c r="H491" s="491"/>
      <c r="I491" s="491"/>
      <c r="J491" s="491"/>
      <c r="K491" s="491"/>
      <c r="L491" s="491"/>
      <c r="M491" s="491"/>
      <c r="N491" s="491"/>
      <c r="O491" s="491"/>
      <c r="P491" s="491"/>
      <c r="Q491" s="491"/>
      <c r="R491" s="491"/>
      <c r="S491" s="491"/>
      <c r="T491" s="491"/>
      <c r="U491" s="491"/>
      <c r="V491" s="491"/>
    </row>
    <row r="492" spans="1:22" s="490" customFormat="1" x14ac:dyDescent="0.2">
      <c r="A492" s="494"/>
      <c r="B492" s="491"/>
      <c r="C492" s="491"/>
      <c r="D492" s="491"/>
      <c r="E492" s="491"/>
      <c r="F492" s="491"/>
      <c r="G492" s="491"/>
      <c r="H492" s="491"/>
      <c r="I492" s="491"/>
      <c r="J492" s="491"/>
      <c r="K492" s="491"/>
      <c r="L492" s="491"/>
      <c r="M492" s="491"/>
      <c r="N492" s="491"/>
      <c r="O492" s="491"/>
      <c r="P492" s="491"/>
      <c r="Q492" s="491"/>
      <c r="R492" s="491"/>
      <c r="S492" s="491"/>
      <c r="T492" s="491"/>
      <c r="U492" s="491"/>
      <c r="V492" s="491"/>
    </row>
    <row r="493" spans="1:22" s="490" customFormat="1" x14ac:dyDescent="0.2">
      <c r="A493" s="494"/>
      <c r="B493" s="491"/>
      <c r="C493" s="491"/>
      <c r="D493" s="491"/>
      <c r="E493" s="491"/>
      <c r="F493" s="491"/>
      <c r="G493" s="491"/>
      <c r="H493" s="491"/>
      <c r="I493" s="491"/>
      <c r="J493" s="491"/>
      <c r="K493" s="491"/>
      <c r="L493" s="491"/>
      <c r="M493" s="491"/>
      <c r="N493" s="491"/>
      <c r="O493" s="491"/>
      <c r="P493" s="491"/>
      <c r="Q493" s="491"/>
      <c r="R493" s="491"/>
      <c r="S493" s="491"/>
      <c r="T493" s="491"/>
      <c r="U493" s="491"/>
      <c r="V493" s="491"/>
    </row>
    <row r="494" spans="1:22" s="490" customFormat="1" x14ac:dyDescent="0.2">
      <c r="A494" s="494"/>
      <c r="B494" s="491"/>
      <c r="C494" s="491"/>
      <c r="D494" s="491"/>
      <c r="E494" s="491"/>
      <c r="F494" s="491"/>
      <c r="G494" s="491"/>
      <c r="H494" s="491"/>
      <c r="I494" s="491"/>
      <c r="J494" s="491"/>
      <c r="K494" s="491"/>
      <c r="L494" s="491"/>
      <c r="M494" s="491"/>
      <c r="N494" s="491"/>
      <c r="O494" s="491"/>
      <c r="P494" s="491"/>
      <c r="Q494" s="491"/>
      <c r="R494" s="491"/>
      <c r="S494" s="491"/>
      <c r="T494" s="491"/>
      <c r="U494" s="491"/>
      <c r="V494" s="491"/>
    </row>
    <row r="495" spans="1:22" s="490" customFormat="1" x14ac:dyDescent="0.2">
      <c r="A495" s="494"/>
      <c r="B495" s="491"/>
      <c r="C495" s="491"/>
      <c r="D495" s="491"/>
      <c r="E495" s="491"/>
      <c r="F495" s="491"/>
      <c r="G495" s="491"/>
      <c r="H495" s="491"/>
      <c r="I495" s="491"/>
      <c r="J495" s="491"/>
      <c r="K495" s="491"/>
      <c r="L495" s="491"/>
      <c r="M495" s="491"/>
      <c r="N495" s="491"/>
      <c r="O495" s="491"/>
      <c r="P495" s="491"/>
      <c r="Q495" s="491"/>
      <c r="R495" s="491"/>
      <c r="S495" s="491"/>
      <c r="T495" s="491"/>
      <c r="U495" s="491"/>
      <c r="V495" s="491"/>
    </row>
    <row r="496" spans="1:22" s="490" customFormat="1" x14ac:dyDescent="0.2">
      <c r="A496" s="494"/>
      <c r="B496" s="491"/>
      <c r="C496" s="491"/>
      <c r="D496" s="491"/>
      <c r="E496" s="491"/>
      <c r="F496" s="491"/>
      <c r="G496" s="491"/>
      <c r="H496" s="491"/>
      <c r="I496" s="491"/>
      <c r="J496" s="491"/>
      <c r="K496" s="491"/>
      <c r="L496" s="491"/>
      <c r="M496" s="491"/>
      <c r="N496" s="491"/>
      <c r="O496" s="491"/>
      <c r="P496" s="491"/>
      <c r="Q496" s="491"/>
      <c r="R496" s="491"/>
      <c r="S496" s="491"/>
      <c r="T496" s="491"/>
      <c r="U496" s="491"/>
      <c r="V496" s="491"/>
    </row>
    <row r="497" spans="1:22" s="490" customFormat="1" x14ac:dyDescent="0.2">
      <c r="A497" s="494"/>
      <c r="B497" s="491"/>
      <c r="C497" s="491"/>
      <c r="D497" s="491"/>
      <c r="E497" s="491"/>
      <c r="F497" s="491"/>
      <c r="G497" s="491"/>
      <c r="H497" s="491"/>
      <c r="I497" s="491"/>
      <c r="J497" s="491"/>
      <c r="K497" s="491"/>
      <c r="L497" s="491"/>
      <c r="M497" s="491"/>
      <c r="N497" s="491"/>
      <c r="O497" s="491"/>
      <c r="P497" s="491"/>
      <c r="Q497" s="491"/>
      <c r="R497" s="491"/>
      <c r="S497" s="491"/>
      <c r="T497" s="491"/>
      <c r="U497" s="491"/>
      <c r="V497" s="491"/>
    </row>
    <row r="498" spans="1:22" s="490" customFormat="1" x14ac:dyDescent="0.2">
      <c r="A498" s="494"/>
      <c r="B498" s="491"/>
      <c r="C498" s="491"/>
      <c r="D498" s="491"/>
      <c r="E498" s="491"/>
      <c r="F498" s="491"/>
      <c r="G498" s="491"/>
      <c r="H498" s="491"/>
      <c r="I498" s="491"/>
      <c r="J498" s="491"/>
      <c r="K498" s="491"/>
      <c r="L498" s="491"/>
      <c r="M498" s="491"/>
      <c r="N498" s="491"/>
      <c r="O498" s="491"/>
      <c r="P498" s="491"/>
      <c r="Q498" s="491"/>
      <c r="R498" s="491"/>
      <c r="S498" s="491"/>
      <c r="T498" s="491"/>
      <c r="U498" s="491"/>
      <c r="V498" s="491"/>
    </row>
    <row r="499" spans="1:22" s="490" customFormat="1" x14ac:dyDescent="0.2">
      <c r="A499" s="494"/>
      <c r="B499" s="491"/>
      <c r="C499" s="491"/>
      <c r="D499" s="491"/>
      <c r="E499" s="491"/>
      <c r="F499" s="491"/>
      <c r="G499" s="491"/>
      <c r="H499" s="491"/>
      <c r="I499" s="491"/>
      <c r="J499" s="491"/>
      <c r="K499" s="491"/>
      <c r="L499" s="491"/>
      <c r="M499" s="491"/>
      <c r="N499" s="491"/>
      <c r="O499" s="491"/>
      <c r="P499" s="491"/>
      <c r="Q499" s="491"/>
      <c r="R499" s="491"/>
      <c r="S499" s="491"/>
      <c r="T499" s="491"/>
      <c r="U499" s="491"/>
      <c r="V499" s="491"/>
    </row>
    <row r="500" spans="1:22" s="490" customFormat="1" x14ac:dyDescent="0.2">
      <c r="A500" s="494"/>
      <c r="B500" s="491"/>
      <c r="C500" s="491"/>
      <c r="D500" s="491"/>
      <c r="E500" s="491"/>
      <c r="F500" s="491"/>
      <c r="G500" s="491"/>
      <c r="H500" s="491"/>
      <c r="I500" s="491"/>
      <c r="J500" s="491"/>
      <c r="K500" s="491"/>
      <c r="L500" s="491"/>
      <c r="M500" s="491"/>
      <c r="N500" s="491"/>
      <c r="O500" s="491"/>
      <c r="P500" s="491"/>
      <c r="Q500" s="491"/>
      <c r="R500" s="491"/>
      <c r="S500" s="491"/>
      <c r="T500" s="491"/>
      <c r="U500" s="491"/>
      <c r="V500" s="491"/>
    </row>
    <row r="501" spans="1:22" s="490" customFormat="1" x14ac:dyDescent="0.2">
      <c r="A501" s="494"/>
      <c r="B501" s="491"/>
      <c r="C501" s="491"/>
      <c r="D501" s="491"/>
      <c r="E501" s="491"/>
      <c r="F501" s="491"/>
      <c r="G501" s="491"/>
      <c r="H501" s="491"/>
      <c r="I501" s="491"/>
      <c r="J501" s="491"/>
      <c r="K501" s="491"/>
      <c r="L501" s="491"/>
      <c r="M501" s="491"/>
      <c r="N501" s="491"/>
      <c r="O501" s="491"/>
      <c r="P501" s="491"/>
      <c r="Q501" s="491"/>
      <c r="R501" s="491"/>
      <c r="S501" s="491"/>
      <c r="T501" s="491"/>
      <c r="U501" s="491"/>
      <c r="V501" s="491"/>
    </row>
    <row r="502" spans="1:22" s="490" customFormat="1" x14ac:dyDescent="0.2">
      <c r="A502" s="494"/>
      <c r="B502" s="491"/>
      <c r="C502" s="491"/>
      <c r="D502" s="491"/>
      <c r="E502" s="491"/>
      <c r="F502" s="491"/>
      <c r="G502" s="491"/>
      <c r="H502" s="491"/>
      <c r="I502" s="491"/>
      <c r="J502" s="491"/>
      <c r="K502" s="491"/>
      <c r="L502" s="491"/>
      <c r="M502" s="491"/>
      <c r="N502" s="491"/>
      <c r="O502" s="491"/>
      <c r="P502" s="491"/>
      <c r="Q502" s="491"/>
      <c r="R502" s="491"/>
      <c r="S502" s="491"/>
      <c r="T502" s="491"/>
      <c r="U502" s="491"/>
      <c r="V502" s="491"/>
    </row>
    <row r="503" spans="1:22" s="490" customFormat="1" x14ac:dyDescent="0.2">
      <c r="A503" s="494"/>
      <c r="B503" s="491"/>
      <c r="C503" s="491"/>
      <c r="D503" s="491"/>
      <c r="E503" s="491"/>
      <c r="F503" s="491"/>
      <c r="G503" s="491"/>
      <c r="H503" s="491"/>
      <c r="I503" s="491"/>
      <c r="J503" s="491"/>
      <c r="K503" s="491"/>
      <c r="L503" s="491"/>
      <c r="M503" s="491"/>
      <c r="N503" s="491"/>
      <c r="O503" s="491"/>
      <c r="P503" s="491"/>
      <c r="Q503" s="491"/>
      <c r="R503" s="491"/>
      <c r="S503" s="491"/>
      <c r="T503" s="491"/>
      <c r="U503" s="491"/>
      <c r="V503" s="491"/>
    </row>
    <row r="504" spans="1:22" s="490" customFormat="1" x14ac:dyDescent="0.2">
      <c r="A504" s="494"/>
      <c r="B504" s="491"/>
      <c r="C504" s="491"/>
      <c r="D504" s="491"/>
      <c r="E504" s="491"/>
      <c r="F504" s="491"/>
      <c r="G504" s="491"/>
      <c r="H504" s="491"/>
      <c r="I504" s="491"/>
      <c r="J504" s="491"/>
      <c r="K504" s="491"/>
      <c r="L504" s="491"/>
      <c r="M504" s="491"/>
      <c r="N504" s="491"/>
      <c r="O504" s="491"/>
      <c r="P504" s="491"/>
      <c r="Q504" s="491"/>
      <c r="R504" s="491"/>
      <c r="S504" s="491"/>
      <c r="T504" s="491"/>
      <c r="U504" s="491"/>
      <c r="V504" s="491"/>
    </row>
    <row r="505" spans="1:22" s="490" customFormat="1" x14ac:dyDescent="0.2">
      <c r="A505" s="494"/>
      <c r="B505" s="491"/>
      <c r="C505" s="491"/>
      <c r="D505" s="491"/>
      <c r="E505" s="491"/>
      <c r="F505" s="491"/>
      <c r="G505" s="491"/>
      <c r="H505" s="491"/>
      <c r="I505" s="491"/>
      <c r="J505" s="491"/>
      <c r="K505" s="491"/>
      <c r="L505" s="491"/>
      <c r="M505" s="491"/>
      <c r="N505" s="491"/>
      <c r="O505" s="491"/>
      <c r="P505" s="491"/>
      <c r="Q505" s="491"/>
      <c r="R505" s="491"/>
      <c r="S505" s="491"/>
      <c r="T505" s="491"/>
      <c r="U505" s="491"/>
      <c r="V505" s="491"/>
    </row>
    <row r="506" spans="1:22" s="490" customFormat="1" x14ac:dyDescent="0.2">
      <c r="A506" s="494"/>
      <c r="B506" s="491"/>
      <c r="C506" s="491"/>
      <c r="D506" s="491"/>
      <c r="E506" s="491"/>
      <c r="F506" s="491"/>
      <c r="G506" s="491"/>
      <c r="H506" s="491"/>
      <c r="I506" s="491"/>
      <c r="J506" s="491"/>
      <c r="K506" s="491"/>
      <c r="L506" s="491"/>
      <c r="M506" s="491"/>
      <c r="N506" s="491"/>
      <c r="O506" s="491"/>
      <c r="P506" s="491"/>
      <c r="Q506" s="491"/>
      <c r="R506" s="491"/>
      <c r="S506" s="491"/>
      <c r="T506" s="491"/>
      <c r="U506" s="491"/>
      <c r="V506" s="491"/>
    </row>
    <row r="507" spans="1:22" s="490" customFormat="1" x14ac:dyDescent="0.2">
      <c r="A507" s="494"/>
      <c r="B507" s="491"/>
      <c r="C507" s="491"/>
      <c r="D507" s="491"/>
      <c r="E507" s="491"/>
      <c r="F507" s="491"/>
      <c r="G507" s="491"/>
      <c r="H507" s="491"/>
      <c r="I507" s="491"/>
      <c r="J507" s="491"/>
      <c r="K507" s="491"/>
      <c r="L507" s="491"/>
      <c r="M507" s="491"/>
      <c r="N507" s="491"/>
      <c r="O507" s="491"/>
      <c r="P507" s="491"/>
      <c r="Q507" s="491"/>
      <c r="R507" s="491"/>
      <c r="S507" s="491"/>
      <c r="T507" s="491"/>
      <c r="U507" s="491"/>
      <c r="V507" s="491"/>
    </row>
    <row r="508" spans="1:22" s="490" customFormat="1" x14ac:dyDescent="0.2">
      <c r="A508" s="494"/>
      <c r="B508" s="491"/>
      <c r="C508" s="491"/>
      <c r="D508" s="491"/>
      <c r="E508" s="491"/>
      <c r="F508" s="491"/>
      <c r="G508" s="491"/>
      <c r="H508" s="491"/>
      <c r="I508" s="491"/>
      <c r="J508" s="491"/>
      <c r="K508" s="491"/>
      <c r="L508" s="491"/>
      <c r="M508" s="491"/>
      <c r="N508" s="491"/>
      <c r="O508" s="491"/>
      <c r="P508" s="491"/>
      <c r="Q508" s="491"/>
      <c r="R508" s="491"/>
      <c r="S508" s="491"/>
      <c r="T508" s="491"/>
      <c r="U508" s="491"/>
      <c r="V508" s="491"/>
    </row>
    <row r="509" spans="1:22" s="490" customFormat="1" x14ac:dyDescent="0.2">
      <c r="A509" s="494"/>
      <c r="B509" s="491"/>
      <c r="C509" s="491"/>
      <c r="D509" s="491"/>
      <c r="E509" s="491"/>
      <c r="F509" s="491"/>
      <c r="G509" s="491"/>
      <c r="H509" s="491"/>
      <c r="I509" s="491"/>
      <c r="J509" s="491"/>
      <c r="K509" s="491"/>
      <c r="L509" s="491"/>
      <c r="M509" s="491"/>
      <c r="N509" s="491"/>
      <c r="O509" s="491"/>
      <c r="P509" s="491"/>
      <c r="Q509" s="491"/>
      <c r="R509" s="491"/>
      <c r="S509" s="491"/>
      <c r="T509" s="491"/>
      <c r="U509" s="491"/>
      <c r="V509" s="491"/>
    </row>
    <row r="510" spans="1:22" s="490" customFormat="1" x14ac:dyDescent="0.2">
      <c r="A510" s="494"/>
      <c r="B510" s="491"/>
      <c r="C510" s="491"/>
      <c r="D510" s="491"/>
      <c r="E510" s="491"/>
      <c r="F510" s="491"/>
      <c r="G510" s="491"/>
      <c r="H510" s="491"/>
      <c r="I510" s="491"/>
      <c r="J510" s="491"/>
      <c r="K510" s="491"/>
      <c r="L510" s="491"/>
      <c r="M510" s="491"/>
      <c r="N510" s="491"/>
      <c r="O510" s="491"/>
      <c r="P510" s="491"/>
      <c r="Q510" s="491"/>
      <c r="R510" s="491"/>
      <c r="S510" s="491"/>
      <c r="T510" s="491"/>
      <c r="U510" s="491"/>
      <c r="V510" s="491"/>
    </row>
    <row r="511" spans="1:22" s="490" customFormat="1" x14ac:dyDescent="0.2">
      <c r="A511" s="494"/>
      <c r="B511" s="491"/>
      <c r="C511" s="491"/>
      <c r="D511" s="491"/>
      <c r="E511" s="491"/>
      <c r="F511" s="491"/>
      <c r="G511" s="491"/>
      <c r="H511" s="491"/>
      <c r="I511" s="491"/>
      <c r="J511" s="491"/>
      <c r="K511" s="491"/>
      <c r="L511" s="491"/>
      <c r="M511" s="491"/>
      <c r="N511" s="491"/>
      <c r="O511" s="491"/>
      <c r="P511" s="491"/>
      <c r="Q511" s="491"/>
      <c r="R511" s="491"/>
      <c r="S511" s="491"/>
      <c r="T511" s="491"/>
      <c r="U511" s="491"/>
      <c r="V511" s="491"/>
    </row>
    <row r="512" spans="1:22" s="490" customFormat="1" x14ac:dyDescent="0.2">
      <c r="A512" s="494"/>
      <c r="B512" s="491"/>
      <c r="C512" s="491"/>
      <c r="D512" s="491"/>
      <c r="E512" s="491"/>
      <c r="F512" s="491"/>
      <c r="G512" s="491"/>
      <c r="H512" s="491"/>
      <c r="I512" s="491"/>
      <c r="J512" s="491"/>
      <c r="K512" s="491"/>
      <c r="L512" s="491"/>
      <c r="M512" s="491"/>
      <c r="N512" s="491"/>
      <c r="O512" s="491"/>
      <c r="P512" s="491"/>
      <c r="Q512" s="491"/>
      <c r="R512" s="491"/>
      <c r="S512" s="491"/>
      <c r="T512" s="491"/>
      <c r="U512" s="491"/>
      <c r="V512" s="491"/>
    </row>
    <row r="513" spans="1:22" s="490" customFormat="1" x14ac:dyDescent="0.2">
      <c r="A513" s="494"/>
      <c r="B513" s="491"/>
      <c r="C513" s="491"/>
      <c r="D513" s="491"/>
      <c r="E513" s="491"/>
      <c r="F513" s="491"/>
      <c r="G513" s="491"/>
      <c r="H513" s="491"/>
      <c r="I513" s="491"/>
      <c r="J513" s="491"/>
      <c r="K513" s="491"/>
      <c r="L513" s="491"/>
      <c r="M513" s="491"/>
      <c r="N513" s="491"/>
      <c r="O513" s="491"/>
      <c r="P513" s="491"/>
      <c r="Q513" s="491"/>
      <c r="R513" s="491"/>
      <c r="S513" s="491"/>
      <c r="T513" s="491"/>
      <c r="U513" s="491"/>
      <c r="V513" s="491"/>
    </row>
    <row r="514" spans="1:22" s="490" customFormat="1" x14ac:dyDescent="0.2">
      <c r="A514" s="494"/>
      <c r="B514" s="491"/>
      <c r="C514" s="491"/>
      <c r="D514" s="491"/>
      <c r="E514" s="491"/>
      <c r="F514" s="491"/>
      <c r="G514" s="491"/>
      <c r="H514" s="491"/>
      <c r="I514" s="491"/>
      <c r="J514" s="491"/>
      <c r="K514" s="491"/>
      <c r="L514" s="491"/>
      <c r="M514" s="491"/>
      <c r="N514" s="491"/>
      <c r="O514" s="491"/>
      <c r="P514" s="491"/>
      <c r="Q514" s="491"/>
      <c r="R514" s="491"/>
      <c r="S514" s="491"/>
      <c r="T514" s="491"/>
      <c r="U514" s="491"/>
      <c r="V514" s="491"/>
    </row>
    <row r="515" spans="1:22" s="490" customFormat="1" x14ac:dyDescent="0.2">
      <c r="A515" s="494"/>
      <c r="B515" s="491"/>
      <c r="C515" s="491"/>
      <c r="D515" s="491"/>
      <c r="E515" s="491"/>
      <c r="F515" s="491"/>
      <c r="G515" s="491"/>
      <c r="H515" s="491"/>
      <c r="I515" s="491"/>
      <c r="J515" s="491"/>
      <c r="K515" s="491"/>
      <c r="L515" s="491"/>
      <c r="M515" s="491"/>
      <c r="N515" s="491"/>
      <c r="O515" s="491"/>
      <c r="P515" s="491"/>
      <c r="Q515" s="491"/>
      <c r="R515" s="491"/>
      <c r="S515" s="491"/>
      <c r="T515" s="491"/>
      <c r="U515" s="491"/>
      <c r="V515" s="491"/>
    </row>
    <row r="516" spans="1:22" s="490" customFormat="1" x14ac:dyDescent="0.2">
      <c r="A516" s="494"/>
      <c r="B516" s="491"/>
      <c r="C516" s="491"/>
      <c r="D516" s="491"/>
      <c r="E516" s="491"/>
      <c r="F516" s="491"/>
      <c r="G516" s="491"/>
      <c r="H516" s="491"/>
      <c r="I516" s="491"/>
      <c r="J516" s="491"/>
      <c r="K516" s="491"/>
      <c r="L516" s="491"/>
      <c r="M516" s="491"/>
      <c r="N516" s="491"/>
      <c r="O516" s="491"/>
      <c r="P516" s="491"/>
      <c r="Q516" s="491"/>
      <c r="R516" s="491"/>
      <c r="S516" s="491"/>
      <c r="T516" s="491"/>
      <c r="U516" s="491"/>
      <c r="V516" s="491"/>
    </row>
    <row r="517" spans="1:22" s="490" customFormat="1" x14ac:dyDescent="0.2">
      <c r="A517" s="494"/>
      <c r="B517" s="491"/>
      <c r="C517" s="491"/>
      <c r="D517" s="491"/>
      <c r="E517" s="491"/>
      <c r="F517" s="491"/>
      <c r="G517" s="491"/>
      <c r="H517" s="491"/>
      <c r="I517" s="491"/>
      <c r="J517" s="491"/>
      <c r="K517" s="491"/>
      <c r="L517" s="491"/>
      <c r="M517" s="491"/>
      <c r="N517" s="491"/>
      <c r="O517" s="491"/>
      <c r="P517" s="491"/>
      <c r="Q517" s="491"/>
      <c r="R517" s="491"/>
      <c r="S517" s="491"/>
      <c r="T517" s="491"/>
      <c r="U517" s="491"/>
      <c r="V517" s="491"/>
    </row>
    <row r="518" spans="1:22" s="490" customFormat="1" x14ac:dyDescent="0.2">
      <c r="A518" s="494"/>
      <c r="B518" s="491"/>
      <c r="C518" s="491"/>
      <c r="D518" s="491"/>
      <c r="E518" s="491"/>
      <c r="F518" s="491"/>
      <c r="G518" s="491"/>
      <c r="H518" s="491"/>
      <c r="I518" s="491"/>
      <c r="J518" s="491"/>
      <c r="K518" s="491"/>
      <c r="L518" s="491"/>
      <c r="M518" s="491"/>
      <c r="N518" s="491"/>
      <c r="O518" s="491"/>
      <c r="P518" s="491"/>
      <c r="Q518" s="491"/>
      <c r="R518" s="491"/>
      <c r="S518" s="491"/>
      <c r="T518" s="491"/>
      <c r="U518" s="491"/>
      <c r="V518" s="491"/>
    </row>
    <row r="519" spans="1:22" s="490" customFormat="1" x14ac:dyDescent="0.2">
      <c r="A519" s="494"/>
      <c r="B519" s="491"/>
      <c r="C519" s="491"/>
      <c r="D519" s="491"/>
      <c r="E519" s="491"/>
      <c r="F519" s="491"/>
      <c r="G519" s="491"/>
      <c r="H519" s="491"/>
      <c r="I519" s="491"/>
      <c r="J519" s="491"/>
      <c r="K519" s="491"/>
      <c r="L519" s="491"/>
      <c r="M519" s="491"/>
      <c r="N519" s="491"/>
      <c r="O519" s="491"/>
      <c r="P519" s="491"/>
      <c r="Q519" s="491"/>
      <c r="R519" s="491"/>
      <c r="S519" s="491"/>
      <c r="T519" s="491"/>
      <c r="U519" s="491"/>
      <c r="V519" s="491"/>
    </row>
    <row r="520" spans="1:22" s="490" customFormat="1" x14ac:dyDescent="0.2">
      <c r="A520" s="494"/>
      <c r="B520" s="491"/>
      <c r="C520" s="491"/>
      <c r="D520" s="491"/>
      <c r="E520" s="491"/>
      <c r="F520" s="491"/>
      <c r="G520" s="491"/>
      <c r="H520" s="491"/>
      <c r="I520" s="491"/>
      <c r="J520" s="491"/>
      <c r="K520" s="491"/>
      <c r="L520" s="491"/>
      <c r="M520" s="491"/>
      <c r="N520" s="491"/>
      <c r="O520" s="491"/>
      <c r="P520" s="491"/>
      <c r="Q520" s="491"/>
      <c r="R520" s="491"/>
      <c r="S520" s="491"/>
      <c r="T520" s="491"/>
      <c r="U520" s="491"/>
      <c r="V520" s="491"/>
    </row>
    <row r="521" spans="1:22" s="490" customFormat="1" x14ac:dyDescent="0.2">
      <c r="A521" s="494"/>
      <c r="B521" s="491"/>
      <c r="C521" s="491"/>
      <c r="D521" s="491"/>
      <c r="E521" s="491"/>
      <c r="F521" s="491"/>
      <c r="G521" s="491"/>
      <c r="H521" s="491"/>
      <c r="I521" s="491"/>
      <c r="J521" s="491"/>
      <c r="K521" s="491"/>
      <c r="L521" s="491"/>
      <c r="M521" s="491"/>
      <c r="N521" s="491"/>
      <c r="O521" s="491"/>
      <c r="P521" s="491"/>
      <c r="Q521" s="491"/>
      <c r="R521" s="491"/>
      <c r="S521" s="491"/>
      <c r="T521" s="491"/>
      <c r="U521" s="491"/>
      <c r="V521" s="491"/>
    </row>
    <row r="522" spans="1:22" s="490" customFormat="1" x14ac:dyDescent="0.2">
      <c r="A522" s="494"/>
      <c r="B522" s="491"/>
      <c r="C522" s="491"/>
      <c r="D522" s="491"/>
      <c r="E522" s="491"/>
      <c r="F522" s="491"/>
      <c r="G522" s="491"/>
      <c r="H522" s="491"/>
      <c r="I522" s="491"/>
      <c r="J522" s="491"/>
      <c r="K522" s="491"/>
      <c r="L522" s="491"/>
      <c r="M522" s="491"/>
      <c r="N522" s="491"/>
      <c r="O522" s="491"/>
      <c r="P522" s="491"/>
      <c r="Q522" s="491"/>
      <c r="R522" s="491"/>
      <c r="S522" s="491"/>
      <c r="T522" s="491"/>
      <c r="U522" s="491"/>
      <c r="V522" s="491"/>
    </row>
    <row r="523" spans="1:22" s="490" customFormat="1" x14ac:dyDescent="0.2">
      <c r="A523" s="494"/>
      <c r="B523" s="491"/>
      <c r="C523" s="491"/>
      <c r="D523" s="491"/>
      <c r="E523" s="491"/>
      <c r="F523" s="491"/>
      <c r="G523" s="491"/>
      <c r="H523" s="491"/>
      <c r="I523" s="491"/>
      <c r="J523" s="491"/>
      <c r="K523" s="491"/>
      <c r="L523" s="491"/>
      <c r="M523" s="491"/>
      <c r="N523" s="491"/>
      <c r="O523" s="491"/>
      <c r="P523" s="491"/>
      <c r="Q523" s="491"/>
      <c r="R523" s="491"/>
      <c r="S523" s="491"/>
      <c r="T523" s="491"/>
      <c r="U523" s="491"/>
      <c r="V523" s="491"/>
    </row>
    <row r="524" spans="1:22" s="490" customFormat="1" x14ac:dyDescent="0.2">
      <c r="A524" s="494"/>
      <c r="B524" s="491"/>
      <c r="C524" s="491"/>
      <c r="D524" s="491"/>
      <c r="E524" s="491"/>
      <c r="F524" s="491"/>
      <c r="G524" s="491"/>
      <c r="H524" s="491"/>
      <c r="I524" s="491"/>
      <c r="J524" s="491"/>
      <c r="K524" s="491"/>
      <c r="L524" s="491"/>
      <c r="M524" s="491"/>
      <c r="N524" s="491"/>
      <c r="O524" s="491"/>
      <c r="P524" s="491"/>
      <c r="Q524" s="491"/>
      <c r="R524" s="491"/>
      <c r="S524" s="491"/>
      <c r="T524" s="491"/>
      <c r="U524" s="491"/>
      <c r="V524" s="491"/>
    </row>
    <row r="525" spans="1:22" s="490" customFormat="1" x14ac:dyDescent="0.2">
      <c r="A525" s="494"/>
      <c r="B525" s="491"/>
      <c r="C525" s="491"/>
      <c r="D525" s="491"/>
      <c r="E525" s="491"/>
      <c r="F525" s="491"/>
      <c r="G525" s="491"/>
      <c r="H525" s="491"/>
      <c r="I525" s="491"/>
      <c r="J525" s="491"/>
      <c r="K525" s="491"/>
      <c r="L525" s="491"/>
      <c r="M525" s="491"/>
      <c r="N525" s="491"/>
      <c r="O525" s="491"/>
      <c r="P525" s="491"/>
      <c r="Q525" s="491"/>
      <c r="R525" s="491"/>
      <c r="S525" s="491"/>
      <c r="T525" s="491"/>
      <c r="U525" s="491"/>
      <c r="V525" s="491"/>
    </row>
    <row r="526" spans="1:22" s="490" customFormat="1" x14ac:dyDescent="0.2">
      <c r="A526" s="494"/>
      <c r="B526" s="491"/>
      <c r="C526" s="491"/>
      <c r="D526" s="491"/>
      <c r="E526" s="491"/>
      <c r="F526" s="491"/>
      <c r="G526" s="491"/>
      <c r="H526" s="491"/>
      <c r="I526" s="491"/>
      <c r="J526" s="491"/>
      <c r="K526" s="491"/>
      <c r="L526" s="491"/>
      <c r="M526" s="491"/>
      <c r="N526" s="491"/>
      <c r="O526" s="491"/>
      <c r="P526" s="491"/>
      <c r="Q526" s="491"/>
      <c r="R526" s="491"/>
      <c r="S526" s="491"/>
      <c r="T526" s="491"/>
      <c r="U526" s="491"/>
      <c r="V526" s="491"/>
    </row>
    <row r="527" spans="1:22" s="490" customFormat="1" x14ac:dyDescent="0.2">
      <c r="A527" s="494"/>
      <c r="B527" s="491"/>
      <c r="C527" s="491"/>
      <c r="D527" s="491"/>
      <c r="E527" s="491"/>
      <c r="F527" s="491"/>
      <c r="G527" s="491"/>
      <c r="H527" s="491"/>
      <c r="I527" s="491"/>
      <c r="J527" s="491"/>
      <c r="K527" s="491"/>
      <c r="L527" s="491"/>
      <c r="M527" s="491"/>
      <c r="N527" s="491"/>
      <c r="O527" s="491"/>
      <c r="P527" s="491"/>
      <c r="Q527" s="491"/>
      <c r="R527" s="491"/>
      <c r="S527" s="491"/>
      <c r="T527" s="491"/>
      <c r="U527" s="491"/>
      <c r="V527" s="491"/>
    </row>
    <row r="528" spans="1:22" s="490" customFormat="1" x14ac:dyDescent="0.2">
      <c r="A528" s="494"/>
      <c r="B528" s="491"/>
      <c r="C528" s="491"/>
      <c r="D528" s="491"/>
      <c r="E528" s="491"/>
      <c r="F528" s="491"/>
      <c r="G528" s="491"/>
      <c r="H528" s="491"/>
      <c r="I528" s="491"/>
      <c r="J528" s="491"/>
      <c r="K528" s="491"/>
      <c r="L528" s="491"/>
      <c r="M528" s="491"/>
      <c r="N528" s="491"/>
      <c r="O528" s="491"/>
      <c r="P528" s="491"/>
      <c r="Q528" s="491"/>
      <c r="R528" s="491"/>
      <c r="S528" s="491"/>
      <c r="T528" s="491"/>
      <c r="U528" s="491"/>
      <c r="V528" s="491"/>
    </row>
    <row r="529" spans="1:22" s="490" customFormat="1" x14ac:dyDescent="0.2">
      <c r="A529" s="494"/>
      <c r="B529" s="491"/>
      <c r="C529" s="491"/>
      <c r="D529" s="491"/>
      <c r="E529" s="491"/>
      <c r="F529" s="491"/>
      <c r="G529" s="491"/>
      <c r="H529" s="491"/>
      <c r="I529" s="491"/>
      <c r="J529" s="491"/>
      <c r="K529" s="491"/>
      <c r="L529" s="491"/>
      <c r="M529" s="491"/>
      <c r="N529" s="491"/>
      <c r="O529" s="491"/>
      <c r="P529" s="491"/>
      <c r="Q529" s="491"/>
      <c r="R529" s="491"/>
      <c r="S529" s="491"/>
      <c r="T529" s="491"/>
      <c r="U529" s="491"/>
      <c r="V529" s="491"/>
    </row>
    <row r="530" spans="1:22" s="490" customFormat="1" x14ac:dyDescent="0.2">
      <c r="A530" s="494"/>
      <c r="B530" s="491"/>
      <c r="C530" s="491"/>
      <c r="D530" s="491"/>
      <c r="E530" s="491"/>
      <c r="F530" s="491"/>
      <c r="G530" s="491"/>
      <c r="H530" s="491"/>
      <c r="I530" s="491"/>
      <c r="J530" s="491"/>
      <c r="K530" s="491"/>
      <c r="L530" s="491"/>
      <c r="M530" s="491"/>
      <c r="N530" s="491"/>
      <c r="O530" s="491"/>
      <c r="P530" s="491"/>
      <c r="Q530" s="491"/>
      <c r="R530" s="491"/>
      <c r="S530" s="491"/>
      <c r="T530" s="491"/>
      <c r="U530" s="491"/>
      <c r="V530" s="491"/>
    </row>
    <row r="531" spans="1:22" s="490" customFormat="1" x14ac:dyDescent="0.2">
      <c r="A531" s="494"/>
      <c r="B531" s="491"/>
      <c r="C531" s="491"/>
      <c r="D531" s="491"/>
      <c r="E531" s="491"/>
      <c r="F531" s="491"/>
      <c r="G531" s="491"/>
      <c r="H531" s="491"/>
      <c r="I531" s="491"/>
      <c r="J531" s="491"/>
      <c r="K531" s="491"/>
      <c r="L531" s="491"/>
      <c r="M531" s="491"/>
      <c r="N531" s="491"/>
      <c r="O531" s="491"/>
      <c r="P531" s="491"/>
      <c r="Q531" s="491"/>
      <c r="R531" s="491"/>
      <c r="S531" s="491"/>
      <c r="T531" s="491"/>
      <c r="U531" s="491"/>
      <c r="V531" s="491"/>
    </row>
    <row r="532" spans="1:22" s="490" customFormat="1" x14ac:dyDescent="0.2">
      <c r="A532" s="494"/>
      <c r="B532" s="491"/>
      <c r="C532" s="491"/>
      <c r="D532" s="491"/>
      <c r="E532" s="491"/>
      <c r="F532" s="491"/>
      <c r="G532" s="491"/>
      <c r="H532" s="491"/>
      <c r="I532" s="491"/>
      <c r="J532" s="491"/>
      <c r="K532" s="491"/>
      <c r="L532" s="491"/>
      <c r="M532" s="491"/>
      <c r="N532" s="491"/>
      <c r="O532" s="491"/>
      <c r="P532" s="491"/>
      <c r="Q532" s="491"/>
      <c r="R532" s="491"/>
      <c r="S532" s="491"/>
      <c r="T532" s="491"/>
      <c r="U532" s="491"/>
      <c r="V532" s="491"/>
    </row>
    <row r="533" spans="1:22" s="490" customFormat="1" x14ac:dyDescent="0.2">
      <c r="A533" s="494"/>
      <c r="B533" s="491"/>
      <c r="C533" s="491"/>
      <c r="D533" s="491"/>
      <c r="E533" s="491"/>
      <c r="F533" s="491"/>
      <c r="G533" s="491"/>
      <c r="H533" s="491"/>
      <c r="I533" s="491"/>
      <c r="J533" s="491"/>
      <c r="K533" s="491"/>
      <c r="L533" s="491"/>
      <c r="M533" s="491"/>
      <c r="N533" s="491"/>
      <c r="O533" s="491"/>
      <c r="P533" s="491"/>
      <c r="Q533" s="491"/>
      <c r="R533" s="491"/>
      <c r="S533" s="491"/>
      <c r="T533" s="491"/>
      <c r="U533" s="491"/>
      <c r="V533" s="491"/>
    </row>
    <row r="534" spans="1:22" s="490" customFormat="1" x14ac:dyDescent="0.2">
      <c r="A534" s="494"/>
      <c r="B534" s="491"/>
      <c r="C534" s="491"/>
      <c r="D534" s="491"/>
      <c r="E534" s="491"/>
      <c r="F534" s="491"/>
      <c r="G534" s="491"/>
      <c r="H534" s="491"/>
      <c r="I534" s="491"/>
      <c r="J534" s="491"/>
      <c r="K534" s="491"/>
      <c r="L534" s="491"/>
      <c r="M534" s="491"/>
      <c r="N534" s="491"/>
      <c r="O534" s="491"/>
      <c r="P534" s="491"/>
      <c r="Q534" s="491"/>
      <c r="R534" s="491"/>
      <c r="S534" s="491"/>
      <c r="T534" s="491"/>
      <c r="U534" s="491"/>
      <c r="V534" s="491"/>
    </row>
    <row r="535" spans="1:22" s="490" customFormat="1" x14ac:dyDescent="0.2">
      <c r="A535" s="494"/>
      <c r="B535" s="491"/>
      <c r="C535" s="491"/>
      <c r="D535" s="491"/>
      <c r="E535" s="491"/>
      <c r="F535" s="491"/>
      <c r="G535" s="491"/>
      <c r="H535" s="491"/>
      <c r="I535" s="491"/>
      <c r="J535" s="491"/>
      <c r="K535" s="491"/>
      <c r="L535" s="491"/>
      <c r="M535" s="491"/>
      <c r="N535" s="491"/>
      <c r="O535" s="491"/>
      <c r="P535" s="491"/>
      <c r="Q535" s="491"/>
      <c r="R535" s="491"/>
      <c r="S535" s="491"/>
      <c r="T535" s="491"/>
      <c r="U535" s="491"/>
      <c r="V535" s="491"/>
    </row>
    <row r="536" spans="1:22" s="490" customFormat="1" x14ac:dyDescent="0.2">
      <c r="A536" s="494"/>
      <c r="B536" s="491"/>
      <c r="C536" s="491"/>
      <c r="D536" s="491"/>
      <c r="E536" s="491"/>
      <c r="F536" s="491"/>
      <c r="G536" s="491"/>
      <c r="H536" s="491"/>
      <c r="I536" s="491"/>
      <c r="J536" s="491"/>
      <c r="K536" s="491"/>
      <c r="L536" s="491"/>
      <c r="M536" s="491"/>
      <c r="N536" s="491"/>
      <c r="O536" s="491"/>
      <c r="P536" s="491"/>
      <c r="Q536" s="491"/>
      <c r="R536" s="491"/>
      <c r="S536" s="491"/>
      <c r="T536" s="491"/>
      <c r="U536" s="491"/>
      <c r="V536" s="491"/>
    </row>
    <row r="537" spans="1:22" s="490" customFormat="1" x14ac:dyDescent="0.2">
      <c r="A537" s="494"/>
      <c r="B537" s="491"/>
      <c r="C537" s="491"/>
      <c r="D537" s="491"/>
      <c r="E537" s="491"/>
      <c r="F537" s="491"/>
      <c r="G537" s="491"/>
      <c r="H537" s="491"/>
      <c r="I537" s="491"/>
      <c r="J537" s="491"/>
      <c r="K537" s="491"/>
      <c r="L537" s="491"/>
      <c r="M537" s="491"/>
      <c r="N537" s="491"/>
      <c r="O537" s="491"/>
      <c r="P537" s="491"/>
      <c r="Q537" s="491"/>
      <c r="R537" s="491"/>
      <c r="S537" s="491"/>
      <c r="T537" s="491"/>
      <c r="U537" s="491"/>
      <c r="V537" s="491"/>
    </row>
    <row r="538" spans="1:22" s="490" customFormat="1" x14ac:dyDescent="0.2">
      <c r="A538" s="494"/>
      <c r="B538" s="491"/>
      <c r="C538" s="491"/>
      <c r="D538" s="491"/>
      <c r="E538" s="491"/>
      <c r="F538" s="491"/>
      <c r="G538" s="491"/>
      <c r="H538" s="491"/>
      <c r="I538" s="491"/>
      <c r="J538" s="491"/>
      <c r="K538" s="491"/>
      <c r="L538" s="491"/>
      <c r="M538" s="491"/>
      <c r="N538" s="491"/>
      <c r="O538" s="491"/>
      <c r="P538" s="491"/>
      <c r="Q538" s="491"/>
      <c r="R538" s="491"/>
      <c r="S538" s="491"/>
      <c r="T538" s="491"/>
      <c r="U538" s="491"/>
      <c r="V538" s="491"/>
    </row>
    <row r="539" spans="1:22" s="490" customFormat="1" x14ac:dyDescent="0.2">
      <c r="A539" s="494"/>
      <c r="B539" s="491"/>
      <c r="C539" s="491"/>
      <c r="D539" s="491"/>
      <c r="E539" s="491"/>
      <c r="F539" s="491"/>
      <c r="G539" s="491"/>
      <c r="H539" s="491"/>
      <c r="I539" s="491"/>
      <c r="J539" s="491"/>
      <c r="K539" s="491"/>
      <c r="L539" s="491"/>
      <c r="M539" s="491"/>
      <c r="N539" s="491"/>
      <c r="O539" s="491"/>
      <c r="P539" s="491"/>
      <c r="Q539" s="491"/>
      <c r="R539" s="491"/>
      <c r="S539" s="491"/>
      <c r="T539" s="491"/>
      <c r="U539" s="491"/>
      <c r="V539" s="491"/>
    </row>
    <row r="540" spans="1:22" s="490" customFormat="1" x14ac:dyDescent="0.2">
      <c r="A540" s="494"/>
      <c r="B540" s="491"/>
      <c r="C540" s="491"/>
      <c r="D540" s="491"/>
      <c r="E540" s="491"/>
      <c r="F540" s="491"/>
      <c r="G540" s="491"/>
      <c r="H540" s="491"/>
      <c r="I540" s="491"/>
      <c r="J540" s="491"/>
      <c r="K540" s="491"/>
      <c r="L540" s="491"/>
      <c r="M540" s="491"/>
      <c r="N540" s="491"/>
      <c r="O540" s="491"/>
      <c r="P540" s="491"/>
      <c r="Q540" s="491"/>
      <c r="R540" s="491"/>
      <c r="S540" s="491"/>
      <c r="T540" s="491"/>
      <c r="U540" s="491"/>
      <c r="V540" s="491"/>
    </row>
    <row r="541" spans="1:22" s="490" customFormat="1" x14ac:dyDescent="0.2">
      <c r="A541" s="494"/>
      <c r="B541" s="491"/>
      <c r="C541" s="491"/>
      <c r="D541" s="491"/>
      <c r="E541" s="491"/>
      <c r="F541" s="491"/>
      <c r="G541" s="491"/>
      <c r="H541" s="491"/>
      <c r="I541" s="491"/>
      <c r="J541" s="491"/>
      <c r="K541" s="491"/>
      <c r="L541" s="491"/>
      <c r="M541" s="491"/>
      <c r="N541" s="491"/>
      <c r="O541" s="491"/>
      <c r="P541" s="491"/>
      <c r="Q541" s="491"/>
      <c r="R541" s="491"/>
      <c r="S541" s="491"/>
      <c r="T541" s="491"/>
      <c r="U541" s="491"/>
      <c r="V541" s="491"/>
    </row>
    <row r="542" spans="1:22" s="490" customFormat="1" x14ac:dyDescent="0.2">
      <c r="A542" s="494"/>
      <c r="B542" s="491"/>
      <c r="C542" s="491"/>
      <c r="D542" s="491"/>
      <c r="E542" s="491"/>
      <c r="F542" s="491"/>
      <c r="G542" s="491"/>
      <c r="H542" s="491"/>
      <c r="I542" s="491"/>
      <c r="J542" s="491"/>
      <c r="K542" s="491"/>
      <c r="L542" s="491"/>
      <c r="M542" s="491"/>
      <c r="N542" s="491"/>
      <c r="O542" s="491"/>
      <c r="P542" s="491"/>
      <c r="Q542" s="491"/>
      <c r="R542" s="491"/>
      <c r="S542" s="491"/>
      <c r="T542" s="491"/>
      <c r="U542" s="491"/>
      <c r="V542" s="491"/>
    </row>
    <row r="543" spans="1:22" s="490" customFormat="1" x14ac:dyDescent="0.2">
      <c r="A543" s="494"/>
      <c r="B543" s="491"/>
      <c r="C543" s="491"/>
      <c r="D543" s="491"/>
      <c r="E543" s="491"/>
      <c r="F543" s="491"/>
      <c r="G543" s="491"/>
      <c r="H543" s="491"/>
      <c r="I543" s="491"/>
      <c r="J543" s="491"/>
      <c r="K543" s="491"/>
      <c r="L543" s="491"/>
      <c r="M543" s="491"/>
      <c r="N543" s="491"/>
      <c r="O543" s="491"/>
      <c r="P543" s="491"/>
      <c r="Q543" s="491"/>
      <c r="R543" s="491"/>
      <c r="S543" s="491"/>
      <c r="T543" s="491"/>
      <c r="U543" s="491"/>
      <c r="V543" s="491"/>
    </row>
    <row r="544" spans="1:22" s="490" customFormat="1" x14ac:dyDescent="0.2">
      <c r="A544" s="494"/>
      <c r="B544" s="491"/>
      <c r="C544" s="491"/>
      <c r="D544" s="491"/>
      <c r="E544" s="491"/>
      <c r="F544" s="491"/>
      <c r="G544" s="491"/>
      <c r="H544" s="491"/>
      <c r="I544" s="491"/>
      <c r="J544" s="491"/>
      <c r="K544" s="491"/>
      <c r="L544" s="491"/>
      <c r="M544" s="491"/>
      <c r="N544" s="491"/>
      <c r="O544" s="491"/>
      <c r="P544" s="491"/>
      <c r="Q544" s="491"/>
      <c r="R544" s="491"/>
      <c r="S544" s="491"/>
      <c r="T544" s="491"/>
      <c r="U544" s="491"/>
      <c r="V544" s="491"/>
    </row>
    <row r="545" spans="1:22" s="490" customFormat="1" x14ac:dyDescent="0.2">
      <c r="A545" s="494"/>
      <c r="B545" s="491"/>
      <c r="C545" s="491"/>
      <c r="D545" s="491"/>
      <c r="E545" s="491"/>
      <c r="F545" s="491"/>
      <c r="G545" s="491"/>
      <c r="H545" s="491"/>
      <c r="I545" s="491"/>
      <c r="J545" s="491"/>
      <c r="K545" s="491"/>
      <c r="L545" s="491"/>
      <c r="M545" s="491"/>
      <c r="N545" s="491"/>
      <c r="O545" s="491"/>
      <c r="P545" s="491"/>
      <c r="Q545" s="491"/>
      <c r="R545" s="491"/>
      <c r="S545" s="491"/>
      <c r="T545" s="491"/>
      <c r="U545" s="491"/>
      <c r="V545" s="491"/>
    </row>
    <row r="546" spans="1:22" s="490" customFormat="1" x14ac:dyDescent="0.2">
      <c r="A546" s="494"/>
      <c r="B546" s="491"/>
      <c r="C546" s="491"/>
      <c r="D546" s="491"/>
      <c r="E546" s="491"/>
      <c r="F546" s="491"/>
      <c r="G546" s="491"/>
      <c r="H546" s="491"/>
      <c r="I546" s="491"/>
      <c r="J546" s="491"/>
      <c r="K546" s="491"/>
      <c r="L546" s="491"/>
      <c r="M546" s="491"/>
      <c r="N546" s="491"/>
      <c r="O546" s="491"/>
      <c r="P546" s="491"/>
      <c r="Q546" s="491"/>
      <c r="R546" s="491"/>
      <c r="S546" s="491"/>
      <c r="T546" s="491"/>
      <c r="U546" s="491"/>
      <c r="V546" s="491"/>
    </row>
    <row r="547" spans="1:22" s="490" customFormat="1" x14ac:dyDescent="0.2">
      <c r="A547" s="494"/>
      <c r="B547" s="491"/>
      <c r="C547" s="491"/>
      <c r="D547" s="491"/>
      <c r="E547" s="491"/>
      <c r="F547" s="491"/>
      <c r="G547" s="491"/>
      <c r="H547" s="491"/>
      <c r="I547" s="491"/>
      <c r="J547" s="491"/>
      <c r="K547" s="491"/>
      <c r="L547" s="491"/>
      <c r="M547" s="491"/>
      <c r="N547" s="491"/>
      <c r="O547" s="491"/>
      <c r="P547" s="491"/>
      <c r="Q547" s="491"/>
      <c r="R547" s="491"/>
      <c r="S547" s="491"/>
      <c r="T547" s="491"/>
      <c r="U547" s="491"/>
      <c r="V547" s="491"/>
    </row>
    <row r="548" spans="1:22" s="490" customFormat="1" x14ac:dyDescent="0.2">
      <c r="A548" s="494"/>
      <c r="B548" s="491"/>
      <c r="C548" s="491"/>
      <c r="D548" s="491"/>
      <c r="E548" s="491"/>
      <c r="F548" s="491"/>
      <c r="G548" s="491"/>
      <c r="H548" s="491"/>
      <c r="I548" s="491"/>
      <c r="J548" s="491"/>
      <c r="K548" s="491"/>
      <c r="L548" s="491"/>
      <c r="M548" s="491"/>
      <c r="N548" s="491"/>
      <c r="O548" s="491"/>
      <c r="P548" s="491"/>
      <c r="Q548" s="491"/>
      <c r="R548" s="491"/>
      <c r="S548" s="491"/>
      <c r="T548" s="491"/>
      <c r="U548" s="491"/>
      <c r="V548" s="491"/>
    </row>
    <row r="549" spans="1:22" s="490" customFormat="1" x14ac:dyDescent="0.2">
      <c r="A549" s="494"/>
      <c r="B549" s="491"/>
      <c r="C549" s="491"/>
      <c r="D549" s="491"/>
      <c r="E549" s="491"/>
      <c r="F549" s="491"/>
      <c r="G549" s="491"/>
      <c r="H549" s="491"/>
      <c r="I549" s="491"/>
      <c r="J549" s="491"/>
      <c r="K549" s="491"/>
      <c r="L549" s="491"/>
      <c r="M549" s="491"/>
      <c r="N549" s="491"/>
      <c r="O549" s="491"/>
      <c r="P549" s="491"/>
      <c r="Q549" s="491"/>
      <c r="R549" s="491"/>
      <c r="S549" s="491"/>
      <c r="T549" s="491"/>
      <c r="U549" s="491"/>
      <c r="V549" s="491"/>
    </row>
    <row r="550" spans="1:22" s="490" customFormat="1" x14ac:dyDescent="0.2">
      <c r="A550" s="494"/>
      <c r="B550" s="491"/>
      <c r="C550" s="491"/>
      <c r="D550" s="491"/>
      <c r="E550" s="491"/>
      <c r="F550" s="491"/>
      <c r="G550" s="491"/>
      <c r="H550" s="491"/>
      <c r="I550" s="491"/>
      <c r="J550" s="491"/>
      <c r="K550" s="491"/>
      <c r="L550" s="491"/>
      <c r="M550" s="491"/>
      <c r="N550" s="491"/>
      <c r="O550" s="491"/>
      <c r="P550" s="491"/>
      <c r="Q550" s="491"/>
      <c r="R550" s="491"/>
      <c r="S550" s="491"/>
      <c r="T550" s="491"/>
      <c r="U550" s="491"/>
      <c r="V550" s="491"/>
    </row>
    <row r="551" spans="1:22" s="490" customFormat="1" x14ac:dyDescent="0.2">
      <c r="A551" s="494"/>
      <c r="B551" s="491"/>
      <c r="C551" s="491"/>
      <c r="D551" s="491"/>
      <c r="E551" s="491"/>
      <c r="F551" s="491"/>
      <c r="G551" s="491"/>
      <c r="H551" s="491"/>
      <c r="I551" s="491"/>
      <c r="J551" s="491"/>
      <c r="K551" s="491"/>
      <c r="L551" s="491"/>
      <c r="M551" s="491"/>
      <c r="N551" s="491"/>
      <c r="O551" s="491"/>
      <c r="P551" s="491"/>
      <c r="Q551" s="491"/>
      <c r="R551" s="491"/>
      <c r="S551" s="491"/>
      <c r="T551" s="491"/>
      <c r="U551" s="491"/>
      <c r="V551" s="491"/>
    </row>
    <row r="552" spans="1:22" s="490" customFormat="1" x14ac:dyDescent="0.2">
      <c r="A552" s="494"/>
      <c r="B552" s="491"/>
      <c r="C552" s="491"/>
      <c r="D552" s="491"/>
      <c r="E552" s="491"/>
      <c r="F552" s="491"/>
      <c r="G552" s="491"/>
      <c r="H552" s="491"/>
      <c r="I552" s="491"/>
      <c r="J552" s="491"/>
      <c r="K552" s="491"/>
      <c r="L552" s="491"/>
      <c r="M552" s="491"/>
      <c r="N552" s="491"/>
      <c r="O552" s="491"/>
      <c r="P552" s="491"/>
      <c r="Q552" s="491"/>
      <c r="R552" s="491"/>
      <c r="S552" s="491"/>
      <c r="T552" s="491"/>
      <c r="U552" s="491"/>
      <c r="V552" s="491"/>
    </row>
    <row r="553" spans="1:22" s="490" customFormat="1" x14ac:dyDescent="0.2">
      <c r="A553" s="494"/>
      <c r="B553" s="491"/>
      <c r="C553" s="491"/>
      <c r="D553" s="491"/>
      <c r="E553" s="491"/>
      <c r="F553" s="491"/>
      <c r="G553" s="491"/>
      <c r="H553" s="491"/>
      <c r="I553" s="491"/>
      <c r="J553" s="491"/>
      <c r="K553" s="491"/>
      <c r="L553" s="491"/>
      <c r="M553" s="491"/>
      <c r="N553" s="491"/>
      <c r="O553" s="491"/>
      <c r="P553" s="491"/>
      <c r="Q553" s="491"/>
      <c r="R553" s="491"/>
      <c r="S553" s="491"/>
      <c r="T553" s="491"/>
      <c r="U553" s="491"/>
      <c r="V553" s="491"/>
    </row>
    <row r="554" spans="1:22" s="490" customFormat="1" x14ac:dyDescent="0.2">
      <c r="A554" s="494"/>
      <c r="B554" s="491"/>
      <c r="C554" s="491"/>
      <c r="D554" s="491"/>
      <c r="E554" s="491"/>
      <c r="F554" s="491"/>
      <c r="G554" s="491"/>
      <c r="H554" s="491"/>
      <c r="I554" s="491"/>
      <c r="J554" s="491"/>
      <c r="K554" s="491"/>
      <c r="L554" s="491"/>
      <c r="M554" s="491"/>
      <c r="N554" s="491"/>
      <c r="O554" s="491"/>
      <c r="P554" s="491"/>
      <c r="Q554" s="491"/>
      <c r="R554" s="491"/>
      <c r="S554" s="491"/>
      <c r="T554" s="491"/>
      <c r="U554" s="491"/>
      <c r="V554" s="491"/>
    </row>
    <row r="555" spans="1:22" s="490" customFormat="1" x14ac:dyDescent="0.2">
      <c r="A555" s="494"/>
      <c r="B555" s="491"/>
      <c r="C555" s="491"/>
      <c r="D555" s="491"/>
      <c r="E555" s="491"/>
      <c r="F555" s="491"/>
      <c r="G555" s="491"/>
      <c r="H555" s="491"/>
      <c r="I555" s="491"/>
      <c r="J555" s="491"/>
      <c r="K555" s="491"/>
      <c r="L555" s="491"/>
      <c r="M555" s="491"/>
      <c r="N555" s="491"/>
      <c r="O555" s="491"/>
      <c r="P555" s="491"/>
      <c r="Q555" s="491"/>
      <c r="R555" s="491"/>
      <c r="S555" s="491"/>
      <c r="T555" s="491"/>
      <c r="U555" s="491"/>
      <c r="V555" s="491"/>
    </row>
    <row r="556" spans="1:22" s="490" customFormat="1" x14ac:dyDescent="0.2">
      <c r="A556" s="494"/>
      <c r="B556" s="491"/>
      <c r="C556" s="491"/>
      <c r="D556" s="491"/>
      <c r="E556" s="491"/>
      <c r="F556" s="491"/>
      <c r="G556" s="491"/>
      <c r="H556" s="491"/>
      <c r="I556" s="491"/>
      <c r="J556" s="491"/>
      <c r="K556" s="491"/>
      <c r="L556" s="491"/>
      <c r="M556" s="491"/>
      <c r="N556" s="491"/>
      <c r="O556" s="491"/>
      <c r="P556" s="491"/>
      <c r="Q556" s="491"/>
      <c r="R556" s="491"/>
      <c r="S556" s="491"/>
      <c r="T556" s="491"/>
      <c r="U556" s="491"/>
      <c r="V556" s="491"/>
    </row>
    <row r="557" spans="1:22" s="490" customFormat="1" x14ac:dyDescent="0.2">
      <c r="A557" s="494"/>
      <c r="B557" s="491"/>
      <c r="C557" s="491"/>
      <c r="D557" s="491"/>
      <c r="E557" s="491"/>
      <c r="F557" s="491"/>
      <c r="G557" s="491"/>
      <c r="H557" s="491"/>
      <c r="I557" s="491"/>
      <c r="J557" s="491"/>
      <c r="K557" s="491"/>
      <c r="L557" s="491"/>
      <c r="M557" s="491"/>
      <c r="N557" s="491"/>
      <c r="O557" s="491"/>
      <c r="P557" s="491"/>
      <c r="Q557" s="491"/>
      <c r="R557" s="491"/>
      <c r="S557" s="491"/>
      <c r="T557" s="491"/>
      <c r="U557" s="491"/>
      <c r="V557" s="491"/>
    </row>
    <row r="558" spans="1:22" s="490" customFormat="1" x14ac:dyDescent="0.2">
      <c r="A558" s="494"/>
      <c r="B558" s="491"/>
      <c r="C558" s="491"/>
      <c r="D558" s="491"/>
      <c r="E558" s="491"/>
      <c r="F558" s="491"/>
      <c r="G558" s="491"/>
      <c r="H558" s="491"/>
      <c r="I558" s="491"/>
      <c r="J558" s="491"/>
      <c r="K558" s="491"/>
      <c r="L558" s="491"/>
      <c r="M558" s="491"/>
      <c r="N558" s="491"/>
      <c r="O558" s="491"/>
      <c r="P558" s="491"/>
      <c r="Q558" s="491"/>
      <c r="R558" s="491"/>
      <c r="S558" s="491"/>
      <c r="T558" s="491"/>
      <c r="U558" s="491"/>
      <c r="V558" s="491"/>
    </row>
    <row r="559" spans="1:22" s="490" customFormat="1" x14ac:dyDescent="0.2">
      <c r="A559" s="494"/>
      <c r="B559" s="491"/>
      <c r="C559" s="491"/>
      <c r="D559" s="491"/>
      <c r="E559" s="491"/>
      <c r="F559" s="491"/>
      <c r="G559" s="491"/>
      <c r="H559" s="491"/>
      <c r="I559" s="491"/>
      <c r="J559" s="491"/>
      <c r="K559" s="491"/>
      <c r="L559" s="491"/>
      <c r="M559" s="491"/>
      <c r="N559" s="491"/>
      <c r="O559" s="491"/>
      <c r="P559" s="491"/>
      <c r="Q559" s="491"/>
      <c r="R559" s="491"/>
      <c r="S559" s="491"/>
      <c r="T559" s="491"/>
      <c r="U559" s="491"/>
      <c r="V559" s="491"/>
    </row>
    <row r="560" spans="1:22" s="490" customFormat="1" x14ac:dyDescent="0.2">
      <c r="A560" s="494"/>
      <c r="B560" s="491"/>
      <c r="C560" s="491"/>
      <c r="D560" s="491"/>
      <c r="E560" s="491"/>
      <c r="F560" s="491"/>
      <c r="G560" s="491"/>
      <c r="H560" s="491"/>
      <c r="I560" s="491"/>
      <c r="J560" s="491"/>
      <c r="K560" s="491"/>
      <c r="L560" s="491"/>
      <c r="M560" s="491"/>
      <c r="N560" s="491"/>
      <c r="O560" s="491"/>
      <c r="P560" s="491"/>
      <c r="Q560" s="491"/>
      <c r="R560" s="491"/>
      <c r="S560" s="491"/>
      <c r="T560" s="491"/>
      <c r="U560" s="491"/>
      <c r="V560" s="491"/>
    </row>
    <row r="561" spans="1:22" s="490" customFormat="1" x14ac:dyDescent="0.2">
      <c r="A561" s="494"/>
      <c r="B561" s="491"/>
      <c r="C561" s="491"/>
      <c r="D561" s="491"/>
      <c r="E561" s="491"/>
      <c r="F561" s="491"/>
      <c r="G561" s="491"/>
      <c r="H561" s="491"/>
      <c r="I561" s="491"/>
      <c r="J561" s="491"/>
      <c r="K561" s="491"/>
      <c r="L561" s="491"/>
      <c r="M561" s="491"/>
      <c r="N561" s="491"/>
      <c r="O561" s="491"/>
      <c r="P561" s="491"/>
      <c r="Q561" s="491"/>
      <c r="R561" s="491"/>
      <c r="S561" s="491"/>
      <c r="T561" s="491"/>
      <c r="U561" s="491"/>
      <c r="V561" s="491"/>
    </row>
    <row r="562" spans="1:22" s="490" customFormat="1" x14ac:dyDescent="0.2">
      <c r="A562" s="494"/>
      <c r="B562" s="491"/>
      <c r="C562" s="491"/>
      <c r="D562" s="491"/>
      <c r="E562" s="491"/>
      <c r="F562" s="491"/>
      <c r="G562" s="491"/>
      <c r="H562" s="491"/>
      <c r="I562" s="491"/>
      <c r="J562" s="491"/>
      <c r="K562" s="491"/>
      <c r="L562" s="491"/>
      <c r="M562" s="491"/>
      <c r="N562" s="491"/>
      <c r="O562" s="491"/>
      <c r="P562" s="491"/>
      <c r="Q562" s="491"/>
      <c r="R562" s="491"/>
      <c r="S562" s="491"/>
      <c r="T562" s="491"/>
      <c r="U562" s="491"/>
      <c r="V562" s="491"/>
    </row>
    <row r="563" spans="1:22" s="490" customFormat="1" x14ac:dyDescent="0.2">
      <c r="A563" s="494"/>
      <c r="B563" s="491"/>
      <c r="C563" s="491"/>
      <c r="D563" s="491"/>
      <c r="E563" s="491"/>
      <c r="F563" s="491"/>
      <c r="G563" s="491"/>
      <c r="H563" s="491"/>
      <c r="I563" s="491"/>
      <c r="J563" s="491"/>
      <c r="K563" s="491"/>
      <c r="L563" s="491"/>
      <c r="M563" s="491"/>
      <c r="N563" s="491"/>
      <c r="O563" s="491"/>
      <c r="P563" s="491"/>
      <c r="Q563" s="491"/>
      <c r="R563" s="491"/>
      <c r="S563" s="491"/>
      <c r="T563" s="491"/>
      <c r="U563" s="491"/>
      <c r="V563" s="491"/>
    </row>
    <row r="564" spans="1:22" s="490" customFormat="1" x14ac:dyDescent="0.2">
      <c r="A564" s="494"/>
      <c r="B564" s="491"/>
      <c r="C564" s="491"/>
      <c r="D564" s="491"/>
      <c r="E564" s="491"/>
      <c r="F564" s="491"/>
      <c r="G564" s="491"/>
      <c r="H564" s="491"/>
      <c r="I564" s="491"/>
      <c r="J564" s="491"/>
      <c r="K564" s="491"/>
      <c r="L564" s="491"/>
      <c r="M564" s="491"/>
      <c r="N564" s="491"/>
      <c r="O564" s="491"/>
      <c r="P564" s="491"/>
      <c r="Q564" s="491"/>
      <c r="R564" s="491"/>
      <c r="S564" s="491"/>
      <c r="T564" s="491"/>
      <c r="U564" s="491"/>
      <c r="V564" s="491"/>
    </row>
    <row r="565" spans="1:22" s="490" customFormat="1" x14ac:dyDescent="0.2">
      <c r="A565" s="494"/>
      <c r="B565" s="491"/>
      <c r="C565" s="491"/>
      <c r="D565" s="491"/>
      <c r="E565" s="491"/>
      <c r="F565" s="491"/>
      <c r="G565" s="491"/>
      <c r="H565" s="491"/>
      <c r="I565" s="491"/>
      <c r="J565" s="491"/>
      <c r="K565" s="491"/>
      <c r="L565" s="491"/>
      <c r="M565" s="491"/>
      <c r="N565" s="491"/>
      <c r="O565" s="491"/>
      <c r="P565" s="491"/>
      <c r="Q565" s="491"/>
      <c r="R565" s="491"/>
      <c r="S565" s="491"/>
      <c r="T565" s="491"/>
      <c r="U565" s="491"/>
      <c r="V565" s="491"/>
    </row>
    <row r="566" spans="1:22" s="490" customFormat="1" x14ac:dyDescent="0.2">
      <c r="A566" s="494"/>
      <c r="B566" s="491"/>
      <c r="C566" s="491"/>
      <c r="D566" s="491"/>
      <c r="E566" s="491"/>
      <c r="F566" s="491"/>
      <c r="G566" s="491"/>
      <c r="H566" s="491"/>
      <c r="I566" s="491"/>
      <c r="J566" s="491"/>
      <c r="K566" s="491"/>
      <c r="L566" s="491"/>
      <c r="M566" s="491"/>
      <c r="N566" s="491"/>
      <c r="O566" s="491"/>
      <c r="P566" s="491"/>
      <c r="Q566" s="491"/>
      <c r="R566" s="491"/>
      <c r="S566" s="491"/>
      <c r="T566" s="491"/>
      <c r="U566" s="491"/>
      <c r="V566" s="491"/>
    </row>
    <row r="567" spans="1:22" s="490" customFormat="1" x14ac:dyDescent="0.2">
      <c r="A567" s="494"/>
      <c r="B567" s="491"/>
      <c r="C567" s="491"/>
      <c r="D567" s="491"/>
      <c r="E567" s="491"/>
      <c r="F567" s="491"/>
      <c r="G567" s="491"/>
      <c r="H567" s="491"/>
      <c r="I567" s="491"/>
      <c r="J567" s="491"/>
      <c r="K567" s="491"/>
      <c r="L567" s="491"/>
      <c r="M567" s="491"/>
      <c r="N567" s="491"/>
      <c r="O567" s="491"/>
      <c r="P567" s="491"/>
      <c r="Q567" s="491"/>
      <c r="R567" s="491"/>
      <c r="S567" s="491"/>
      <c r="T567" s="491"/>
      <c r="U567" s="491"/>
      <c r="V567" s="491"/>
    </row>
    <row r="568" spans="1:22" s="490" customFormat="1" x14ac:dyDescent="0.2">
      <c r="A568" s="494"/>
      <c r="B568" s="491"/>
      <c r="C568" s="491"/>
      <c r="D568" s="491"/>
      <c r="E568" s="491"/>
      <c r="F568" s="491"/>
      <c r="G568" s="491"/>
      <c r="H568" s="491"/>
      <c r="I568" s="491"/>
      <c r="J568" s="491"/>
      <c r="K568" s="491"/>
      <c r="L568" s="491"/>
      <c r="M568" s="491"/>
      <c r="N568" s="491"/>
      <c r="O568" s="491"/>
      <c r="P568" s="491"/>
      <c r="Q568" s="491"/>
      <c r="R568" s="491"/>
      <c r="S568" s="491"/>
      <c r="T568" s="491"/>
      <c r="U568" s="491"/>
      <c r="V568" s="491"/>
    </row>
    <row r="569" spans="1:22" s="490" customFormat="1" x14ac:dyDescent="0.2">
      <c r="A569" s="494"/>
      <c r="B569" s="491"/>
      <c r="C569" s="491"/>
      <c r="D569" s="491"/>
      <c r="E569" s="491"/>
      <c r="F569" s="491"/>
      <c r="G569" s="491"/>
      <c r="H569" s="491"/>
      <c r="I569" s="491"/>
      <c r="J569" s="491"/>
      <c r="K569" s="491"/>
      <c r="L569" s="491"/>
      <c r="M569" s="491"/>
      <c r="N569" s="491"/>
      <c r="O569" s="491"/>
      <c r="P569" s="491"/>
      <c r="Q569" s="491"/>
      <c r="R569" s="491"/>
      <c r="S569" s="491"/>
      <c r="T569" s="491"/>
      <c r="U569" s="491"/>
      <c r="V569" s="491"/>
    </row>
    <row r="570" spans="1:22" s="490" customFormat="1" x14ac:dyDescent="0.2">
      <c r="A570" s="494"/>
      <c r="B570" s="491"/>
      <c r="C570" s="491"/>
      <c r="D570" s="491"/>
      <c r="E570" s="491"/>
      <c r="F570" s="491"/>
      <c r="G570" s="491"/>
      <c r="H570" s="491"/>
      <c r="I570" s="491"/>
      <c r="J570" s="491"/>
      <c r="K570" s="491"/>
      <c r="L570" s="491"/>
      <c r="M570" s="491"/>
      <c r="N570" s="491"/>
      <c r="O570" s="491"/>
      <c r="P570" s="491"/>
      <c r="Q570" s="491"/>
      <c r="R570" s="491"/>
      <c r="S570" s="491"/>
      <c r="T570" s="491"/>
      <c r="U570" s="491"/>
      <c r="V570" s="491"/>
    </row>
    <row r="571" spans="1:22" s="490" customFormat="1" x14ac:dyDescent="0.2">
      <c r="A571" s="494"/>
      <c r="B571" s="491"/>
      <c r="C571" s="491"/>
      <c r="D571" s="491"/>
      <c r="E571" s="491"/>
      <c r="F571" s="491"/>
      <c r="G571" s="491"/>
      <c r="H571" s="491"/>
      <c r="I571" s="491"/>
      <c r="J571" s="491"/>
      <c r="K571" s="491"/>
      <c r="L571" s="491"/>
      <c r="M571" s="491"/>
      <c r="N571" s="491"/>
      <c r="O571" s="491"/>
      <c r="P571" s="491"/>
      <c r="Q571" s="491"/>
      <c r="R571" s="491"/>
      <c r="S571" s="491"/>
      <c r="T571" s="491"/>
      <c r="U571" s="491"/>
      <c r="V571" s="491"/>
    </row>
    <row r="572" spans="1:22" s="490" customFormat="1" x14ac:dyDescent="0.2">
      <c r="A572" s="494"/>
      <c r="B572" s="491"/>
      <c r="C572" s="491"/>
      <c r="D572" s="491"/>
      <c r="E572" s="491"/>
      <c r="F572" s="491"/>
      <c r="G572" s="491"/>
      <c r="H572" s="491"/>
      <c r="I572" s="491"/>
      <c r="J572" s="491"/>
      <c r="K572" s="491"/>
      <c r="L572" s="491"/>
      <c r="M572" s="491"/>
      <c r="N572" s="491"/>
      <c r="O572" s="491"/>
      <c r="P572" s="491"/>
      <c r="Q572" s="491"/>
      <c r="R572" s="491"/>
      <c r="S572" s="491"/>
      <c r="T572" s="491"/>
      <c r="U572" s="491"/>
      <c r="V572" s="491"/>
    </row>
    <row r="573" spans="1:22" s="490" customFormat="1" x14ac:dyDescent="0.2">
      <c r="A573" s="494"/>
      <c r="B573" s="491"/>
      <c r="C573" s="491"/>
      <c r="D573" s="491"/>
      <c r="E573" s="491"/>
      <c r="F573" s="491"/>
      <c r="G573" s="491"/>
      <c r="H573" s="491"/>
      <c r="I573" s="491"/>
      <c r="J573" s="491"/>
      <c r="K573" s="491"/>
      <c r="L573" s="491"/>
      <c r="M573" s="491"/>
      <c r="N573" s="491"/>
      <c r="O573" s="491"/>
      <c r="P573" s="491"/>
      <c r="Q573" s="491"/>
      <c r="R573" s="491"/>
      <c r="S573" s="491"/>
      <c r="T573" s="491"/>
      <c r="U573" s="491"/>
      <c r="V573" s="491"/>
    </row>
    <row r="574" spans="1:22" s="490" customFormat="1" x14ac:dyDescent="0.2">
      <c r="A574" s="494"/>
      <c r="B574" s="491"/>
      <c r="C574" s="491"/>
      <c r="D574" s="491"/>
      <c r="E574" s="491"/>
      <c r="F574" s="491"/>
      <c r="G574" s="491"/>
      <c r="H574" s="491"/>
      <c r="I574" s="491"/>
      <c r="J574" s="491"/>
      <c r="K574" s="491"/>
      <c r="L574" s="491"/>
      <c r="M574" s="491"/>
      <c r="N574" s="491"/>
      <c r="O574" s="491"/>
      <c r="P574" s="491"/>
      <c r="Q574" s="491"/>
      <c r="R574" s="491"/>
      <c r="S574" s="491"/>
      <c r="T574" s="491"/>
      <c r="U574" s="491"/>
      <c r="V574" s="491"/>
    </row>
    <row r="575" spans="1:22" s="490" customFormat="1" x14ac:dyDescent="0.2">
      <c r="A575" s="494"/>
      <c r="B575" s="491"/>
      <c r="C575" s="491"/>
      <c r="D575" s="491"/>
      <c r="E575" s="491"/>
      <c r="F575" s="491"/>
      <c r="G575" s="491"/>
      <c r="H575" s="491"/>
      <c r="I575" s="491"/>
      <c r="J575" s="491"/>
      <c r="K575" s="491"/>
      <c r="L575" s="491"/>
      <c r="M575" s="491"/>
      <c r="N575" s="491"/>
      <c r="O575" s="491"/>
      <c r="P575" s="491"/>
      <c r="Q575" s="491"/>
      <c r="R575" s="491"/>
      <c r="S575" s="491"/>
      <c r="T575" s="491"/>
      <c r="U575" s="491"/>
      <c r="V575" s="491"/>
    </row>
    <row r="576" spans="1:22" s="490" customFormat="1" x14ac:dyDescent="0.2">
      <c r="A576" s="494"/>
      <c r="B576" s="491"/>
      <c r="C576" s="491"/>
      <c r="D576" s="491"/>
      <c r="E576" s="491"/>
      <c r="F576" s="491"/>
      <c r="G576" s="491"/>
      <c r="H576" s="491"/>
      <c r="I576" s="491"/>
      <c r="J576" s="491"/>
      <c r="K576" s="491"/>
      <c r="L576" s="491"/>
      <c r="M576" s="491"/>
      <c r="N576" s="491"/>
      <c r="O576" s="491"/>
      <c r="P576" s="491"/>
      <c r="Q576" s="491"/>
      <c r="R576" s="491"/>
      <c r="S576" s="491"/>
      <c r="T576" s="491"/>
      <c r="U576" s="491"/>
      <c r="V576" s="491"/>
    </row>
    <row r="577" spans="1:22" s="490" customFormat="1" x14ac:dyDescent="0.2">
      <c r="A577" s="494"/>
      <c r="B577" s="491"/>
      <c r="C577" s="491"/>
      <c r="D577" s="491"/>
      <c r="E577" s="491"/>
      <c r="F577" s="491"/>
      <c r="G577" s="491"/>
      <c r="H577" s="491"/>
      <c r="I577" s="491"/>
      <c r="J577" s="491"/>
      <c r="K577" s="491"/>
      <c r="L577" s="491"/>
      <c r="M577" s="491"/>
      <c r="N577" s="491"/>
      <c r="O577" s="491"/>
      <c r="P577" s="491"/>
      <c r="Q577" s="491"/>
      <c r="R577" s="491"/>
      <c r="S577" s="491"/>
      <c r="T577" s="491"/>
      <c r="U577" s="491"/>
      <c r="V577" s="491"/>
    </row>
    <row r="578" spans="1:22" s="490" customFormat="1" x14ac:dyDescent="0.2">
      <c r="A578" s="494"/>
      <c r="B578" s="491"/>
      <c r="C578" s="491"/>
      <c r="D578" s="491"/>
      <c r="E578" s="491"/>
      <c r="F578" s="491"/>
      <c r="G578" s="491"/>
      <c r="H578" s="491"/>
      <c r="I578" s="491"/>
      <c r="J578" s="491"/>
      <c r="K578" s="491"/>
      <c r="L578" s="491"/>
      <c r="M578" s="491"/>
      <c r="N578" s="491"/>
      <c r="O578" s="491"/>
      <c r="P578" s="491"/>
      <c r="Q578" s="491"/>
      <c r="R578" s="491"/>
      <c r="S578" s="491"/>
      <c r="T578" s="491"/>
      <c r="U578" s="491"/>
      <c r="V578" s="491"/>
    </row>
    <row r="579" spans="1:22" s="490" customFormat="1" x14ac:dyDescent="0.2">
      <c r="A579" s="494"/>
      <c r="B579" s="491"/>
      <c r="C579" s="491"/>
      <c r="D579" s="491"/>
      <c r="E579" s="491"/>
      <c r="F579" s="491"/>
      <c r="G579" s="491"/>
      <c r="H579" s="491"/>
      <c r="I579" s="491"/>
      <c r="J579" s="491"/>
      <c r="K579" s="491"/>
      <c r="L579" s="491"/>
      <c r="M579" s="491"/>
      <c r="N579" s="491"/>
      <c r="O579" s="491"/>
      <c r="P579" s="491"/>
      <c r="Q579" s="491"/>
      <c r="R579" s="491"/>
      <c r="S579" s="491"/>
      <c r="T579" s="491"/>
      <c r="U579" s="491"/>
      <c r="V579" s="491"/>
    </row>
    <row r="580" spans="1:22" s="490" customFormat="1" x14ac:dyDescent="0.2">
      <c r="A580" s="494"/>
      <c r="B580" s="491"/>
      <c r="C580" s="491"/>
      <c r="D580" s="491"/>
      <c r="E580" s="491"/>
      <c r="F580" s="491"/>
      <c r="G580" s="491"/>
      <c r="H580" s="491"/>
      <c r="I580" s="491"/>
      <c r="J580" s="491"/>
      <c r="K580" s="491"/>
      <c r="L580" s="491"/>
      <c r="M580" s="491"/>
      <c r="N580" s="491"/>
      <c r="O580" s="491"/>
      <c r="P580" s="491"/>
      <c r="Q580" s="491"/>
      <c r="R580" s="491"/>
      <c r="S580" s="491"/>
      <c r="T580" s="491"/>
      <c r="U580" s="491"/>
      <c r="V580" s="491"/>
    </row>
    <row r="581" spans="1:22" s="490" customFormat="1" x14ac:dyDescent="0.2">
      <c r="A581" s="494"/>
      <c r="B581" s="491"/>
      <c r="C581" s="491"/>
      <c r="D581" s="491"/>
      <c r="E581" s="491"/>
      <c r="F581" s="491"/>
      <c r="G581" s="491"/>
      <c r="H581" s="491"/>
      <c r="I581" s="491"/>
      <c r="J581" s="491"/>
      <c r="K581" s="491"/>
      <c r="L581" s="491"/>
      <c r="M581" s="491"/>
      <c r="N581" s="491"/>
      <c r="O581" s="491"/>
      <c r="P581" s="491"/>
      <c r="Q581" s="491"/>
      <c r="R581" s="491"/>
      <c r="S581" s="491"/>
      <c r="T581" s="491"/>
      <c r="U581" s="491"/>
      <c r="V581" s="491"/>
    </row>
    <row r="582" spans="1:22" s="490" customFormat="1" x14ac:dyDescent="0.2">
      <c r="A582" s="494"/>
      <c r="B582" s="491"/>
      <c r="C582" s="491"/>
      <c r="D582" s="491"/>
      <c r="E582" s="491"/>
      <c r="F582" s="491"/>
      <c r="G582" s="491"/>
      <c r="H582" s="491"/>
      <c r="I582" s="491"/>
      <c r="J582" s="491"/>
      <c r="K582" s="491"/>
      <c r="L582" s="491"/>
      <c r="M582" s="491"/>
      <c r="N582" s="491"/>
      <c r="O582" s="491"/>
      <c r="P582" s="491"/>
      <c r="Q582" s="491"/>
      <c r="R582" s="491"/>
      <c r="S582" s="491"/>
      <c r="T582" s="491"/>
      <c r="U582" s="491"/>
      <c r="V582" s="491"/>
    </row>
    <row r="583" spans="1:22" s="490" customFormat="1" x14ac:dyDescent="0.2">
      <c r="A583" s="494"/>
      <c r="B583" s="491"/>
      <c r="C583" s="491"/>
      <c r="D583" s="491"/>
      <c r="E583" s="491"/>
      <c r="F583" s="491"/>
      <c r="G583" s="491"/>
      <c r="H583" s="491"/>
      <c r="I583" s="491"/>
      <c r="J583" s="491"/>
      <c r="K583" s="491"/>
      <c r="L583" s="491"/>
      <c r="M583" s="491"/>
      <c r="N583" s="491"/>
      <c r="O583" s="491"/>
      <c r="P583" s="491"/>
      <c r="Q583" s="491"/>
      <c r="R583" s="491"/>
      <c r="S583" s="491"/>
      <c r="T583" s="491"/>
      <c r="U583" s="491"/>
      <c r="V583" s="491"/>
    </row>
    <row r="584" spans="1:22" s="490" customFormat="1" x14ac:dyDescent="0.2">
      <c r="A584" s="494"/>
      <c r="B584" s="491"/>
      <c r="C584" s="491"/>
      <c r="D584" s="491"/>
      <c r="E584" s="491"/>
      <c r="F584" s="491"/>
      <c r="G584" s="491"/>
      <c r="H584" s="491"/>
      <c r="I584" s="491"/>
      <c r="J584" s="491"/>
      <c r="K584" s="491"/>
      <c r="L584" s="491"/>
      <c r="M584" s="491"/>
      <c r="N584" s="491"/>
      <c r="O584" s="491"/>
      <c r="P584" s="491"/>
      <c r="Q584" s="491"/>
      <c r="R584" s="491"/>
      <c r="S584" s="491"/>
      <c r="T584" s="491"/>
      <c r="U584" s="491"/>
      <c r="V584" s="491"/>
    </row>
    <row r="585" spans="1:22" s="490" customFormat="1" x14ac:dyDescent="0.2">
      <c r="A585" s="494"/>
      <c r="B585" s="491"/>
      <c r="C585" s="491"/>
      <c r="D585" s="491"/>
      <c r="E585" s="491"/>
      <c r="F585" s="491"/>
      <c r="G585" s="491"/>
      <c r="H585" s="491"/>
      <c r="I585" s="491"/>
      <c r="J585" s="491"/>
      <c r="K585" s="491"/>
      <c r="L585" s="491"/>
      <c r="M585" s="491"/>
      <c r="N585" s="491"/>
      <c r="O585" s="491"/>
      <c r="P585" s="491"/>
      <c r="Q585" s="491"/>
      <c r="R585" s="491"/>
      <c r="S585" s="491"/>
      <c r="T585" s="491"/>
      <c r="U585" s="491"/>
      <c r="V585" s="491"/>
    </row>
    <row r="586" spans="1:22" s="490" customFormat="1" x14ac:dyDescent="0.2">
      <c r="A586" s="494"/>
      <c r="B586" s="491"/>
      <c r="C586" s="491"/>
      <c r="D586" s="491"/>
      <c r="E586" s="491"/>
      <c r="F586" s="491"/>
      <c r="G586" s="491"/>
      <c r="H586" s="491"/>
      <c r="I586" s="491"/>
      <c r="J586" s="491"/>
      <c r="K586" s="491"/>
      <c r="L586" s="491"/>
      <c r="M586" s="491"/>
      <c r="N586" s="491"/>
      <c r="O586" s="491"/>
      <c r="P586" s="491"/>
      <c r="Q586" s="491"/>
      <c r="R586" s="491"/>
      <c r="S586" s="491"/>
      <c r="T586" s="491"/>
      <c r="U586" s="491"/>
      <c r="V586" s="491"/>
    </row>
    <row r="587" spans="1:22" s="490" customFormat="1" x14ac:dyDescent="0.2">
      <c r="A587" s="494"/>
      <c r="B587" s="491"/>
      <c r="C587" s="491"/>
      <c r="D587" s="491"/>
      <c r="E587" s="491"/>
      <c r="F587" s="491"/>
      <c r="G587" s="491"/>
      <c r="H587" s="491"/>
      <c r="I587" s="491"/>
      <c r="J587" s="491"/>
      <c r="K587" s="491"/>
      <c r="L587" s="491"/>
      <c r="M587" s="491"/>
      <c r="N587" s="491"/>
      <c r="O587" s="491"/>
      <c r="P587" s="491"/>
      <c r="Q587" s="491"/>
      <c r="R587" s="491"/>
      <c r="S587" s="491"/>
      <c r="T587" s="491"/>
      <c r="U587" s="491"/>
      <c r="V587" s="491"/>
    </row>
    <row r="588" spans="1:22" s="490" customFormat="1" x14ac:dyDescent="0.2">
      <c r="A588" s="494"/>
      <c r="B588" s="491"/>
      <c r="C588" s="491"/>
      <c r="D588" s="491"/>
      <c r="E588" s="491"/>
      <c r="F588" s="491"/>
      <c r="G588" s="491"/>
      <c r="H588" s="491"/>
      <c r="I588" s="491"/>
      <c r="J588" s="491"/>
      <c r="K588" s="491"/>
      <c r="L588" s="491"/>
      <c r="M588" s="491"/>
      <c r="N588" s="491"/>
      <c r="O588" s="491"/>
      <c r="P588" s="491"/>
      <c r="Q588" s="491"/>
      <c r="R588" s="491"/>
      <c r="S588" s="491"/>
      <c r="T588" s="491"/>
      <c r="U588" s="491"/>
      <c r="V588" s="491"/>
    </row>
    <row r="589" spans="1:22" s="490" customFormat="1" x14ac:dyDescent="0.2">
      <c r="A589" s="494"/>
      <c r="B589" s="491"/>
      <c r="C589" s="491"/>
      <c r="D589" s="491"/>
      <c r="E589" s="491"/>
      <c r="F589" s="491"/>
      <c r="G589" s="491"/>
      <c r="H589" s="491"/>
      <c r="I589" s="491"/>
      <c r="J589" s="491"/>
      <c r="K589" s="491"/>
      <c r="L589" s="491"/>
      <c r="M589" s="491"/>
      <c r="N589" s="491"/>
      <c r="O589" s="491"/>
      <c r="P589" s="491"/>
      <c r="Q589" s="491"/>
      <c r="R589" s="491"/>
      <c r="S589" s="491"/>
      <c r="T589" s="491"/>
      <c r="U589" s="491"/>
      <c r="V589" s="491"/>
    </row>
    <row r="590" spans="1:22" s="490" customFormat="1" x14ac:dyDescent="0.2">
      <c r="A590" s="494"/>
      <c r="B590" s="491"/>
      <c r="C590" s="491"/>
      <c r="D590" s="491"/>
      <c r="E590" s="491"/>
      <c r="F590" s="491"/>
      <c r="G590" s="491"/>
      <c r="H590" s="491"/>
      <c r="I590" s="491"/>
      <c r="J590" s="491"/>
      <c r="K590" s="491"/>
      <c r="L590" s="491"/>
      <c r="M590" s="491"/>
      <c r="N590" s="491"/>
      <c r="O590" s="491"/>
      <c r="P590" s="491"/>
      <c r="Q590" s="491"/>
      <c r="R590" s="491"/>
      <c r="S590" s="491"/>
      <c r="T590" s="491"/>
      <c r="U590" s="491"/>
      <c r="V590" s="491"/>
    </row>
    <row r="591" spans="1:22" s="490" customFormat="1" x14ac:dyDescent="0.2">
      <c r="A591" s="494"/>
      <c r="B591" s="491"/>
      <c r="C591" s="491"/>
      <c r="D591" s="491"/>
      <c r="E591" s="491"/>
      <c r="F591" s="491"/>
      <c r="G591" s="491"/>
      <c r="H591" s="491"/>
      <c r="I591" s="491"/>
      <c r="J591" s="491"/>
      <c r="K591" s="491"/>
      <c r="L591" s="491"/>
      <c r="M591" s="491"/>
      <c r="N591" s="491"/>
      <c r="O591" s="491"/>
      <c r="P591" s="491"/>
      <c r="Q591" s="491"/>
      <c r="R591" s="491"/>
      <c r="S591" s="491"/>
      <c r="T591" s="491"/>
      <c r="U591" s="491"/>
      <c r="V591" s="491"/>
    </row>
    <row r="592" spans="1:22" s="490" customFormat="1" x14ac:dyDescent="0.2">
      <c r="A592" s="494"/>
      <c r="B592" s="491"/>
      <c r="C592" s="491"/>
      <c r="D592" s="491"/>
      <c r="E592" s="491"/>
      <c r="F592" s="491"/>
      <c r="G592" s="491"/>
      <c r="H592" s="491"/>
      <c r="I592" s="491"/>
      <c r="J592" s="491"/>
      <c r="K592" s="491"/>
      <c r="L592" s="491"/>
      <c r="M592" s="491"/>
      <c r="N592" s="491"/>
      <c r="O592" s="491"/>
      <c r="P592" s="491"/>
      <c r="Q592" s="491"/>
      <c r="R592" s="491"/>
      <c r="S592" s="491"/>
      <c r="T592" s="491"/>
      <c r="U592" s="491"/>
      <c r="V592" s="491"/>
    </row>
    <row r="593" spans="1:22" s="490" customFormat="1" x14ac:dyDescent="0.2">
      <c r="A593" s="494"/>
      <c r="B593" s="491"/>
      <c r="C593" s="491"/>
      <c r="D593" s="491"/>
      <c r="E593" s="491"/>
      <c r="F593" s="491"/>
      <c r="G593" s="491"/>
      <c r="H593" s="491"/>
      <c r="I593" s="491"/>
      <c r="J593" s="491"/>
      <c r="K593" s="491"/>
      <c r="L593" s="491"/>
      <c r="M593" s="491"/>
      <c r="N593" s="491"/>
      <c r="O593" s="491"/>
      <c r="P593" s="491"/>
      <c r="Q593" s="491"/>
      <c r="R593" s="491"/>
      <c r="S593" s="491"/>
      <c r="T593" s="491"/>
      <c r="U593" s="491"/>
      <c r="V593" s="491"/>
    </row>
    <row r="594" spans="1:22" s="490" customFormat="1" x14ac:dyDescent="0.2">
      <c r="A594" s="494"/>
      <c r="B594" s="491"/>
      <c r="C594" s="491"/>
      <c r="D594" s="491"/>
      <c r="E594" s="491"/>
      <c r="F594" s="491"/>
      <c r="G594" s="491"/>
      <c r="H594" s="491"/>
      <c r="I594" s="491"/>
      <c r="J594" s="491"/>
      <c r="K594" s="491"/>
      <c r="L594" s="491"/>
      <c r="M594" s="491"/>
      <c r="N594" s="491"/>
      <c r="O594" s="491"/>
      <c r="P594" s="491"/>
      <c r="Q594" s="491"/>
      <c r="R594" s="491"/>
      <c r="S594" s="491"/>
      <c r="T594" s="491"/>
      <c r="U594" s="491"/>
      <c r="V594" s="491"/>
    </row>
    <row r="595" spans="1:22" s="490" customFormat="1" x14ac:dyDescent="0.2">
      <c r="A595" s="494"/>
      <c r="B595" s="491"/>
      <c r="C595" s="491"/>
      <c r="D595" s="491"/>
      <c r="E595" s="491"/>
      <c r="F595" s="491"/>
      <c r="G595" s="491"/>
      <c r="H595" s="491"/>
      <c r="I595" s="491"/>
      <c r="J595" s="491"/>
      <c r="K595" s="491"/>
      <c r="L595" s="491"/>
      <c r="M595" s="491"/>
      <c r="N595" s="491"/>
      <c r="O595" s="491"/>
      <c r="P595" s="491"/>
      <c r="Q595" s="491"/>
      <c r="R595" s="491"/>
      <c r="S595" s="491"/>
      <c r="T595" s="491"/>
      <c r="U595" s="491"/>
      <c r="V595" s="491"/>
    </row>
    <row r="596" spans="1:22" s="490" customFormat="1" x14ac:dyDescent="0.2">
      <c r="A596" s="494"/>
      <c r="B596" s="491"/>
      <c r="C596" s="491"/>
      <c r="D596" s="491"/>
      <c r="E596" s="491"/>
      <c r="F596" s="491"/>
      <c r="G596" s="491"/>
      <c r="H596" s="491"/>
      <c r="I596" s="491"/>
      <c r="J596" s="491"/>
      <c r="K596" s="491"/>
      <c r="L596" s="491"/>
      <c r="M596" s="491"/>
      <c r="N596" s="491"/>
      <c r="O596" s="491"/>
      <c r="P596" s="491"/>
      <c r="Q596" s="491"/>
      <c r="R596" s="491"/>
      <c r="S596" s="491"/>
      <c r="T596" s="491"/>
      <c r="U596" s="491"/>
      <c r="V596" s="491"/>
    </row>
    <row r="597" spans="1:22" s="490" customFormat="1" x14ac:dyDescent="0.2">
      <c r="A597" s="494"/>
      <c r="B597" s="491"/>
      <c r="C597" s="491"/>
      <c r="D597" s="491"/>
      <c r="E597" s="491"/>
      <c r="F597" s="491"/>
      <c r="G597" s="491"/>
      <c r="H597" s="491"/>
      <c r="I597" s="491"/>
      <c r="J597" s="491"/>
      <c r="K597" s="491"/>
      <c r="L597" s="491"/>
      <c r="M597" s="491"/>
      <c r="N597" s="491"/>
      <c r="O597" s="491"/>
      <c r="P597" s="491"/>
      <c r="Q597" s="491"/>
      <c r="R597" s="491"/>
      <c r="S597" s="491"/>
      <c r="T597" s="491"/>
      <c r="U597" s="491"/>
      <c r="V597" s="491"/>
    </row>
    <row r="598" spans="1:22" s="490" customFormat="1" x14ac:dyDescent="0.2">
      <c r="A598" s="494"/>
      <c r="B598" s="491"/>
      <c r="C598" s="491"/>
      <c r="D598" s="491"/>
      <c r="E598" s="491"/>
      <c r="F598" s="491"/>
      <c r="G598" s="491"/>
      <c r="H598" s="491"/>
      <c r="I598" s="491"/>
      <c r="J598" s="491"/>
      <c r="K598" s="491"/>
      <c r="L598" s="491"/>
      <c r="M598" s="491"/>
      <c r="N598" s="491"/>
      <c r="O598" s="491"/>
      <c r="P598" s="491"/>
      <c r="Q598" s="491"/>
      <c r="R598" s="491"/>
      <c r="S598" s="491"/>
      <c r="T598" s="491"/>
      <c r="U598" s="491"/>
      <c r="V598" s="491"/>
    </row>
    <row r="599" spans="1:22" s="490" customFormat="1" x14ac:dyDescent="0.2">
      <c r="A599" s="494"/>
      <c r="B599" s="491"/>
      <c r="C599" s="491"/>
      <c r="D599" s="491"/>
      <c r="E599" s="491"/>
      <c r="F599" s="491"/>
      <c r="G599" s="491"/>
      <c r="H599" s="491"/>
      <c r="I599" s="491"/>
      <c r="J599" s="491"/>
      <c r="K599" s="491"/>
      <c r="L599" s="491"/>
      <c r="M599" s="491"/>
      <c r="N599" s="491"/>
      <c r="O599" s="491"/>
      <c r="P599" s="491"/>
      <c r="Q599" s="491"/>
      <c r="R599" s="491"/>
      <c r="S599" s="491"/>
      <c r="T599" s="491"/>
      <c r="U599" s="491"/>
      <c r="V599" s="491"/>
    </row>
    <row r="600" spans="1:22" s="490" customFormat="1" x14ac:dyDescent="0.2">
      <c r="A600" s="494"/>
      <c r="B600" s="491"/>
      <c r="C600" s="491"/>
      <c r="D600" s="491"/>
      <c r="E600" s="491"/>
      <c r="F600" s="491"/>
      <c r="G600" s="491"/>
      <c r="H600" s="491"/>
      <c r="I600" s="491"/>
      <c r="J600" s="491"/>
      <c r="K600" s="491"/>
      <c r="L600" s="491"/>
      <c r="M600" s="491"/>
      <c r="N600" s="491"/>
      <c r="O600" s="491"/>
      <c r="P600" s="491"/>
      <c r="Q600" s="491"/>
      <c r="R600" s="491"/>
      <c r="S600" s="491"/>
      <c r="T600" s="491"/>
      <c r="U600" s="491"/>
      <c r="V600" s="491"/>
    </row>
    <row r="601" spans="1:22" s="490" customFormat="1" x14ac:dyDescent="0.2">
      <c r="A601" s="494"/>
      <c r="B601" s="491"/>
      <c r="C601" s="491"/>
      <c r="D601" s="491"/>
      <c r="E601" s="491"/>
      <c r="F601" s="491"/>
      <c r="G601" s="491"/>
      <c r="H601" s="491"/>
      <c r="I601" s="491"/>
      <c r="J601" s="491"/>
      <c r="K601" s="491"/>
      <c r="L601" s="491"/>
      <c r="M601" s="491"/>
      <c r="N601" s="491"/>
      <c r="O601" s="491"/>
      <c r="P601" s="491"/>
      <c r="Q601" s="491"/>
      <c r="R601" s="491"/>
      <c r="S601" s="491"/>
      <c r="T601" s="491"/>
      <c r="U601" s="491"/>
      <c r="V601" s="491"/>
    </row>
    <row r="602" spans="1:22" s="490" customFormat="1" x14ac:dyDescent="0.2">
      <c r="A602" s="494"/>
      <c r="B602" s="491"/>
      <c r="C602" s="491"/>
      <c r="D602" s="491"/>
      <c r="E602" s="491"/>
      <c r="F602" s="491"/>
      <c r="G602" s="491"/>
      <c r="H602" s="491"/>
      <c r="I602" s="491"/>
      <c r="J602" s="491"/>
      <c r="K602" s="491"/>
      <c r="L602" s="491"/>
      <c r="M602" s="491"/>
      <c r="N602" s="491"/>
      <c r="O602" s="491"/>
      <c r="P602" s="491"/>
      <c r="Q602" s="491"/>
      <c r="R602" s="491"/>
      <c r="S602" s="491"/>
      <c r="T602" s="491"/>
      <c r="U602" s="491"/>
      <c r="V602" s="491"/>
    </row>
    <row r="603" spans="1:22" s="490" customFormat="1" x14ac:dyDescent="0.2">
      <c r="A603" s="494"/>
      <c r="B603" s="491"/>
      <c r="C603" s="491"/>
      <c r="D603" s="491"/>
      <c r="E603" s="491"/>
      <c r="F603" s="491"/>
      <c r="G603" s="491"/>
      <c r="H603" s="491"/>
      <c r="I603" s="491"/>
      <c r="J603" s="491"/>
      <c r="K603" s="491"/>
      <c r="L603" s="491"/>
      <c r="M603" s="491"/>
      <c r="N603" s="491"/>
      <c r="O603" s="491"/>
      <c r="P603" s="491"/>
      <c r="Q603" s="491"/>
      <c r="R603" s="491"/>
      <c r="S603" s="491"/>
      <c r="T603" s="491"/>
      <c r="U603" s="491"/>
      <c r="V603" s="491"/>
    </row>
    <row r="604" spans="1:22" s="490" customFormat="1" x14ac:dyDescent="0.2">
      <c r="A604" s="494"/>
      <c r="B604" s="491"/>
      <c r="C604" s="491"/>
      <c r="D604" s="491"/>
      <c r="E604" s="491"/>
      <c r="F604" s="491"/>
      <c r="G604" s="491"/>
      <c r="H604" s="491"/>
      <c r="I604" s="491"/>
      <c r="J604" s="491"/>
      <c r="K604" s="491"/>
      <c r="L604" s="491"/>
      <c r="M604" s="491"/>
      <c r="N604" s="491"/>
      <c r="O604" s="491"/>
      <c r="P604" s="491"/>
      <c r="Q604" s="491"/>
      <c r="R604" s="491"/>
      <c r="S604" s="491"/>
      <c r="T604" s="491"/>
      <c r="U604" s="491"/>
      <c r="V604" s="491"/>
    </row>
    <row r="605" spans="1:22" s="490" customFormat="1" x14ac:dyDescent="0.2">
      <c r="A605" s="494"/>
      <c r="B605" s="491"/>
      <c r="C605" s="491"/>
      <c r="D605" s="491"/>
      <c r="E605" s="491"/>
      <c r="F605" s="491"/>
      <c r="G605" s="491"/>
      <c r="H605" s="491"/>
      <c r="I605" s="491"/>
      <c r="J605" s="491"/>
      <c r="K605" s="491"/>
      <c r="L605" s="491"/>
      <c r="M605" s="491"/>
      <c r="N605" s="491"/>
      <c r="O605" s="491"/>
      <c r="P605" s="491"/>
      <c r="Q605" s="491"/>
      <c r="R605" s="491"/>
      <c r="S605" s="491"/>
      <c r="T605" s="491"/>
      <c r="U605" s="491"/>
      <c r="V605" s="491"/>
    </row>
    <row r="606" spans="1:22" s="490" customFormat="1" x14ac:dyDescent="0.2">
      <c r="A606" s="494"/>
      <c r="B606" s="491"/>
      <c r="C606" s="491"/>
      <c r="D606" s="491"/>
      <c r="E606" s="491"/>
      <c r="F606" s="491"/>
      <c r="G606" s="491"/>
      <c r="H606" s="491"/>
      <c r="I606" s="491"/>
      <c r="J606" s="491"/>
      <c r="K606" s="491"/>
      <c r="L606" s="491"/>
      <c r="M606" s="491"/>
      <c r="N606" s="491"/>
      <c r="O606" s="491"/>
      <c r="P606" s="491"/>
      <c r="Q606" s="491"/>
      <c r="R606" s="491"/>
      <c r="S606" s="491"/>
      <c r="T606" s="491"/>
      <c r="U606" s="491"/>
      <c r="V606" s="491"/>
    </row>
    <row r="607" spans="1:22" s="490" customFormat="1" x14ac:dyDescent="0.2">
      <c r="A607" s="494"/>
      <c r="B607" s="491"/>
      <c r="C607" s="491"/>
      <c r="D607" s="491"/>
      <c r="E607" s="491"/>
      <c r="F607" s="491"/>
      <c r="G607" s="491"/>
      <c r="H607" s="491"/>
      <c r="I607" s="491"/>
      <c r="J607" s="491"/>
      <c r="K607" s="491"/>
      <c r="L607" s="491"/>
      <c r="M607" s="491"/>
      <c r="N607" s="491"/>
      <c r="O607" s="491"/>
      <c r="P607" s="491"/>
      <c r="Q607" s="491"/>
      <c r="R607" s="491"/>
      <c r="S607" s="491"/>
      <c r="T607" s="491"/>
      <c r="U607" s="491"/>
      <c r="V607" s="491"/>
    </row>
    <row r="608" spans="1:22" s="490" customFormat="1" x14ac:dyDescent="0.2">
      <c r="A608" s="494"/>
      <c r="B608" s="491"/>
      <c r="C608" s="491"/>
      <c r="D608" s="491"/>
      <c r="E608" s="491"/>
      <c r="F608" s="491"/>
      <c r="G608" s="491"/>
      <c r="H608" s="491"/>
      <c r="I608" s="491"/>
      <c r="J608" s="491"/>
      <c r="K608" s="491"/>
      <c r="L608" s="491"/>
      <c r="M608" s="491"/>
      <c r="N608" s="491"/>
      <c r="O608" s="491"/>
      <c r="P608" s="491"/>
      <c r="Q608" s="491"/>
      <c r="R608" s="491"/>
      <c r="S608" s="491"/>
      <c r="T608" s="491"/>
      <c r="U608" s="491"/>
      <c r="V608" s="491"/>
    </row>
    <row r="609" spans="1:22" s="490" customFormat="1" x14ac:dyDescent="0.2">
      <c r="A609" s="494"/>
      <c r="B609" s="491"/>
      <c r="C609" s="491"/>
      <c r="D609" s="491"/>
      <c r="E609" s="491"/>
      <c r="F609" s="491"/>
      <c r="G609" s="491"/>
      <c r="H609" s="491"/>
      <c r="I609" s="491"/>
      <c r="J609" s="491"/>
      <c r="K609" s="491"/>
      <c r="L609" s="491"/>
      <c r="M609" s="491"/>
      <c r="N609" s="491"/>
      <c r="O609" s="491"/>
      <c r="P609" s="491"/>
      <c r="Q609" s="491"/>
      <c r="R609" s="491"/>
      <c r="S609" s="491"/>
      <c r="T609" s="491"/>
      <c r="U609" s="491"/>
      <c r="V609" s="491"/>
    </row>
    <row r="610" spans="1:22" s="490" customFormat="1" x14ac:dyDescent="0.2">
      <c r="A610" s="494"/>
      <c r="B610" s="491"/>
      <c r="C610" s="491"/>
      <c r="D610" s="491"/>
      <c r="E610" s="491"/>
      <c r="F610" s="491"/>
      <c r="G610" s="491"/>
      <c r="H610" s="491"/>
      <c r="I610" s="491"/>
      <c r="J610" s="491"/>
      <c r="K610" s="491"/>
      <c r="L610" s="491"/>
      <c r="M610" s="491"/>
      <c r="N610" s="491"/>
      <c r="O610" s="491"/>
      <c r="P610" s="491"/>
      <c r="Q610" s="491"/>
      <c r="R610" s="491"/>
      <c r="S610" s="491"/>
      <c r="T610" s="491"/>
      <c r="U610" s="491"/>
      <c r="V610" s="491"/>
    </row>
    <row r="611" spans="1:22" s="490" customFormat="1" x14ac:dyDescent="0.2">
      <c r="A611" s="494"/>
      <c r="B611" s="491"/>
      <c r="C611" s="491"/>
      <c r="D611" s="491"/>
      <c r="E611" s="491"/>
      <c r="F611" s="491"/>
      <c r="G611" s="491"/>
      <c r="H611" s="491"/>
      <c r="I611" s="491"/>
      <c r="J611" s="491"/>
      <c r="K611" s="491"/>
      <c r="L611" s="491"/>
      <c r="M611" s="491"/>
      <c r="N611" s="491"/>
      <c r="O611" s="491"/>
      <c r="P611" s="491"/>
      <c r="Q611" s="491"/>
      <c r="R611" s="491"/>
      <c r="S611" s="491"/>
      <c r="T611" s="491"/>
      <c r="U611" s="491"/>
      <c r="V611" s="491"/>
    </row>
    <row r="612" spans="1:22" s="490" customFormat="1" x14ac:dyDescent="0.2">
      <c r="A612" s="494"/>
      <c r="B612" s="491"/>
      <c r="C612" s="491"/>
      <c r="D612" s="491"/>
      <c r="E612" s="491"/>
      <c r="F612" s="491"/>
      <c r="G612" s="491"/>
      <c r="H612" s="491"/>
      <c r="I612" s="491"/>
      <c r="J612" s="491"/>
      <c r="K612" s="491"/>
      <c r="L612" s="491"/>
      <c r="M612" s="491"/>
      <c r="N612" s="491"/>
      <c r="O612" s="491"/>
      <c r="P612" s="491"/>
      <c r="Q612" s="491"/>
      <c r="R612" s="491"/>
      <c r="S612" s="491"/>
      <c r="T612" s="491"/>
      <c r="U612" s="491"/>
      <c r="V612" s="491"/>
    </row>
    <row r="613" spans="1:22" s="490" customFormat="1" x14ac:dyDescent="0.2">
      <c r="A613" s="494"/>
      <c r="B613" s="491"/>
      <c r="C613" s="491"/>
      <c r="D613" s="491"/>
      <c r="E613" s="491"/>
      <c r="F613" s="491"/>
      <c r="G613" s="491"/>
      <c r="H613" s="491"/>
      <c r="I613" s="491"/>
      <c r="J613" s="491"/>
      <c r="K613" s="491"/>
      <c r="L613" s="491"/>
      <c r="M613" s="491"/>
      <c r="N613" s="491"/>
      <c r="O613" s="491"/>
      <c r="P613" s="491"/>
      <c r="Q613" s="491"/>
      <c r="R613" s="491"/>
      <c r="S613" s="491"/>
      <c r="T613" s="491"/>
      <c r="U613" s="491"/>
      <c r="V613" s="491"/>
    </row>
    <row r="614" spans="1:22" s="490" customFormat="1" x14ac:dyDescent="0.2">
      <c r="A614" s="494"/>
      <c r="B614" s="491"/>
      <c r="C614" s="491"/>
      <c r="D614" s="491"/>
      <c r="E614" s="491"/>
      <c r="F614" s="491"/>
      <c r="G614" s="491"/>
      <c r="H614" s="491"/>
      <c r="I614" s="491"/>
      <c r="J614" s="491"/>
      <c r="K614" s="491"/>
      <c r="L614" s="491"/>
      <c r="M614" s="491"/>
      <c r="N614" s="491"/>
      <c r="O614" s="491"/>
      <c r="P614" s="491"/>
      <c r="Q614" s="491"/>
      <c r="R614" s="491"/>
      <c r="S614" s="491"/>
      <c r="T614" s="491"/>
      <c r="U614" s="491"/>
      <c r="V614" s="491"/>
    </row>
    <row r="615" spans="1:22" s="490" customFormat="1" x14ac:dyDescent="0.2">
      <c r="A615" s="494"/>
      <c r="B615" s="491"/>
      <c r="C615" s="491"/>
      <c r="D615" s="491"/>
      <c r="E615" s="491"/>
      <c r="F615" s="491"/>
      <c r="G615" s="491"/>
      <c r="H615" s="491"/>
      <c r="I615" s="491"/>
      <c r="J615" s="491"/>
      <c r="K615" s="491"/>
      <c r="L615" s="491"/>
      <c r="M615" s="491"/>
      <c r="N615" s="491"/>
      <c r="O615" s="491"/>
      <c r="P615" s="491"/>
      <c r="Q615" s="491"/>
      <c r="R615" s="491"/>
      <c r="S615" s="491"/>
      <c r="T615" s="491"/>
      <c r="U615" s="491"/>
      <c r="V615" s="491"/>
    </row>
    <row r="616" spans="1:22" s="490" customFormat="1" x14ac:dyDescent="0.2">
      <c r="A616" s="494"/>
      <c r="B616" s="491"/>
      <c r="C616" s="491"/>
      <c r="D616" s="491"/>
      <c r="E616" s="491"/>
      <c r="F616" s="491"/>
      <c r="G616" s="491"/>
      <c r="H616" s="491"/>
      <c r="I616" s="491"/>
      <c r="J616" s="491"/>
      <c r="K616" s="491"/>
      <c r="L616" s="491"/>
      <c r="M616" s="491"/>
      <c r="N616" s="491"/>
      <c r="O616" s="491"/>
      <c r="P616" s="491"/>
      <c r="Q616" s="491"/>
      <c r="R616" s="491"/>
      <c r="S616" s="491"/>
      <c r="T616" s="491"/>
      <c r="U616" s="491"/>
      <c r="V616" s="491"/>
    </row>
    <row r="617" spans="1:22" s="490" customFormat="1" x14ac:dyDescent="0.2">
      <c r="A617" s="494"/>
      <c r="B617" s="491"/>
      <c r="C617" s="491"/>
      <c r="D617" s="491"/>
      <c r="E617" s="491"/>
      <c r="F617" s="491"/>
      <c r="G617" s="491"/>
      <c r="H617" s="491"/>
      <c r="I617" s="491"/>
      <c r="J617" s="491"/>
      <c r="K617" s="491"/>
      <c r="L617" s="491"/>
      <c r="M617" s="491"/>
      <c r="N617" s="491"/>
      <c r="O617" s="491"/>
      <c r="P617" s="491"/>
      <c r="Q617" s="491"/>
      <c r="R617" s="491"/>
      <c r="S617" s="491"/>
      <c r="T617" s="491"/>
      <c r="U617" s="491"/>
      <c r="V617" s="491"/>
    </row>
    <row r="618" spans="1:22" s="490" customFormat="1" x14ac:dyDescent="0.2">
      <c r="A618" s="494"/>
      <c r="B618" s="491"/>
      <c r="C618" s="491"/>
      <c r="D618" s="491"/>
      <c r="E618" s="491"/>
      <c r="F618" s="491"/>
      <c r="G618" s="491"/>
      <c r="H618" s="491"/>
      <c r="I618" s="491"/>
      <c r="J618" s="491"/>
      <c r="K618" s="491"/>
      <c r="L618" s="491"/>
      <c r="M618" s="491"/>
      <c r="N618" s="491"/>
      <c r="O618" s="491"/>
      <c r="P618" s="491"/>
      <c r="Q618" s="491"/>
      <c r="R618" s="491"/>
      <c r="S618" s="491"/>
      <c r="T618" s="491"/>
      <c r="U618" s="491"/>
      <c r="V618" s="491"/>
    </row>
    <row r="619" spans="1:22" s="490" customFormat="1" x14ac:dyDescent="0.2">
      <c r="A619" s="494"/>
      <c r="B619" s="491"/>
      <c r="C619" s="491"/>
      <c r="D619" s="491"/>
      <c r="E619" s="491"/>
      <c r="F619" s="491"/>
      <c r="G619" s="491"/>
      <c r="H619" s="491"/>
      <c r="I619" s="491"/>
      <c r="J619" s="491"/>
      <c r="K619" s="491"/>
      <c r="L619" s="491"/>
      <c r="M619" s="491"/>
      <c r="N619" s="491"/>
      <c r="O619" s="491"/>
      <c r="P619" s="491"/>
      <c r="Q619" s="491"/>
      <c r="R619" s="491"/>
      <c r="S619" s="491"/>
      <c r="T619" s="491"/>
      <c r="U619" s="491"/>
      <c r="V619" s="491"/>
    </row>
  </sheetData>
  <mergeCells count="48">
    <mergeCell ref="A18:V18"/>
    <mergeCell ref="A20:V20"/>
    <mergeCell ref="A1:C2"/>
    <mergeCell ref="D1:E2"/>
    <mergeCell ref="F1:N2"/>
    <mergeCell ref="O1:Q1"/>
    <mergeCell ref="R1:V1"/>
    <mergeCell ref="O2:Q2"/>
    <mergeCell ref="R2:V2"/>
    <mergeCell ref="A3:D3"/>
    <mergeCell ref="E3:V3"/>
    <mergeCell ref="A4:D4"/>
    <mergeCell ref="E4:V4"/>
    <mergeCell ref="A5:D5"/>
    <mergeCell ref="E5:V5"/>
    <mergeCell ref="B6:M6"/>
    <mergeCell ref="N6:Q6"/>
    <mergeCell ref="R6:V6"/>
    <mergeCell ref="B7:M7"/>
    <mergeCell ref="N7:Q7"/>
    <mergeCell ref="R7:V7"/>
    <mergeCell ref="B8:M8"/>
    <mergeCell ref="N8:Q8"/>
    <mergeCell ref="R8:V8"/>
    <mergeCell ref="B9:M9"/>
    <mergeCell ref="N9:Q9"/>
    <mergeCell ref="R9:V9"/>
    <mergeCell ref="B10:M10"/>
    <mergeCell ref="N10:Q10"/>
    <mergeCell ref="R10:V10"/>
    <mergeCell ref="B11:M11"/>
    <mergeCell ref="N11:Q11"/>
    <mergeCell ref="R11:V11"/>
    <mergeCell ref="B12:M12"/>
    <mergeCell ref="N12:Q12"/>
    <mergeCell ref="R12:V12"/>
    <mergeCell ref="B13:M13"/>
    <mergeCell ref="N13:Q13"/>
    <mergeCell ref="R13:V13"/>
    <mergeCell ref="B16:M16"/>
    <mergeCell ref="N16:Q16"/>
    <mergeCell ref="R16:V16"/>
    <mergeCell ref="B14:M14"/>
    <mergeCell ref="N14:Q14"/>
    <mergeCell ref="R14:V14"/>
    <mergeCell ref="B15:M15"/>
    <mergeCell ref="N15:Q15"/>
    <mergeCell ref="R15:V15"/>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CB826"/>
  <sheetViews>
    <sheetView tabSelected="1" workbookViewId="0">
      <selection activeCell="Z13" sqref="Z13"/>
    </sheetView>
  </sheetViews>
  <sheetFormatPr baseColWidth="10" defaultRowHeight="12.75" x14ac:dyDescent="0.2"/>
  <cols>
    <col min="1" max="1" width="12.140625" customWidth="1"/>
    <col min="2" max="3" width="6.5703125" customWidth="1"/>
    <col min="4" max="4" width="10.140625" customWidth="1"/>
    <col min="5" max="6" width="8.140625" customWidth="1"/>
    <col min="7" max="14" width="6.42578125" customWidth="1"/>
    <col min="15" max="15" width="5.28515625" customWidth="1"/>
    <col min="16" max="16" width="6.42578125" customWidth="1"/>
    <col min="17" max="17" width="10.7109375" customWidth="1"/>
    <col min="18" max="21" width="6.42578125" customWidth="1"/>
    <col min="22" max="22" width="8.5703125" customWidth="1"/>
    <col min="23" max="80" width="11.42578125" style="490"/>
  </cols>
  <sheetData>
    <row r="1" spans="1:22" ht="24" customHeight="1" x14ac:dyDescent="0.2">
      <c r="A1" s="297"/>
      <c r="B1" s="297"/>
      <c r="C1" s="297"/>
      <c r="D1" s="297"/>
      <c r="E1" s="297"/>
      <c r="F1" s="459" t="s">
        <v>170</v>
      </c>
      <c r="G1" s="459"/>
      <c r="H1" s="459"/>
      <c r="I1" s="459"/>
      <c r="J1" s="459"/>
      <c r="K1" s="459"/>
      <c r="L1" s="459"/>
      <c r="M1" s="459"/>
      <c r="N1" s="459"/>
      <c r="O1" s="460" t="s">
        <v>171</v>
      </c>
      <c r="P1" s="460"/>
      <c r="Q1" s="460"/>
      <c r="R1" s="451"/>
      <c r="S1" s="451"/>
      <c r="T1" s="451"/>
      <c r="U1" s="451"/>
      <c r="V1" s="451"/>
    </row>
    <row r="2" spans="1:22" ht="15.75" customHeight="1" x14ac:dyDescent="0.2">
      <c r="A2" s="297"/>
      <c r="B2" s="297"/>
      <c r="C2" s="297"/>
      <c r="D2" s="297"/>
      <c r="E2" s="297"/>
      <c r="F2" s="459"/>
      <c r="G2" s="459"/>
      <c r="H2" s="459"/>
      <c r="I2" s="459"/>
      <c r="J2" s="459"/>
      <c r="K2" s="459"/>
      <c r="L2" s="459"/>
      <c r="M2" s="459"/>
      <c r="N2" s="459"/>
      <c r="O2" s="460" t="s">
        <v>172</v>
      </c>
      <c r="P2" s="460"/>
      <c r="Q2" s="460"/>
      <c r="R2" s="452"/>
      <c r="S2" s="451"/>
      <c r="T2" s="451"/>
      <c r="U2" s="451"/>
      <c r="V2" s="451"/>
    </row>
    <row r="3" spans="1:22" ht="36" customHeight="1" x14ac:dyDescent="0.2">
      <c r="A3" s="297"/>
      <c r="B3" s="297"/>
      <c r="C3" s="297"/>
      <c r="D3" s="297"/>
      <c r="E3" s="297"/>
      <c r="F3" s="459"/>
      <c r="G3" s="459"/>
      <c r="H3" s="459"/>
      <c r="I3" s="459"/>
      <c r="J3" s="459"/>
      <c r="K3" s="459"/>
      <c r="L3" s="459"/>
      <c r="M3" s="459"/>
      <c r="N3" s="459"/>
      <c r="O3" s="460" t="s">
        <v>173</v>
      </c>
      <c r="P3" s="460"/>
      <c r="Q3" s="460"/>
      <c r="R3" s="461" t="s">
        <v>174</v>
      </c>
      <c r="S3" s="461"/>
      <c r="T3" s="461"/>
      <c r="U3" s="461"/>
      <c r="V3" s="461"/>
    </row>
    <row r="4" spans="1:22" ht="29.25" customHeight="1" x14ac:dyDescent="0.2">
      <c r="A4" s="297"/>
      <c r="B4" s="297"/>
      <c r="C4" s="297"/>
      <c r="D4" s="297"/>
      <c r="E4" s="297"/>
      <c r="F4" s="459"/>
      <c r="G4" s="459"/>
      <c r="H4" s="459"/>
      <c r="I4" s="459"/>
      <c r="J4" s="459"/>
      <c r="K4" s="459"/>
      <c r="L4" s="459"/>
      <c r="M4" s="459"/>
      <c r="N4" s="459"/>
      <c r="O4" s="460" t="s">
        <v>175</v>
      </c>
      <c r="P4" s="460"/>
      <c r="Q4" s="460"/>
      <c r="R4" s="452"/>
      <c r="S4" s="451"/>
      <c r="T4" s="451"/>
      <c r="U4" s="451"/>
      <c r="V4" s="451"/>
    </row>
    <row r="5" spans="1:22" ht="42.75" customHeight="1" x14ac:dyDescent="0.2">
      <c r="A5" s="462" t="s">
        <v>176</v>
      </c>
      <c r="B5" s="462"/>
      <c r="C5" s="462"/>
      <c r="D5" s="146"/>
      <c r="E5" s="457" t="s">
        <v>177</v>
      </c>
      <c r="F5" s="457"/>
      <c r="G5" s="463" t="s">
        <v>178</v>
      </c>
      <c r="H5" s="464"/>
      <c r="I5" s="464"/>
      <c r="J5" s="464"/>
      <c r="K5" s="464"/>
      <c r="L5" s="464"/>
      <c r="M5" s="464"/>
      <c r="N5" s="464"/>
      <c r="O5" s="464"/>
      <c r="P5" s="464"/>
      <c r="Q5" s="464"/>
      <c r="R5" s="464"/>
      <c r="S5" s="457" t="s">
        <v>179</v>
      </c>
      <c r="T5" s="457"/>
      <c r="U5" s="462" t="s">
        <v>180</v>
      </c>
      <c r="V5" s="465"/>
    </row>
    <row r="6" spans="1:22" ht="24.75" customHeight="1" x14ac:dyDescent="0.2">
      <c r="A6" s="456"/>
      <c r="B6" s="456"/>
      <c r="C6" s="456"/>
      <c r="D6" s="456"/>
      <c r="E6" s="466"/>
      <c r="F6" s="456"/>
      <c r="G6" s="464"/>
      <c r="H6" s="464"/>
      <c r="I6" s="464"/>
      <c r="J6" s="464"/>
      <c r="K6" s="464"/>
      <c r="L6" s="464"/>
      <c r="M6" s="464"/>
      <c r="N6" s="464"/>
      <c r="O6" s="464"/>
      <c r="P6" s="464"/>
      <c r="Q6" s="464"/>
      <c r="R6" s="464"/>
      <c r="S6" s="467"/>
      <c r="T6" s="467"/>
      <c r="U6" s="297"/>
      <c r="V6" s="297"/>
    </row>
    <row r="7" spans="1:22" ht="33" customHeight="1" x14ac:dyDescent="0.2">
      <c r="A7" s="468" t="s">
        <v>181</v>
      </c>
      <c r="B7" s="469"/>
      <c r="C7" s="469"/>
      <c r="D7" s="469"/>
      <c r="E7" s="469"/>
      <c r="F7" s="469"/>
      <c r="G7" s="469"/>
      <c r="H7" s="460" t="s">
        <v>182</v>
      </c>
      <c r="I7" s="460"/>
      <c r="J7" s="460"/>
      <c r="K7" s="460"/>
      <c r="L7" s="460"/>
      <c r="M7" s="460"/>
      <c r="N7" s="460"/>
      <c r="O7" s="460"/>
      <c r="P7" s="460"/>
      <c r="Q7" s="460"/>
      <c r="R7" s="470" t="s">
        <v>183</v>
      </c>
      <c r="S7" s="470"/>
      <c r="T7" s="470"/>
      <c r="U7" s="470"/>
      <c r="V7" s="470"/>
    </row>
    <row r="8" spans="1:22" ht="21" customHeight="1" x14ac:dyDescent="0.2">
      <c r="A8" s="462" t="s">
        <v>184</v>
      </c>
      <c r="B8" s="462"/>
      <c r="C8" s="462"/>
      <c r="D8" s="462"/>
      <c r="E8" s="462" t="s">
        <v>185</v>
      </c>
      <c r="F8" s="462"/>
      <c r="G8" s="462"/>
      <c r="H8" s="462"/>
      <c r="I8" s="462" t="s">
        <v>186</v>
      </c>
      <c r="J8" s="462"/>
      <c r="K8" s="462"/>
      <c r="L8" s="462"/>
      <c r="M8" s="462"/>
      <c r="N8" s="462" t="s">
        <v>185</v>
      </c>
      <c r="O8" s="462"/>
      <c r="P8" s="462"/>
      <c r="Q8" s="462"/>
      <c r="R8" s="462" t="s">
        <v>187</v>
      </c>
      <c r="S8" s="462"/>
      <c r="T8" s="462"/>
      <c r="U8" s="462"/>
      <c r="V8" s="462"/>
    </row>
    <row r="9" spans="1:22" ht="37.5" customHeight="1" x14ac:dyDescent="0.2">
      <c r="A9" s="147" t="s">
        <v>164</v>
      </c>
      <c r="B9" s="471" t="s">
        <v>188</v>
      </c>
      <c r="C9" s="471"/>
      <c r="D9" s="471"/>
      <c r="E9" s="471"/>
      <c r="F9" s="471"/>
      <c r="G9" s="471"/>
      <c r="H9" s="471"/>
      <c r="I9" s="471"/>
      <c r="J9" s="471"/>
      <c r="K9" s="471"/>
      <c r="L9" s="471"/>
      <c r="M9" s="471"/>
      <c r="N9" s="472" t="s">
        <v>166</v>
      </c>
      <c r="O9" s="472"/>
      <c r="P9" s="472"/>
      <c r="Q9" s="472"/>
      <c r="R9" s="472" t="s">
        <v>167</v>
      </c>
      <c r="S9" s="472"/>
      <c r="T9" s="472"/>
      <c r="U9" s="472"/>
      <c r="V9" s="472"/>
    </row>
    <row r="10" spans="1:22" ht="37.5" customHeight="1" x14ac:dyDescent="0.2">
      <c r="A10" s="145">
        <v>1</v>
      </c>
      <c r="B10" s="447"/>
      <c r="C10" s="447"/>
      <c r="D10" s="447"/>
      <c r="E10" s="447"/>
      <c r="F10" s="447"/>
      <c r="G10" s="447"/>
      <c r="H10" s="447"/>
      <c r="I10" s="447"/>
      <c r="J10" s="447"/>
      <c r="K10" s="447"/>
      <c r="L10" s="447"/>
      <c r="M10" s="447"/>
      <c r="N10" s="297"/>
      <c r="O10" s="297"/>
      <c r="P10" s="297"/>
      <c r="Q10" s="297"/>
      <c r="R10" s="353"/>
      <c r="S10" s="297"/>
      <c r="T10" s="297"/>
      <c r="U10" s="297"/>
      <c r="V10" s="297"/>
    </row>
    <row r="11" spans="1:22" ht="37.5" customHeight="1" x14ac:dyDescent="0.2">
      <c r="A11" s="145">
        <v>2</v>
      </c>
      <c r="B11" s="447"/>
      <c r="C11" s="447"/>
      <c r="D11" s="447"/>
      <c r="E11" s="447"/>
      <c r="F11" s="447"/>
      <c r="G11" s="447"/>
      <c r="H11" s="447"/>
      <c r="I11" s="447"/>
      <c r="J11" s="447"/>
      <c r="K11" s="447"/>
      <c r="L11" s="447"/>
      <c r="M11" s="447"/>
      <c r="N11" s="297"/>
      <c r="O11" s="297"/>
      <c r="P11" s="297"/>
      <c r="Q11" s="297"/>
      <c r="R11" s="353"/>
      <c r="S11" s="297"/>
      <c r="T11" s="297"/>
      <c r="U11" s="297"/>
      <c r="V11" s="297"/>
    </row>
    <row r="12" spans="1:22" ht="37.5" customHeight="1" x14ac:dyDescent="0.2">
      <c r="A12" s="145">
        <v>3</v>
      </c>
      <c r="B12" s="447"/>
      <c r="C12" s="447"/>
      <c r="D12" s="447"/>
      <c r="E12" s="447"/>
      <c r="F12" s="447"/>
      <c r="G12" s="447"/>
      <c r="H12" s="447"/>
      <c r="I12" s="447"/>
      <c r="J12" s="447"/>
      <c r="K12" s="447"/>
      <c r="L12" s="447"/>
      <c r="M12" s="447"/>
      <c r="N12" s="297"/>
      <c r="O12" s="297"/>
      <c r="P12" s="297"/>
      <c r="Q12" s="297"/>
      <c r="R12" s="297"/>
      <c r="S12" s="297"/>
      <c r="T12" s="297"/>
      <c r="U12" s="297"/>
      <c r="V12" s="297"/>
    </row>
    <row r="13" spans="1:22" ht="37.5" customHeight="1" x14ac:dyDescent="0.2">
      <c r="A13" s="145">
        <v>4</v>
      </c>
      <c r="B13" s="447"/>
      <c r="C13" s="447"/>
      <c r="D13" s="447"/>
      <c r="E13" s="447"/>
      <c r="F13" s="447"/>
      <c r="G13" s="447"/>
      <c r="H13" s="447"/>
      <c r="I13" s="447"/>
      <c r="J13" s="447"/>
      <c r="K13" s="447"/>
      <c r="L13" s="447"/>
      <c r="M13" s="447"/>
      <c r="N13" s="297"/>
      <c r="O13" s="297"/>
      <c r="P13" s="297"/>
      <c r="Q13" s="297"/>
      <c r="R13" s="297"/>
      <c r="S13" s="297"/>
      <c r="T13" s="297"/>
      <c r="U13" s="297"/>
      <c r="V13" s="297"/>
    </row>
    <row r="14" spans="1:22" ht="37.5" customHeight="1" x14ac:dyDescent="0.2">
      <c r="A14" s="145">
        <v>5</v>
      </c>
      <c r="B14" s="447"/>
      <c r="C14" s="447"/>
      <c r="D14" s="447"/>
      <c r="E14" s="447"/>
      <c r="F14" s="447"/>
      <c r="G14" s="447"/>
      <c r="H14" s="447"/>
      <c r="I14" s="447"/>
      <c r="J14" s="447"/>
      <c r="K14" s="447"/>
      <c r="L14" s="447"/>
      <c r="M14" s="447"/>
      <c r="N14" s="297"/>
      <c r="O14" s="297"/>
      <c r="P14" s="297"/>
      <c r="Q14" s="297"/>
      <c r="R14" s="297"/>
      <c r="S14" s="297"/>
      <c r="T14" s="297"/>
      <c r="U14" s="297"/>
      <c r="V14" s="297"/>
    </row>
    <row r="15" spans="1:22" ht="37.5" customHeight="1" x14ac:dyDescent="0.2">
      <c r="A15" s="145">
        <v>6</v>
      </c>
      <c r="B15" s="447"/>
      <c r="C15" s="447"/>
      <c r="D15" s="447"/>
      <c r="E15" s="447"/>
      <c r="F15" s="447"/>
      <c r="G15" s="447"/>
      <c r="H15" s="447"/>
      <c r="I15" s="447"/>
      <c r="J15" s="447"/>
      <c r="K15" s="447"/>
      <c r="L15" s="447"/>
      <c r="M15" s="447"/>
      <c r="N15" s="297"/>
      <c r="O15" s="297"/>
      <c r="P15" s="297"/>
      <c r="Q15" s="297"/>
      <c r="R15" s="297"/>
      <c r="S15" s="297"/>
      <c r="T15" s="297"/>
      <c r="U15" s="297"/>
      <c r="V15" s="297"/>
    </row>
    <row r="16" spans="1:22" ht="37.5" customHeight="1" x14ac:dyDescent="0.2">
      <c r="A16" s="145">
        <v>7</v>
      </c>
      <c r="B16" s="447"/>
      <c r="C16" s="447"/>
      <c r="D16" s="447"/>
      <c r="E16" s="447"/>
      <c r="F16" s="447"/>
      <c r="G16" s="447"/>
      <c r="H16" s="447"/>
      <c r="I16" s="447"/>
      <c r="J16" s="447"/>
      <c r="K16" s="447"/>
      <c r="L16" s="447"/>
      <c r="M16" s="447"/>
      <c r="N16" s="297"/>
      <c r="O16" s="297"/>
      <c r="P16" s="297"/>
      <c r="Q16" s="297"/>
      <c r="R16" s="297"/>
      <c r="S16" s="297"/>
      <c r="T16" s="297"/>
      <c r="U16" s="297"/>
      <c r="V16" s="297"/>
    </row>
    <row r="17" spans="1:22" ht="37.5" customHeight="1" x14ac:dyDescent="0.2">
      <c r="A17" s="145">
        <v>8</v>
      </c>
      <c r="B17" s="447"/>
      <c r="C17" s="447"/>
      <c r="D17" s="447"/>
      <c r="E17" s="447"/>
      <c r="F17" s="447"/>
      <c r="G17" s="447"/>
      <c r="H17" s="447"/>
      <c r="I17" s="447"/>
      <c r="J17" s="447"/>
      <c r="K17" s="447"/>
      <c r="L17" s="447"/>
      <c r="M17" s="447"/>
      <c r="N17" s="297"/>
      <c r="O17" s="297"/>
      <c r="P17" s="297"/>
      <c r="Q17" s="297"/>
      <c r="R17" s="297"/>
      <c r="S17" s="297"/>
      <c r="T17" s="297"/>
      <c r="U17" s="297"/>
      <c r="V17" s="297"/>
    </row>
    <row r="18" spans="1:22" ht="37.5" customHeight="1" x14ac:dyDescent="0.2">
      <c r="A18" s="148">
        <v>9</v>
      </c>
      <c r="B18" s="447"/>
      <c r="C18" s="447"/>
      <c r="D18" s="447"/>
      <c r="E18" s="447"/>
      <c r="F18" s="447"/>
      <c r="G18" s="447"/>
      <c r="H18" s="447"/>
      <c r="I18" s="447"/>
      <c r="J18" s="447"/>
      <c r="K18" s="447"/>
      <c r="L18" s="447"/>
      <c r="M18" s="447"/>
      <c r="N18" s="297"/>
      <c r="O18" s="297"/>
      <c r="P18" s="297"/>
      <c r="Q18" s="297"/>
      <c r="R18" s="297"/>
      <c r="S18" s="297"/>
      <c r="T18" s="297"/>
      <c r="U18" s="297"/>
      <c r="V18" s="297"/>
    </row>
    <row r="19" spans="1:22" ht="37.5" customHeight="1" x14ac:dyDescent="0.2">
      <c r="A19" s="145">
        <v>10</v>
      </c>
      <c r="B19" s="447"/>
      <c r="C19" s="447"/>
      <c r="D19" s="447"/>
      <c r="E19" s="447"/>
      <c r="F19" s="447"/>
      <c r="G19" s="447"/>
      <c r="H19" s="447"/>
      <c r="I19" s="447"/>
      <c r="J19" s="447"/>
      <c r="K19" s="447"/>
      <c r="L19" s="447"/>
      <c r="M19" s="447"/>
      <c r="N19" s="297"/>
      <c r="O19" s="297"/>
      <c r="P19" s="297"/>
      <c r="Q19" s="297"/>
      <c r="R19" s="297"/>
      <c r="S19" s="297"/>
      <c r="T19" s="297"/>
      <c r="U19" s="297"/>
      <c r="V19" s="297"/>
    </row>
    <row r="20" spans="1:22" s="490" customFormat="1" x14ac:dyDescent="0.2"/>
    <row r="21" spans="1:22" s="490" customFormat="1" x14ac:dyDescent="0.2"/>
    <row r="22" spans="1:22" s="490" customFormat="1" x14ac:dyDescent="0.2"/>
    <row r="23" spans="1:22" s="490" customFormat="1" x14ac:dyDescent="0.2"/>
    <row r="24" spans="1:22" s="490" customFormat="1" x14ac:dyDescent="0.2"/>
    <row r="25" spans="1:22" s="490" customFormat="1" x14ac:dyDescent="0.2"/>
    <row r="26" spans="1:22" s="490" customFormat="1" x14ac:dyDescent="0.2"/>
    <row r="27" spans="1:22" s="490" customFormat="1" x14ac:dyDescent="0.2"/>
    <row r="28" spans="1:22" s="490" customFormat="1" x14ac:dyDescent="0.2"/>
    <row r="29" spans="1:22" s="490" customFormat="1" x14ac:dyDescent="0.2"/>
    <row r="30" spans="1:22" s="490" customFormat="1" x14ac:dyDescent="0.2"/>
    <row r="31" spans="1:22" s="490" customFormat="1" x14ac:dyDescent="0.2"/>
    <row r="32" spans="1:22" s="490" customFormat="1" x14ac:dyDescent="0.2"/>
    <row r="33" s="490" customFormat="1" x14ac:dyDescent="0.2"/>
    <row r="34" s="490" customFormat="1" x14ac:dyDescent="0.2"/>
    <row r="35" s="490" customFormat="1" x14ac:dyDescent="0.2"/>
    <row r="36" s="490" customFormat="1" x14ac:dyDescent="0.2"/>
    <row r="37" s="490" customFormat="1" x14ac:dyDescent="0.2"/>
    <row r="38" s="490" customFormat="1" x14ac:dyDescent="0.2"/>
    <row r="39" s="490" customFormat="1" x14ac:dyDescent="0.2"/>
    <row r="40" s="490" customFormat="1" x14ac:dyDescent="0.2"/>
    <row r="41" s="490" customFormat="1" x14ac:dyDescent="0.2"/>
    <row r="42" s="490" customFormat="1" x14ac:dyDescent="0.2"/>
    <row r="43" s="490" customFormat="1" x14ac:dyDescent="0.2"/>
    <row r="44" s="490" customFormat="1" x14ac:dyDescent="0.2"/>
    <row r="45" s="490" customFormat="1" x14ac:dyDescent="0.2"/>
    <row r="46" s="490" customFormat="1" x14ac:dyDescent="0.2"/>
    <row r="47" s="490" customFormat="1" x14ac:dyDescent="0.2"/>
    <row r="48" s="490" customFormat="1" x14ac:dyDescent="0.2"/>
    <row r="49" s="490" customFormat="1" x14ac:dyDescent="0.2"/>
    <row r="50" s="490" customFormat="1" x14ac:dyDescent="0.2"/>
    <row r="51" s="490" customFormat="1" x14ac:dyDescent="0.2"/>
    <row r="52" s="490" customFormat="1" x14ac:dyDescent="0.2"/>
    <row r="53" s="490" customFormat="1" x14ac:dyDescent="0.2"/>
    <row r="54" s="490" customFormat="1" x14ac:dyDescent="0.2"/>
    <row r="55" s="490" customFormat="1" x14ac:dyDescent="0.2"/>
    <row r="56" s="490" customFormat="1" x14ac:dyDescent="0.2"/>
    <row r="57" s="490" customFormat="1" x14ac:dyDescent="0.2"/>
    <row r="58" s="490" customFormat="1" x14ac:dyDescent="0.2"/>
    <row r="59" s="490" customFormat="1" x14ac:dyDescent="0.2"/>
    <row r="60" s="490" customFormat="1" x14ac:dyDescent="0.2"/>
    <row r="61" s="490" customFormat="1" x14ac:dyDescent="0.2"/>
    <row r="62" s="490" customFormat="1" x14ac:dyDescent="0.2"/>
    <row r="63" s="490" customFormat="1" x14ac:dyDescent="0.2"/>
    <row r="64" s="490" customFormat="1" x14ac:dyDescent="0.2"/>
    <row r="65" s="490" customFormat="1" x14ac:dyDescent="0.2"/>
    <row r="66" s="490" customFormat="1" x14ac:dyDescent="0.2"/>
    <row r="67" s="490" customFormat="1" x14ac:dyDescent="0.2"/>
    <row r="68" s="490" customFormat="1" x14ac:dyDescent="0.2"/>
    <row r="69" s="490" customFormat="1" x14ac:dyDescent="0.2"/>
    <row r="70" s="490" customFormat="1" x14ac:dyDescent="0.2"/>
    <row r="71" s="490" customFormat="1" x14ac:dyDescent="0.2"/>
    <row r="72" s="490" customFormat="1" x14ac:dyDescent="0.2"/>
    <row r="73" s="490" customFormat="1" x14ac:dyDescent="0.2"/>
    <row r="74" s="490" customFormat="1" x14ac:dyDescent="0.2"/>
    <row r="75" s="490" customFormat="1" x14ac:dyDescent="0.2"/>
    <row r="76" s="490" customFormat="1" x14ac:dyDescent="0.2"/>
    <row r="77" s="490" customFormat="1" x14ac:dyDescent="0.2"/>
    <row r="78" s="490" customFormat="1" x14ac:dyDescent="0.2"/>
    <row r="79" s="490" customFormat="1" x14ac:dyDescent="0.2"/>
    <row r="80" s="490" customFormat="1" x14ac:dyDescent="0.2"/>
    <row r="81" s="490" customFormat="1" x14ac:dyDescent="0.2"/>
    <row r="82" s="490" customFormat="1" x14ac:dyDescent="0.2"/>
    <row r="83" s="490" customFormat="1" x14ac:dyDescent="0.2"/>
    <row r="84" s="490" customFormat="1" x14ac:dyDescent="0.2"/>
    <row r="85" s="490" customFormat="1" x14ac:dyDescent="0.2"/>
    <row r="86" s="490" customFormat="1" x14ac:dyDescent="0.2"/>
    <row r="87" s="490" customFormat="1" x14ac:dyDescent="0.2"/>
    <row r="88" s="490" customFormat="1" x14ac:dyDescent="0.2"/>
    <row r="89" s="490" customFormat="1" x14ac:dyDescent="0.2"/>
    <row r="90" s="490" customFormat="1" x14ac:dyDescent="0.2"/>
    <row r="91" s="490" customFormat="1" x14ac:dyDescent="0.2"/>
    <row r="92" s="490" customFormat="1" x14ac:dyDescent="0.2"/>
    <row r="93" s="490" customFormat="1" x14ac:dyDescent="0.2"/>
    <row r="94" s="490" customFormat="1" x14ac:dyDescent="0.2"/>
    <row r="95" s="490" customFormat="1" x14ac:dyDescent="0.2"/>
    <row r="96" s="490" customFormat="1" x14ac:dyDescent="0.2"/>
    <row r="97" s="490" customFormat="1" x14ac:dyDescent="0.2"/>
    <row r="98" s="490" customFormat="1" x14ac:dyDescent="0.2"/>
    <row r="99" s="490" customFormat="1" x14ac:dyDescent="0.2"/>
    <row r="100" s="490" customFormat="1" x14ac:dyDescent="0.2"/>
    <row r="101" s="490" customFormat="1" x14ac:dyDescent="0.2"/>
    <row r="102" s="490" customFormat="1" x14ac:dyDescent="0.2"/>
    <row r="103" s="490" customFormat="1" x14ac:dyDescent="0.2"/>
    <row r="104" s="490" customFormat="1" x14ac:dyDescent="0.2"/>
    <row r="105" s="490" customFormat="1" x14ac:dyDescent="0.2"/>
    <row r="106" s="490" customFormat="1" x14ac:dyDescent="0.2"/>
    <row r="107" s="490" customFormat="1" x14ac:dyDescent="0.2"/>
    <row r="108" s="490" customFormat="1" x14ac:dyDescent="0.2"/>
    <row r="109" s="490" customFormat="1" x14ac:dyDescent="0.2"/>
    <row r="110" s="490" customFormat="1" x14ac:dyDescent="0.2"/>
    <row r="111" s="490" customFormat="1" x14ac:dyDescent="0.2"/>
    <row r="112" s="490" customFormat="1" x14ac:dyDescent="0.2"/>
    <row r="113" s="490" customFormat="1" x14ac:dyDescent="0.2"/>
    <row r="114" s="490" customFormat="1" x14ac:dyDescent="0.2"/>
    <row r="115" s="490" customFormat="1" x14ac:dyDescent="0.2"/>
    <row r="116" s="490" customFormat="1" x14ac:dyDescent="0.2"/>
    <row r="117" s="490" customFormat="1" x14ac:dyDescent="0.2"/>
    <row r="118" s="490" customFormat="1" x14ac:dyDescent="0.2"/>
    <row r="119" s="490" customFormat="1" x14ac:dyDescent="0.2"/>
    <row r="120" s="490" customFormat="1" x14ac:dyDescent="0.2"/>
    <row r="121" s="490" customFormat="1" x14ac:dyDescent="0.2"/>
    <row r="122" s="490" customFormat="1" x14ac:dyDescent="0.2"/>
    <row r="123" s="490" customFormat="1" x14ac:dyDescent="0.2"/>
    <row r="124" s="490" customFormat="1" x14ac:dyDescent="0.2"/>
    <row r="125" s="490" customFormat="1" x14ac:dyDescent="0.2"/>
    <row r="126" s="490" customFormat="1" x14ac:dyDescent="0.2"/>
    <row r="127" s="490" customFormat="1" x14ac:dyDescent="0.2"/>
    <row r="128" s="490" customFormat="1" x14ac:dyDescent="0.2"/>
    <row r="129" s="490" customFormat="1" x14ac:dyDescent="0.2"/>
    <row r="130" s="490" customFormat="1" x14ac:dyDescent="0.2"/>
    <row r="131" s="490" customFormat="1" x14ac:dyDescent="0.2"/>
    <row r="132" s="490" customFormat="1" x14ac:dyDescent="0.2"/>
    <row r="133" s="490" customFormat="1" x14ac:dyDescent="0.2"/>
    <row r="134" s="490" customFormat="1" x14ac:dyDescent="0.2"/>
    <row r="135" s="490" customFormat="1" x14ac:dyDescent="0.2"/>
    <row r="136" s="490" customFormat="1" x14ac:dyDescent="0.2"/>
    <row r="137" s="490" customFormat="1" x14ac:dyDescent="0.2"/>
    <row r="138" s="490" customFormat="1" x14ac:dyDescent="0.2"/>
    <row r="139" s="490" customFormat="1" x14ac:dyDescent="0.2"/>
    <row r="140" s="490" customFormat="1" x14ac:dyDescent="0.2"/>
    <row r="141" s="490" customFormat="1" x14ac:dyDescent="0.2"/>
    <row r="142" s="490" customFormat="1" x14ac:dyDescent="0.2"/>
    <row r="143" s="490" customFormat="1" x14ac:dyDescent="0.2"/>
    <row r="144" s="490" customFormat="1" x14ac:dyDescent="0.2"/>
    <row r="145" s="490" customFormat="1" x14ac:dyDescent="0.2"/>
    <row r="146" s="490" customFormat="1" x14ac:dyDescent="0.2"/>
    <row r="147" s="490" customFormat="1" x14ac:dyDescent="0.2"/>
    <row r="148" s="490" customFormat="1" x14ac:dyDescent="0.2"/>
    <row r="149" s="490" customFormat="1" x14ac:dyDescent="0.2"/>
    <row r="150" s="490" customFormat="1" x14ac:dyDescent="0.2"/>
    <row r="151" s="490" customFormat="1" x14ac:dyDescent="0.2"/>
    <row r="152" s="490" customFormat="1" x14ac:dyDescent="0.2"/>
    <row r="153" s="490" customFormat="1" x14ac:dyDescent="0.2"/>
    <row r="154" s="490" customFormat="1" x14ac:dyDescent="0.2"/>
    <row r="155" s="490" customFormat="1" x14ac:dyDescent="0.2"/>
    <row r="156" s="490" customFormat="1" x14ac:dyDescent="0.2"/>
    <row r="157" s="490" customFormat="1" x14ac:dyDescent="0.2"/>
    <row r="158" s="490" customFormat="1" x14ac:dyDescent="0.2"/>
    <row r="159" s="490" customFormat="1" x14ac:dyDescent="0.2"/>
    <row r="160" s="490" customFormat="1" x14ac:dyDescent="0.2"/>
    <row r="161" s="490" customFormat="1" x14ac:dyDescent="0.2"/>
    <row r="162" s="490" customFormat="1" x14ac:dyDescent="0.2"/>
    <row r="163" s="490" customFormat="1" x14ac:dyDescent="0.2"/>
    <row r="164" s="490" customFormat="1" x14ac:dyDescent="0.2"/>
    <row r="165" s="490" customFormat="1" x14ac:dyDescent="0.2"/>
    <row r="166" s="490" customFormat="1" x14ac:dyDescent="0.2"/>
    <row r="167" s="490" customFormat="1" x14ac:dyDescent="0.2"/>
    <row r="168" s="490" customFormat="1" x14ac:dyDescent="0.2"/>
    <row r="169" s="490" customFormat="1" x14ac:dyDescent="0.2"/>
    <row r="170" s="490" customFormat="1" x14ac:dyDescent="0.2"/>
    <row r="171" s="490" customFormat="1" x14ac:dyDescent="0.2"/>
    <row r="172" s="490" customFormat="1" x14ac:dyDescent="0.2"/>
    <row r="173" s="490" customFormat="1" x14ac:dyDescent="0.2"/>
    <row r="174" s="490" customFormat="1" x14ac:dyDescent="0.2"/>
    <row r="175" s="490" customFormat="1" x14ac:dyDescent="0.2"/>
    <row r="176" s="490" customFormat="1" x14ac:dyDescent="0.2"/>
    <row r="177" s="490" customFormat="1" x14ac:dyDescent="0.2"/>
    <row r="178" s="490" customFormat="1" x14ac:dyDescent="0.2"/>
    <row r="179" s="490" customFormat="1" x14ac:dyDescent="0.2"/>
    <row r="180" s="490" customFormat="1" x14ac:dyDescent="0.2"/>
    <row r="181" s="490" customFormat="1" x14ac:dyDescent="0.2"/>
    <row r="182" s="490" customFormat="1" x14ac:dyDescent="0.2"/>
    <row r="183" s="490" customFormat="1" x14ac:dyDescent="0.2"/>
    <row r="184" s="490" customFormat="1" x14ac:dyDescent="0.2"/>
    <row r="185" s="490" customFormat="1" x14ac:dyDescent="0.2"/>
    <row r="186" s="490" customFormat="1" x14ac:dyDescent="0.2"/>
    <row r="187" s="490" customFormat="1" x14ac:dyDescent="0.2"/>
    <row r="188" s="490" customFormat="1" x14ac:dyDescent="0.2"/>
    <row r="189" s="490" customFormat="1" x14ac:dyDescent="0.2"/>
    <row r="190" s="490" customFormat="1" x14ac:dyDescent="0.2"/>
    <row r="191" s="490" customFormat="1" x14ac:dyDescent="0.2"/>
    <row r="192" s="490" customFormat="1" x14ac:dyDescent="0.2"/>
    <row r="193" s="490" customFormat="1" x14ac:dyDescent="0.2"/>
    <row r="194" s="490" customFormat="1" x14ac:dyDescent="0.2"/>
    <row r="195" s="490" customFormat="1" x14ac:dyDescent="0.2"/>
    <row r="196" s="490" customFormat="1" x14ac:dyDescent="0.2"/>
    <row r="197" s="490" customFormat="1" x14ac:dyDescent="0.2"/>
    <row r="198" s="490" customFormat="1" x14ac:dyDescent="0.2"/>
    <row r="199" s="490" customFormat="1" x14ac:dyDescent="0.2"/>
    <row r="200" s="490" customFormat="1" x14ac:dyDescent="0.2"/>
    <row r="201" s="490" customFormat="1" x14ac:dyDescent="0.2"/>
    <row r="202" s="490" customFormat="1" x14ac:dyDescent="0.2"/>
    <row r="203" s="490" customFormat="1" x14ac:dyDescent="0.2"/>
    <row r="204" s="490" customFormat="1" x14ac:dyDescent="0.2"/>
    <row r="205" s="490" customFormat="1" x14ac:dyDescent="0.2"/>
    <row r="206" s="490" customFormat="1" x14ac:dyDescent="0.2"/>
    <row r="207" s="490" customFormat="1" x14ac:dyDescent="0.2"/>
    <row r="208" s="490" customFormat="1" x14ac:dyDescent="0.2"/>
    <row r="209" s="490" customFormat="1" x14ac:dyDescent="0.2"/>
    <row r="210" s="490" customFormat="1" x14ac:dyDescent="0.2"/>
    <row r="211" s="490" customFormat="1" x14ac:dyDescent="0.2"/>
    <row r="212" s="490" customFormat="1" x14ac:dyDescent="0.2"/>
    <row r="213" s="490" customFormat="1" x14ac:dyDescent="0.2"/>
    <row r="214" s="490" customFormat="1" x14ac:dyDescent="0.2"/>
    <row r="215" s="490" customFormat="1" x14ac:dyDescent="0.2"/>
    <row r="216" s="490" customFormat="1" x14ac:dyDescent="0.2"/>
    <row r="217" s="490" customFormat="1" x14ac:dyDescent="0.2"/>
    <row r="218" s="490" customFormat="1" x14ac:dyDescent="0.2"/>
    <row r="219" s="490" customFormat="1" x14ac:dyDescent="0.2"/>
    <row r="220" s="490" customFormat="1" x14ac:dyDescent="0.2"/>
    <row r="221" s="490" customFormat="1" x14ac:dyDescent="0.2"/>
    <row r="222" s="490" customFormat="1" x14ac:dyDescent="0.2"/>
    <row r="223" s="490" customFormat="1" x14ac:dyDescent="0.2"/>
    <row r="224" s="490" customFormat="1" x14ac:dyDescent="0.2"/>
    <row r="225" s="490" customFormat="1" x14ac:dyDescent="0.2"/>
    <row r="226" s="490" customFormat="1" x14ac:dyDescent="0.2"/>
    <row r="227" s="490" customFormat="1" x14ac:dyDescent="0.2"/>
    <row r="228" s="490" customFormat="1" x14ac:dyDescent="0.2"/>
    <row r="229" s="490" customFormat="1" x14ac:dyDescent="0.2"/>
    <row r="230" s="490" customFormat="1" x14ac:dyDescent="0.2"/>
    <row r="231" s="490" customFormat="1" x14ac:dyDescent="0.2"/>
    <row r="232" s="490" customFormat="1" x14ac:dyDescent="0.2"/>
    <row r="233" s="490" customFormat="1" x14ac:dyDescent="0.2"/>
    <row r="234" s="490" customFormat="1" x14ac:dyDescent="0.2"/>
    <row r="235" s="490" customFormat="1" x14ac:dyDescent="0.2"/>
    <row r="236" s="490" customFormat="1" x14ac:dyDescent="0.2"/>
    <row r="237" s="490" customFormat="1" x14ac:dyDescent="0.2"/>
    <row r="238" s="490" customFormat="1" x14ac:dyDescent="0.2"/>
    <row r="239" s="490" customFormat="1" x14ac:dyDescent="0.2"/>
    <row r="240" s="490" customFormat="1" x14ac:dyDescent="0.2"/>
    <row r="241" s="490" customFormat="1" x14ac:dyDescent="0.2"/>
    <row r="242" s="490" customFormat="1" x14ac:dyDescent="0.2"/>
    <row r="243" s="490" customFormat="1" x14ac:dyDescent="0.2"/>
    <row r="244" s="490" customFormat="1" x14ac:dyDescent="0.2"/>
    <row r="245" s="490" customFormat="1" x14ac:dyDescent="0.2"/>
    <row r="246" s="490" customFormat="1" x14ac:dyDescent="0.2"/>
    <row r="247" s="490" customFormat="1" x14ac:dyDescent="0.2"/>
    <row r="248" s="490" customFormat="1" x14ac:dyDescent="0.2"/>
    <row r="249" s="490" customFormat="1" x14ac:dyDescent="0.2"/>
    <row r="250" s="490" customFormat="1" x14ac:dyDescent="0.2"/>
    <row r="251" s="490" customFormat="1" x14ac:dyDescent="0.2"/>
    <row r="252" s="490" customFormat="1" x14ac:dyDescent="0.2"/>
    <row r="253" s="490" customFormat="1" x14ac:dyDescent="0.2"/>
    <row r="254" s="490" customFormat="1" x14ac:dyDescent="0.2"/>
    <row r="255" s="490" customFormat="1" x14ac:dyDescent="0.2"/>
    <row r="256" s="490" customFormat="1" x14ac:dyDescent="0.2"/>
    <row r="257" s="490" customFormat="1" x14ac:dyDescent="0.2"/>
    <row r="258" s="490" customFormat="1" x14ac:dyDescent="0.2"/>
    <row r="259" s="490" customFormat="1" x14ac:dyDescent="0.2"/>
    <row r="260" s="490" customFormat="1" x14ac:dyDescent="0.2"/>
    <row r="261" s="490" customFormat="1" x14ac:dyDescent="0.2"/>
    <row r="262" s="490" customFormat="1" x14ac:dyDescent="0.2"/>
    <row r="263" s="490" customFormat="1" x14ac:dyDescent="0.2"/>
    <row r="264" s="490" customFormat="1" x14ac:dyDescent="0.2"/>
    <row r="265" s="490" customFormat="1" x14ac:dyDescent="0.2"/>
    <row r="266" s="490" customFormat="1" x14ac:dyDescent="0.2"/>
    <row r="267" s="490" customFormat="1" x14ac:dyDescent="0.2"/>
    <row r="268" s="490" customFormat="1" x14ac:dyDescent="0.2"/>
    <row r="269" s="490" customFormat="1" x14ac:dyDescent="0.2"/>
    <row r="270" s="490" customFormat="1" x14ac:dyDescent="0.2"/>
    <row r="271" s="490" customFormat="1" x14ac:dyDescent="0.2"/>
    <row r="272" s="490" customFormat="1" x14ac:dyDescent="0.2"/>
    <row r="273" s="490" customFormat="1" x14ac:dyDescent="0.2"/>
    <row r="274" s="490" customFormat="1" x14ac:dyDescent="0.2"/>
    <row r="275" s="490" customFormat="1" x14ac:dyDescent="0.2"/>
    <row r="276" s="490" customFormat="1" x14ac:dyDescent="0.2"/>
    <row r="277" s="490" customFormat="1" x14ac:dyDescent="0.2"/>
    <row r="278" s="490" customFormat="1" x14ac:dyDescent="0.2"/>
    <row r="279" s="490" customFormat="1" x14ac:dyDescent="0.2"/>
    <row r="280" s="490" customFormat="1" x14ac:dyDescent="0.2"/>
    <row r="281" s="490" customFormat="1" x14ac:dyDescent="0.2"/>
    <row r="282" s="490" customFormat="1" x14ac:dyDescent="0.2"/>
    <row r="283" s="490" customFormat="1" x14ac:dyDescent="0.2"/>
    <row r="284" s="490" customFormat="1" x14ac:dyDescent="0.2"/>
    <row r="285" s="490" customFormat="1" x14ac:dyDescent="0.2"/>
    <row r="286" s="490" customFormat="1" x14ac:dyDescent="0.2"/>
    <row r="287" s="490" customFormat="1" x14ac:dyDescent="0.2"/>
    <row r="288" s="490" customFormat="1" x14ac:dyDescent="0.2"/>
    <row r="289" s="490" customFormat="1" x14ac:dyDescent="0.2"/>
    <row r="290" s="490" customFormat="1" x14ac:dyDescent="0.2"/>
    <row r="291" s="490" customFormat="1" x14ac:dyDescent="0.2"/>
    <row r="292" s="490" customFormat="1" x14ac:dyDescent="0.2"/>
    <row r="293" s="490" customFormat="1" x14ac:dyDescent="0.2"/>
    <row r="294" s="490" customFormat="1" x14ac:dyDescent="0.2"/>
    <row r="295" s="490" customFormat="1" x14ac:dyDescent="0.2"/>
    <row r="296" s="490" customFormat="1" x14ac:dyDescent="0.2"/>
    <row r="297" s="490" customFormat="1" x14ac:dyDescent="0.2"/>
    <row r="298" s="490" customFormat="1" x14ac:dyDescent="0.2"/>
    <row r="299" s="490" customFormat="1" x14ac:dyDescent="0.2"/>
    <row r="300" s="490" customFormat="1" x14ac:dyDescent="0.2"/>
    <row r="301" s="490" customFormat="1" x14ac:dyDescent="0.2"/>
    <row r="302" s="490" customFormat="1" x14ac:dyDescent="0.2"/>
    <row r="303" s="490" customFormat="1" x14ac:dyDescent="0.2"/>
    <row r="304" s="490" customFormat="1" x14ac:dyDescent="0.2"/>
    <row r="305" s="490" customFormat="1" x14ac:dyDescent="0.2"/>
    <row r="306" s="490" customFormat="1" x14ac:dyDescent="0.2"/>
    <row r="307" s="490" customFormat="1" x14ac:dyDescent="0.2"/>
    <row r="308" s="490" customFormat="1" x14ac:dyDescent="0.2"/>
    <row r="309" s="490" customFormat="1" x14ac:dyDescent="0.2"/>
    <row r="310" s="490" customFormat="1" x14ac:dyDescent="0.2"/>
    <row r="311" s="490" customFormat="1" x14ac:dyDescent="0.2"/>
    <row r="312" s="490" customFormat="1" x14ac:dyDescent="0.2"/>
    <row r="313" s="490" customFormat="1" x14ac:dyDescent="0.2"/>
    <row r="314" s="490" customFormat="1" x14ac:dyDescent="0.2"/>
    <row r="315" s="490" customFormat="1" x14ac:dyDescent="0.2"/>
    <row r="316" s="490" customFormat="1" x14ac:dyDescent="0.2"/>
    <row r="317" s="490" customFormat="1" x14ac:dyDescent="0.2"/>
    <row r="318" s="490" customFormat="1" x14ac:dyDescent="0.2"/>
    <row r="319" s="490" customFormat="1" x14ac:dyDescent="0.2"/>
    <row r="320" s="490" customFormat="1" x14ac:dyDescent="0.2"/>
    <row r="321" s="490" customFormat="1" x14ac:dyDescent="0.2"/>
    <row r="322" s="490" customFormat="1" x14ac:dyDescent="0.2"/>
    <row r="323" s="490" customFormat="1" x14ac:dyDescent="0.2"/>
    <row r="324" s="490" customFormat="1" x14ac:dyDescent="0.2"/>
    <row r="325" s="490" customFormat="1" x14ac:dyDescent="0.2"/>
    <row r="326" s="490" customFormat="1" x14ac:dyDescent="0.2"/>
    <row r="327" s="490" customFormat="1" x14ac:dyDescent="0.2"/>
    <row r="328" s="490" customFormat="1" x14ac:dyDescent="0.2"/>
    <row r="329" s="490" customFormat="1" x14ac:dyDescent="0.2"/>
    <row r="330" s="490" customFormat="1" x14ac:dyDescent="0.2"/>
    <row r="331" s="490" customFormat="1" x14ac:dyDescent="0.2"/>
    <row r="332" s="490" customFormat="1" x14ac:dyDescent="0.2"/>
    <row r="333" s="490" customFormat="1" x14ac:dyDescent="0.2"/>
    <row r="334" s="490" customFormat="1" x14ac:dyDescent="0.2"/>
    <row r="335" s="490" customFormat="1" x14ac:dyDescent="0.2"/>
    <row r="336" s="490" customFormat="1" x14ac:dyDescent="0.2"/>
    <row r="337" s="490" customFormat="1" x14ac:dyDescent="0.2"/>
    <row r="338" s="490" customFormat="1" x14ac:dyDescent="0.2"/>
    <row r="339" s="490" customFormat="1" x14ac:dyDescent="0.2"/>
    <row r="340" s="490" customFormat="1" x14ac:dyDescent="0.2"/>
    <row r="341" s="490" customFormat="1" x14ac:dyDescent="0.2"/>
    <row r="342" s="490" customFormat="1" x14ac:dyDescent="0.2"/>
    <row r="343" s="490" customFormat="1" x14ac:dyDescent="0.2"/>
    <row r="344" s="490" customFormat="1" x14ac:dyDescent="0.2"/>
    <row r="345" s="490" customFormat="1" x14ac:dyDescent="0.2"/>
    <row r="346" s="490" customFormat="1" x14ac:dyDescent="0.2"/>
    <row r="347" s="490" customFormat="1" x14ac:dyDescent="0.2"/>
    <row r="348" s="490" customFormat="1" x14ac:dyDescent="0.2"/>
    <row r="349" s="490" customFormat="1" x14ac:dyDescent="0.2"/>
    <row r="350" s="490" customFormat="1" x14ac:dyDescent="0.2"/>
    <row r="351" s="490" customFormat="1" x14ac:dyDescent="0.2"/>
    <row r="352" s="490" customFormat="1" x14ac:dyDescent="0.2"/>
    <row r="353" s="490" customFormat="1" x14ac:dyDescent="0.2"/>
    <row r="354" s="490" customFormat="1" x14ac:dyDescent="0.2"/>
    <row r="355" s="490" customFormat="1" x14ac:dyDescent="0.2"/>
    <row r="356" s="490" customFormat="1" x14ac:dyDescent="0.2"/>
    <row r="357" s="490" customFormat="1" x14ac:dyDescent="0.2"/>
    <row r="358" s="490" customFormat="1" x14ac:dyDescent="0.2"/>
    <row r="359" s="490" customFormat="1" x14ac:dyDescent="0.2"/>
    <row r="360" s="490" customFormat="1" x14ac:dyDescent="0.2"/>
    <row r="361" s="490" customFormat="1" x14ac:dyDescent="0.2"/>
    <row r="362" s="490" customFormat="1" x14ac:dyDescent="0.2"/>
    <row r="363" s="490" customFormat="1" x14ac:dyDescent="0.2"/>
    <row r="364" s="490" customFormat="1" x14ac:dyDescent="0.2"/>
    <row r="365" s="490" customFormat="1" x14ac:dyDescent="0.2"/>
    <row r="366" s="490" customFormat="1" x14ac:dyDescent="0.2"/>
    <row r="367" s="490" customFormat="1" x14ac:dyDescent="0.2"/>
    <row r="368" s="490" customFormat="1" x14ac:dyDescent="0.2"/>
    <row r="369" s="490" customFormat="1" x14ac:dyDescent="0.2"/>
    <row r="370" s="490" customFormat="1" x14ac:dyDescent="0.2"/>
    <row r="371" s="490" customFormat="1" x14ac:dyDescent="0.2"/>
    <row r="372" s="490" customFormat="1" x14ac:dyDescent="0.2"/>
    <row r="373" s="490" customFormat="1" x14ac:dyDescent="0.2"/>
    <row r="374" s="490" customFormat="1" x14ac:dyDescent="0.2"/>
    <row r="375" s="490" customFormat="1" x14ac:dyDescent="0.2"/>
    <row r="376" s="490" customFormat="1" x14ac:dyDescent="0.2"/>
    <row r="377" s="490" customFormat="1" x14ac:dyDescent="0.2"/>
    <row r="378" s="490" customFormat="1" x14ac:dyDescent="0.2"/>
    <row r="379" s="490" customFormat="1" x14ac:dyDescent="0.2"/>
    <row r="380" s="490" customFormat="1" x14ac:dyDescent="0.2"/>
    <row r="381" s="490" customFormat="1" x14ac:dyDescent="0.2"/>
    <row r="382" s="490" customFormat="1" x14ac:dyDescent="0.2"/>
    <row r="383" s="490" customFormat="1" x14ac:dyDescent="0.2"/>
    <row r="384" s="490" customFormat="1" x14ac:dyDescent="0.2"/>
    <row r="385" s="490" customFormat="1" x14ac:dyDescent="0.2"/>
    <row r="386" s="490" customFormat="1" x14ac:dyDescent="0.2"/>
    <row r="387" s="490" customFormat="1" x14ac:dyDescent="0.2"/>
    <row r="388" s="490" customFormat="1" x14ac:dyDescent="0.2"/>
    <row r="389" s="490" customFormat="1" x14ac:dyDescent="0.2"/>
    <row r="390" s="490" customFormat="1" x14ac:dyDescent="0.2"/>
    <row r="391" s="490" customFormat="1" x14ac:dyDescent="0.2"/>
    <row r="392" s="490" customFormat="1" x14ac:dyDescent="0.2"/>
    <row r="393" s="490" customFormat="1" x14ac:dyDescent="0.2"/>
    <row r="394" s="490" customFormat="1" x14ac:dyDescent="0.2"/>
    <row r="395" s="490" customFormat="1" x14ac:dyDescent="0.2"/>
    <row r="396" s="490" customFormat="1" x14ac:dyDescent="0.2"/>
    <row r="397" s="490" customFormat="1" x14ac:dyDescent="0.2"/>
    <row r="398" s="490" customFormat="1" x14ac:dyDescent="0.2"/>
    <row r="399" s="490" customFormat="1" x14ac:dyDescent="0.2"/>
    <row r="400" s="490" customFormat="1" x14ac:dyDescent="0.2"/>
    <row r="401" s="490" customFormat="1" x14ac:dyDescent="0.2"/>
    <row r="402" s="490" customFormat="1" x14ac:dyDescent="0.2"/>
    <row r="403" s="490" customFormat="1" x14ac:dyDescent="0.2"/>
    <row r="404" s="490" customFormat="1" x14ac:dyDescent="0.2"/>
    <row r="405" s="490" customFormat="1" x14ac:dyDescent="0.2"/>
    <row r="406" s="490" customFormat="1" x14ac:dyDescent="0.2"/>
    <row r="407" s="490" customFormat="1" x14ac:dyDescent="0.2"/>
    <row r="408" s="490" customFormat="1" x14ac:dyDescent="0.2"/>
    <row r="409" s="490" customFormat="1" x14ac:dyDescent="0.2"/>
    <row r="410" s="490" customFormat="1" x14ac:dyDescent="0.2"/>
    <row r="411" s="490" customFormat="1" x14ac:dyDescent="0.2"/>
    <row r="412" s="490" customFormat="1" x14ac:dyDescent="0.2"/>
    <row r="413" s="490" customFormat="1" x14ac:dyDescent="0.2"/>
    <row r="414" s="490" customFormat="1" x14ac:dyDescent="0.2"/>
    <row r="415" s="490" customFormat="1" x14ac:dyDescent="0.2"/>
    <row r="416" s="490" customFormat="1" x14ac:dyDescent="0.2"/>
    <row r="417" s="490" customFormat="1" x14ac:dyDescent="0.2"/>
    <row r="418" s="490" customFormat="1" x14ac:dyDescent="0.2"/>
    <row r="419" s="490" customFormat="1" x14ac:dyDescent="0.2"/>
    <row r="420" s="490" customFormat="1" x14ac:dyDescent="0.2"/>
    <row r="421" s="490" customFormat="1" x14ac:dyDescent="0.2"/>
    <row r="422" s="490" customFormat="1" x14ac:dyDescent="0.2"/>
    <row r="423" s="490" customFormat="1" x14ac:dyDescent="0.2"/>
    <row r="424" s="490" customFormat="1" x14ac:dyDescent="0.2"/>
    <row r="425" s="490" customFormat="1" x14ac:dyDescent="0.2"/>
    <row r="426" s="490" customFormat="1" x14ac:dyDescent="0.2"/>
    <row r="427" s="490" customFormat="1" x14ac:dyDescent="0.2"/>
    <row r="428" s="490" customFormat="1" x14ac:dyDescent="0.2"/>
    <row r="429" s="490" customFormat="1" x14ac:dyDescent="0.2"/>
    <row r="430" s="490" customFormat="1" x14ac:dyDescent="0.2"/>
    <row r="431" s="490" customFormat="1" x14ac:dyDescent="0.2"/>
    <row r="432" s="490" customFormat="1" x14ac:dyDescent="0.2"/>
    <row r="433" s="490" customFormat="1" x14ac:dyDescent="0.2"/>
    <row r="434" s="490" customFormat="1" x14ac:dyDescent="0.2"/>
    <row r="435" s="490" customFormat="1" x14ac:dyDescent="0.2"/>
    <row r="436" s="490" customFormat="1" x14ac:dyDescent="0.2"/>
    <row r="437" s="490" customFormat="1" x14ac:dyDescent="0.2"/>
    <row r="438" s="490" customFormat="1" x14ac:dyDescent="0.2"/>
    <row r="439" s="490" customFormat="1" x14ac:dyDescent="0.2"/>
    <row r="440" s="490" customFormat="1" x14ac:dyDescent="0.2"/>
    <row r="441" s="490" customFormat="1" x14ac:dyDescent="0.2"/>
    <row r="442" s="490" customFormat="1" x14ac:dyDescent="0.2"/>
    <row r="443" s="490" customFormat="1" x14ac:dyDescent="0.2"/>
    <row r="444" s="490" customFormat="1" x14ac:dyDescent="0.2"/>
    <row r="445" s="490" customFormat="1" x14ac:dyDescent="0.2"/>
    <row r="446" s="490" customFormat="1" x14ac:dyDescent="0.2"/>
    <row r="447" s="490" customFormat="1" x14ac:dyDescent="0.2"/>
    <row r="448" s="490" customFormat="1" x14ac:dyDescent="0.2"/>
    <row r="449" s="490" customFormat="1" x14ac:dyDescent="0.2"/>
    <row r="450" s="490" customFormat="1" x14ac:dyDescent="0.2"/>
    <row r="451" s="490" customFormat="1" x14ac:dyDescent="0.2"/>
    <row r="452" s="490" customFormat="1" x14ac:dyDescent="0.2"/>
    <row r="453" s="490" customFormat="1" x14ac:dyDescent="0.2"/>
    <row r="454" s="490" customFormat="1" x14ac:dyDescent="0.2"/>
    <row r="455" s="490" customFormat="1" x14ac:dyDescent="0.2"/>
    <row r="456" s="490" customFormat="1" x14ac:dyDescent="0.2"/>
    <row r="457" s="490" customFormat="1" x14ac:dyDescent="0.2"/>
    <row r="458" s="490" customFormat="1" x14ac:dyDescent="0.2"/>
    <row r="459" s="490" customFormat="1" x14ac:dyDescent="0.2"/>
    <row r="460" s="490" customFormat="1" x14ac:dyDescent="0.2"/>
    <row r="461" s="490" customFormat="1" x14ac:dyDescent="0.2"/>
    <row r="462" s="490" customFormat="1" x14ac:dyDescent="0.2"/>
    <row r="463" s="490" customFormat="1" x14ac:dyDescent="0.2"/>
    <row r="464" s="490" customFormat="1" x14ac:dyDescent="0.2"/>
    <row r="465" s="490" customFormat="1" x14ac:dyDescent="0.2"/>
    <row r="466" s="490" customFormat="1" x14ac:dyDescent="0.2"/>
    <row r="467" s="490" customFormat="1" x14ac:dyDescent="0.2"/>
    <row r="468" s="490" customFormat="1" x14ac:dyDescent="0.2"/>
    <row r="469" s="490" customFormat="1" x14ac:dyDescent="0.2"/>
    <row r="470" s="490" customFormat="1" x14ac:dyDescent="0.2"/>
    <row r="471" s="490" customFormat="1" x14ac:dyDescent="0.2"/>
    <row r="472" s="490" customFormat="1" x14ac:dyDescent="0.2"/>
    <row r="473" s="490" customFormat="1" x14ac:dyDescent="0.2"/>
    <row r="474" s="490" customFormat="1" x14ac:dyDescent="0.2"/>
    <row r="475" s="490" customFormat="1" x14ac:dyDescent="0.2"/>
    <row r="476" s="490" customFormat="1" x14ac:dyDescent="0.2"/>
    <row r="477" s="490" customFormat="1" x14ac:dyDescent="0.2"/>
    <row r="478" s="490" customFormat="1" x14ac:dyDescent="0.2"/>
    <row r="479" s="490" customFormat="1" x14ac:dyDescent="0.2"/>
    <row r="480" s="490" customFormat="1" x14ac:dyDescent="0.2"/>
    <row r="481" s="490" customFormat="1" x14ac:dyDescent="0.2"/>
    <row r="482" s="490" customFormat="1" x14ac:dyDescent="0.2"/>
    <row r="483" s="490" customFormat="1" x14ac:dyDescent="0.2"/>
    <row r="484" s="490" customFormat="1" x14ac:dyDescent="0.2"/>
    <row r="485" s="490" customFormat="1" x14ac:dyDescent="0.2"/>
    <row r="486" s="490" customFormat="1" x14ac:dyDescent="0.2"/>
    <row r="487" s="490" customFormat="1" x14ac:dyDescent="0.2"/>
    <row r="488" s="490" customFormat="1" x14ac:dyDescent="0.2"/>
    <row r="489" s="490" customFormat="1" x14ac:dyDescent="0.2"/>
    <row r="490" s="490" customFormat="1" x14ac:dyDescent="0.2"/>
    <row r="491" s="490" customFormat="1" x14ac:dyDescent="0.2"/>
    <row r="492" s="490" customFormat="1" x14ac:dyDescent="0.2"/>
    <row r="493" s="490" customFormat="1" x14ac:dyDescent="0.2"/>
    <row r="494" s="490" customFormat="1" x14ac:dyDescent="0.2"/>
    <row r="495" s="490" customFormat="1" x14ac:dyDescent="0.2"/>
    <row r="496" s="490" customFormat="1" x14ac:dyDescent="0.2"/>
    <row r="497" s="490" customFormat="1" x14ac:dyDescent="0.2"/>
    <row r="498" s="490" customFormat="1" x14ac:dyDescent="0.2"/>
    <row r="499" s="490" customFormat="1" x14ac:dyDescent="0.2"/>
    <row r="500" s="490" customFormat="1" x14ac:dyDescent="0.2"/>
    <row r="501" s="490" customFormat="1" x14ac:dyDescent="0.2"/>
    <row r="502" s="490" customFormat="1" x14ac:dyDescent="0.2"/>
    <row r="503" s="490" customFormat="1" x14ac:dyDescent="0.2"/>
    <row r="504" s="490" customFormat="1" x14ac:dyDescent="0.2"/>
    <row r="505" s="490" customFormat="1" x14ac:dyDescent="0.2"/>
    <row r="506" s="490" customFormat="1" x14ac:dyDescent="0.2"/>
    <row r="507" s="490" customFormat="1" x14ac:dyDescent="0.2"/>
    <row r="508" s="490" customFormat="1" x14ac:dyDescent="0.2"/>
    <row r="509" s="490" customFormat="1" x14ac:dyDescent="0.2"/>
    <row r="510" s="490" customFormat="1" x14ac:dyDescent="0.2"/>
    <row r="511" s="490" customFormat="1" x14ac:dyDescent="0.2"/>
    <row r="512" s="490" customFormat="1" x14ac:dyDescent="0.2"/>
    <row r="513" s="490" customFormat="1" x14ac:dyDescent="0.2"/>
    <row r="514" s="490" customFormat="1" x14ac:dyDescent="0.2"/>
    <row r="515" s="490" customFormat="1" x14ac:dyDescent="0.2"/>
    <row r="516" s="490" customFormat="1" x14ac:dyDescent="0.2"/>
    <row r="517" s="490" customFormat="1" x14ac:dyDescent="0.2"/>
    <row r="518" s="490" customFormat="1" x14ac:dyDescent="0.2"/>
    <row r="519" s="490" customFormat="1" x14ac:dyDescent="0.2"/>
    <row r="520" s="490" customFormat="1" x14ac:dyDescent="0.2"/>
    <row r="521" s="490" customFormat="1" x14ac:dyDescent="0.2"/>
    <row r="522" s="490" customFormat="1" x14ac:dyDescent="0.2"/>
    <row r="523" s="490" customFormat="1" x14ac:dyDescent="0.2"/>
    <row r="524" s="490" customFormat="1" x14ac:dyDescent="0.2"/>
    <row r="525" s="490" customFormat="1" x14ac:dyDescent="0.2"/>
    <row r="526" s="490" customFormat="1" x14ac:dyDescent="0.2"/>
    <row r="527" s="490" customFormat="1" x14ac:dyDescent="0.2"/>
    <row r="528" s="490" customFormat="1" x14ac:dyDescent="0.2"/>
    <row r="529" s="490" customFormat="1" x14ac:dyDescent="0.2"/>
    <row r="530" s="490" customFormat="1" x14ac:dyDescent="0.2"/>
    <row r="531" s="490" customFormat="1" x14ac:dyDescent="0.2"/>
    <row r="532" s="490" customFormat="1" x14ac:dyDescent="0.2"/>
    <row r="533" s="490" customFormat="1" x14ac:dyDescent="0.2"/>
    <row r="534" s="490" customFormat="1" x14ac:dyDescent="0.2"/>
    <row r="535" s="490" customFormat="1" x14ac:dyDescent="0.2"/>
    <row r="536" s="490" customFormat="1" x14ac:dyDescent="0.2"/>
    <row r="537" s="490" customFormat="1" x14ac:dyDescent="0.2"/>
    <row r="538" s="490" customFormat="1" x14ac:dyDescent="0.2"/>
    <row r="539" s="490" customFormat="1" x14ac:dyDescent="0.2"/>
    <row r="540" s="490" customFormat="1" x14ac:dyDescent="0.2"/>
    <row r="541" s="490" customFormat="1" x14ac:dyDescent="0.2"/>
    <row r="542" s="490" customFormat="1" x14ac:dyDescent="0.2"/>
    <row r="543" s="490" customFormat="1" x14ac:dyDescent="0.2"/>
    <row r="544" s="490" customFormat="1" x14ac:dyDescent="0.2"/>
    <row r="545" s="490" customFormat="1" x14ac:dyDescent="0.2"/>
    <row r="546" s="490" customFormat="1" x14ac:dyDescent="0.2"/>
    <row r="547" s="490" customFormat="1" x14ac:dyDescent="0.2"/>
    <row r="548" s="490" customFormat="1" x14ac:dyDescent="0.2"/>
    <row r="549" s="490" customFormat="1" x14ac:dyDescent="0.2"/>
    <row r="550" s="490" customFormat="1" x14ac:dyDescent="0.2"/>
    <row r="551" s="490" customFormat="1" x14ac:dyDescent="0.2"/>
    <row r="552" s="490" customFormat="1" x14ac:dyDescent="0.2"/>
    <row r="553" s="490" customFormat="1" x14ac:dyDescent="0.2"/>
    <row r="554" s="490" customFormat="1" x14ac:dyDescent="0.2"/>
    <row r="555" s="490" customFormat="1" x14ac:dyDescent="0.2"/>
    <row r="556" s="490" customFormat="1" x14ac:dyDescent="0.2"/>
    <row r="557" s="490" customFormat="1" x14ac:dyDescent="0.2"/>
    <row r="558" s="490" customFormat="1" x14ac:dyDescent="0.2"/>
    <row r="559" s="490" customFormat="1" x14ac:dyDescent="0.2"/>
    <row r="560" s="490" customFormat="1" x14ac:dyDescent="0.2"/>
    <row r="561" s="490" customFormat="1" x14ac:dyDescent="0.2"/>
    <row r="562" s="490" customFormat="1" x14ac:dyDescent="0.2"/>
    <row r="563" s="490" customFormat="1" x14ac:dyDescent="0.2"/>
    <row r="564" s="490" customFormat="1" x14ac:dyDescent="0.2"/>
    <row r="565" s="490" customFormat="1" x14ac:dyDescent="0.2"/>
    <row r="566" s="490" customFormat="1" x14ac:dyDescent="0.2"/>
    <row r="567" s="490" customFormat="1" x14ac:dyDescent="0.2"/>
    <row r="568" s="490" customFormat="1" x14ac:dyDescent="0.2"/>
    <row r="569" s="490" customFormat="1" x14ac:dyDescent="0.2"/>
    <row r="570" s="490" customFormat="1" x14ac:dyDescent="0.2"/>
    <row r="571" s="490" customFormat="1" x14ac:dyDescent="0.2"/>
    <row r="572" s="490" customFormat="1" x14ac:dyDescent="0.2"/>
    <row r="573" s="490" customFormat="1" x14ac:dyDescent="0.2"/>
    <row r="574" s="490" customFormat="1" x14ac:dyDescent="0.2"/>
    <row r="575" s="490" customFormat="1" x14ac:dyDescent="0.2"/>
    <row r="576" s="490" customFormat="1" x14ac:dyDescent="0.2"/>
    <row r="577" s="490" customFormat="1" x14ac:dyDescent="0.2"/>
    <row r="578" s="490" customFormat="1" x14ac:dyDescent="0.2"/>
    <row r="579" s="490" customFormat="1" x14ac:dyDescent="0.2"/>
    <row r="580" s="490" customFormat="1" x14ac:dyDescent="0.2"/>
    <row r="581" s="490" customFormat="1" x14ac:dyDescent="0.2"/>
    <row r="582" s="490" customFormat="1" x14ac:dyDescent="0.2"/>
    <row r="583" s="490" customFormat="1" x14ac:dyDescent="0.2"/>
    <row r="584" s="490" customFormat="1" x14ac:dyDescent="0.2"/>
    <row r="585" s="490" customFormat="1" x14ac:dyDescent="0.2"/>
    <row r="586" s="490" customFormat="1" x14ac:dyDescent="0.2"/>
    <row r="587" s="490" customFormat="1" x14ac:dyDescent="0.2"/>
    <row r="588" s="490" customFormat="1" x14ac:dyDescent="0.2"/>
    <row r="589" s="490" customFormat="1" x14ac:dyDescent="0.2"/>
    <row r="590" s="490" customFormat="1" x14ac:dyDescent="0.2"/>
    <row r="591" s="490" customFormat="1" x14ac:dyDescent="0.2"/>
    <row r="592" s="490" customFormat="1" x14ac:dyDescent="0.2"/>
    <row r="593" s="490" customFormat="1" x14ac:dyDescent="0.2"/>
    <row r="594" s="490" customFormat="1" x14ac:dyDescent="0.2"/>
    <row r="595" s="490" customFormat="1" x14ac:dyDescent="0.2"/>
    <row r="596" s="490" customFormat="1" x14ac:dyDescent="0.2"/>
    <row r="597" s="490" customFormat="1" x14ac:dyDescent="0.2"/>
    <row r="598" s="490" customFormat="1" x14ac:dyDescent="0.2"/>
    <row r="599" s="490" customFormat="1" x14ac:dyDescent="0.2"/>
    <row r="600" s="490" customFormat="1" x14ac:dyDescent="0.2"/>
    <row r="601" s="490" customFormat="1" x14ac:dyDescent="0.2"/>
    <row r="602" s="490" customFormat="1" x14ac:dyDescent="0.2"/>
    <row r="603" s="490" customFormat="1" x14ac:dyDescent="0.2"/>
    <row r="604" s="490" customFormat="1" x14ac:dyDescent="0.2"/>
    <row r="605" s="490" customFormat="1" x14ac:dyDescent="0.2"/>
    <row r="606" s="490" customFormat="1" x14ac:dyDescent="0.2"/>
    <row r="607" s="490" customFormat="1" x14ac:dyDescent="0.2"/>
    <row r="608" s="490" customFormat="1" x14ac:dyDescent="0.2"/>
    <row r="609" s="490" customFormat="1" x14ac:dyDescent="0.2"/>
    <row r="610" s="490" customFormat="1" x14ac:dyDescent="0.2"/>
    <row r="611" s="490" customFormat="1" x14ac:dyDescent="0.2"/>
    <row r="612" s="490" customFormat="1" x14ac:dyDescent="0.2"/>
    <row r="613" s="490" customFormat="1" x14ac:dyDescent="0.2"/>
    <row r="614" s="490" customFormat="1" x14ac:dyDescent="0.2"/>
    <row r="615" s="490" customFormat="1" x14ac:dyDescent="0.2"/>
    <row r="616" s="490" customFormat="1" x14ac:dyDescent="0.2"/>
    <row r="617" s="490" customFormat="1" x14ac:dyDescent="0.2"/>
    <row r="618" s="490" customFormat="1" x14ac:dyDescent="0.2"/>
    <row r="619" s="490" customFormat="1" x14ac:dyDescent="0.2"/>
    <row r="620" s="490" customFormat="1" x14ac:dyDescent="0.2"/>
    <row r="621" s="490" customFormat="1" x14ac:dyDescent="0.2"/>
    <row r="622" s="490" customFormat="1" x14ac:dyDescent="0.2"/>
    <row r="623" s="490" customFormat="1" x14ac:dyDescent="0.2"/>
    <row r="624" s="490" customFormat="1" x14ac:dyDescent="0.2"/>
    <row r="625" s="490" customFormat="1" x14ac:dyDescent="0.2"/>
    <row r="626" s="490" customFormat="1" x14ac:dyDescent="0.2"/>
    <row r="627" s="490" customFormat="1" x14ac:dyDescent="0.2"/>
    <row r="628" s="490" customFormat="1" x14ac:dyDescent="0.2"/>
    <row r="629" s="490" customFormat="1" x14ac:dyDescent="0.2"/>
    <row r="630" s="490" customFormat="1" x14ac:dyDescent="0.2"/>
    <row r="631" s="490" customFormat="1" x14ac:dyDescent="0.2"/>
    <row r="632" s="490" customFormat="1" x14ac:dyDescent="0.2"/>
    <row r="633" s="490" customFormat="1" x14ac:dyDescent="0.2"/>
    <row r="634" s="490" customFormat="1" x14ac:dyDescent="0.2"/>
    <row r="635" s="490" customFormat="1" x14ac:dyDescent="0.2"/>
    <row r="636" s="490" customFormat="1" x14ac:dyDescent="0.2"/>
    <row r="637" s="490" customFormat="1" x14ac:dyDescent="0.2"/>
    <row r="638" s="490" customFormat="1" x14ac:dyDescent="0.2"/>
    <row r="639" s="490" customFormat="1" x14ac:dyDescent="0.2"/>
    <row r="640" s="490" customFormat="1" x14ac:dyDescent="0.2"/>
    <row r="641" s="490" customFormat="1" x14ac:dyDescent="0.2"/>
    <row r="642" s="490" customFormat="1" x14ac:dyDescent="0.2"/>
    <row r="643" s="490" customFormat="1" x14ac:dyDescent="0.2"/>
    <row r="644" s="490" customFormat="1" x14ac:dyDescent="0.2"/>
    <row r="645" s="490" customFormat="1" x14ac:dyDescent="0.2"/>
    <row r="646" s="490" customFormat="1" x14ac:dyDescent="0.2"/>
    <row r="647" s="490" customFormat="1" x14ac:dyDescent="0.2"/>
    <row r="648" s="490" customFormat="1" x14ac:dyDescent="0.2"/>
    <row r="649" s="490" customFormat="1" x14ac:dyDescent="0.2"/>
    <row r="650" s="490" customFormat="1" x14ac:dyDescent="0.2"/>
    <row r="651" s="490" customFormat="1" x14ac:dyDescent="0.2"/>
    <row r="652" s="490" customFormat="1" x14ac:dyDescent="0.2"/>
    <row r="653" s="490" customFormat="1" x14ac:dyDescent="0.2"/>
    <row r="654" s="490" customFormat="1" x14ac:dyDescent="0.2"/>
    <row r="655" s="490" customFormat="1" x14ac:dyDescent="0.2"/>
    <row r="656" s="490" customFormat="1" x14ac:dyDescent="0.2"/>
    <row r="657" s="490" customFormat="1" x14ac:dyDescent="0.2"/>
    <row r="658" s="490" customFormat="1" x14ac:dyDescent="0.2"/>
    <row r="659" s="490" customFormat="1" x14ac:dyDescent="0.2"/>
    <row r="660" s="490" customFormat="1" x14ac:dyDescent="0.2"/>
    <row r="661" s="490" customFormat="1" x14ac:dyDescent="0.2"/>
    <row r="662" s="490" customFormat="1" x14ac:dyDescent="0.2"/>
    <row r="663" s="490" customFormat="1" x14ac:dyDescent="0.2"/>
    <row r="664" s="490" customFormat="1" x14ac:dyDescent="0.2"/>
    <row r="665" s="490" customFormat="1" x14ac:dyDescent="0.2"/>
    <row r="666" s="490" customFormat="1" x14ac:dyDescent="0.2"/>
    <row r="667" s="490" customFormat="1" x14ac:dyDescent="0.2"/>
    <row r="668" s="490" customFormat="1" x14ac:dyDescent="0.2"/>
    <row r="669" s="490" customFormat="1" x14ac:dyDescent="0.2"/>
    <row r="670" s="490" customFormat="1" x14ac:dyDescent="0.2"/>
    <row r="671" s="490" customFormat="1" x14ac:dyDescent="0.2"/>
    <row r="672" s="490" customFormat="1" x14ac:dyDescent="0.2"/>
    <row r="673" s="490" customFormat="1" x14ac:dyDescent="0.2"/>
    <row r="674" s="490" customFormat="1" x14ac:dyDescent="0.2"/>
    <row r="675" s="490" customFormat="1" x14ac:dyDescent="0.2"/>
    <row r="676" s="490" customFormat="1" x14ac:dyDescent="0.2"/>
    <row r="677" s="490" customFormat="1" x14ac:dyDescent="0.2"/>
    <row r="678" s="490" customFormat="1" x14ac:dyDescent="0.2"/>
    <row r="679" s="490" customFormat="1" x14ac:dyDescent="0.2"/>
    <row r="680" s="490" customFormat="1" x14ac:dyDescent="0.2"/>
    <row r="681" s="490" customFormat="1" x14ac:dyDescent="0.2"/>
    <row r="682" s="490" customFormat="1" x14ac:dyDescent="0.2"/>
    <row r="683" s="490" customFormat="1" x14ac:dyDescent="0.2"/>
    <row r="684" s="490" customFormat="1" x14ac:dyDescent="0.2"/>
    <row r="685" s="490" customFormat="1" x14ac:dyDescent="0.2"/>
    <row r="686" s="490" customFormat="1" x14ac:dyDescent="0.2"/>
    <row r="687" s="490" customFormat="1" x14ac:dyDescent="0.2"/>
    <row r="688" s="490" customFormat="1" x14ac:dyDescent="0.2"/>
    <row r="689" s="490" customFormat="1" x14ac:dyDescent="0.2"/>
    <row r="690" s="490" customFormat="1" x14ac:dyDescent="0.2"/>
    <row r="691" s="490" customFormat="1" x14ac:dyDescent="0.2"/>
    <row r="692" s="490" customFormat="1" x14ac:dyDescent="0.2"/>
    <row r="693" s="490" customFormat="1" x14ac:dyDescent="0.2"/>
    <row r="694" s="490" customFormat="1" x14ac:dyDescent="0.2"/>
    <row r="695" s="490" customFormat="1" x14ac:dyDescent="0.2"/>
    <row r="696" s="490" customFormat="1" x14ac:dyDescent="0.2"/>
    <row r="697" s="490" customFormat="1" x14ac:dyDescent="0.2"/>
    <row r="698" s="490" customFormat="1" x14ac:dyDescent="0.2"/>
    <row r="699" s="490" customFormat="1" x14ac:dyDescent="0.2"/>
    <row r="700" s="490" customFormat="1" x14ac:dyDescent="0.2"/>
    <row r="701" s="490" customFormat="1" x14ac:dyDescent="0.2"/>
    <row r="702" s="490" customFormat="1" x14ac:dyDescent="0.2"/>
    <row r="703" s="490" customFormat="1" x14ac:dyDescent="0.2"/>
    <row r="704" s="490" customFormat="1" x14ac:dyDescent="0.2"/>
    <row r="705" s="490" customFormat="1" x14ac:dyDescent="0.2"/>
    <row r="706" s="490" customFormat="1" x14ac:dyDescent="0.2"/>
    <row r="707" s="490" customFormat="1" x14ac:dyDescent="0.2"/>
    <row r="708" s="490" customFormat="1" x14ac:dyDescent="0.2"/>
    <row r="709" s="490" customFormat="1" x14ac:dyDescent="0.2"/>
    <row r="710" s="490" customFormat="1" x14ac:dyDescent="0.2"/>
    <row r="711" s="490" customFormat="1" x14ac:dyDescent="0.2"/>
    <row r="712" s="490" customFormat="1" x14ac:dyDescent="0.2"/>
    <row r="713" s="490" customFormat="1" x14ac:dyDescent="0.2"/>
    <row r="714" s="490" customFormat="1" x14ac:dyDescent="0.2"/>
    <row r="715" s="490" customFormat="1" x14ac:dyDescent="0.2"/>
    <row r="716" s="490" customFormat="1" x14ac:dyDescent="0.2"/>
    <row r="717" s="490" customFormat="1" x14ac:dyDescent="0.2"/>
    <row r="718" s="490" customFormat="1" x14ac:dyDescent="0.2"/>
    <row r="719" s="490" customFormat="1" x14ac:dyDescent="0.2"/>
    <row r="720" s="490" customFormat="1" x14ac:dyDescent="0.2"/>
    <row r="721" s="490" customFormat="1" x14ac:dyDescent="0.2"/>
    <row r="722" s="490" customFormat="1" x14ac:dyDescent="0.2"/>
    <row r="723" s="490" customFormat="1" x14ac:dyDescent="0.2"/>
    <row r="724" s="490" customFormat="1" x14ac:dyDescent="0.2"/>
    <row r="725" s="490" customFormat="1" x14ac:dyDescent="0.2"/>
    <row r="726" s="490" customFormat="1" x14ac:dyDescent="0.2"/>
    <row r="727" s="490" customFormat="1" x14ac:dyDescent="0.2"/>
    <row r="728" s="490" customFormat="1" x14ac:dyDescent="0.2"/>
    <row r="729" s="490" customFormat="1" x14ac:dyDescent="0.2"/>
    <row r="730" s="490" customFormat="1" x14ac:dyDescent="0.2"/>
    <row r="731" s="490" customFormat="1" x14ac:dyDescent="0.2"/>
    <row r="732" s="490" customFormat="1" x14ac:dyDescent="0.2"/>
    <row r="733" s="490" customFormat="1" x14ac:dyDescent="0.2"/>
    <row r="734" s="490" customFormat="1" x14ac:dyDescent="0.2"/>
    <row r="735" s="490" customFormat="1" x14ac:dyDescent="0.2"/>
    <row r="736" s="490" customFormat="1" x14ac:dyDescent="0.2"/>
    <row r="737" s="490" customFormat="1" x14ac:dyDescent="0.2"/>
    <row r="738" s="490" customFormat="1" x14ac:dyDescent="0.2"/>
    <row r="739" s="490" customFormat="1" x14ac:dyDescent="0.2"/>
    <row r="740" s="490" customFormat="1" x14ac:dyDescent="0.2"/>
    <row r="741" s="490" customFormat="1" x14ac:dyDescent="0.2"/>
    <row r="742" s="490" customFormat="1" x14ac:dyDescent="0.2"/>
    <row r="743" s="490" customFormat="1" x14ac:dyDescent="0.2"/>
    <row r="744" s="490" customFormat="1" x14ac:dyDescent="0.2"/>
    <row r="745" s="490" customFormat="1" x14ac:dyDescent="0.2"/>
    <row r="746" s="490" customFormat="1" x14ac:dyDescent="0.2"/>
    <row r="747" s="490" customFormat="1" x14ac:dyDescent="0.2"/>
    <row r="748" s="490" customFormat="1" x14ac:dyDescent="0.2"/>
    <row r="749" s="490" customFormat="1" x14ac:dyDescent="0.2"/>
    <row r="750" s="490" customFormat="1" x14ac:dyDescent="0.2"/>
    <row r="751" s="490" customFormat="1" x14ac:dyDescent="0.2"/>
    <row r="752" s="490" customFormat="1" x14ac:dyDescent="0.2"/>
    <row r="753" s="490" customFormat="1" x14ac:dyDescent="0.2"/>
    <row r="754" s="490" customFormat="1" x14ac:dyDescent="0.2"/>
    <row r="755" s="490" customFormat="1" x14ac:dyDescent="0.2"/>
    <row r="756" s="490" customFormat="1" x14ac:dyDescent="0.2"/>
    <row r="757" s="490" customFormat="1" x14ac:dyDescent="0.2"/>
    <row r="758" s="490" customFormat="1" x14ac:dyDescent="0.2"/>
    <row r="759" s="490" customFormat="1" x14ac:dyDescent="0.2"/>
    <row r="760" s="490" customFormat="1" x14ac:dyDescent="0.2"/>
    <row r="761" s="490" customFormat="1" x14ac:dyDescent="0.2"/>
    <row r="762" s="490" customFormat="1" x14ac:dyDescent="0.2"/>
    <row r="763" s="490" customFormat="1" x14ac:dyDescent="0.2"/>
    <row r="764" s="490" customFormat="1" x14ac:dyDescent="0.2"/>
    <row r="765" s="490" customFormat="1" x14ac:dyDescent="0.2"/>
    <row r="766" s="490" customFormat="1" x14ac:dyDescent="0.2"/>
    <row r="767" s="490" customFormat="1" x14ac:dyDescent="0.2"/>
    <row r="768" s="490" customFormat="1" x14ac:dyDescent="0.2"/>
    <row r="769" s="490" customFormat="1" x14ac:dyDescent="0.2"/>
    <row r="770" s="490" customFormat="1" x14ac:dyDescent="0.2"/>
    <row r="771" s="490" customFormat="1" x14ac:dyDescent="0.2"/>
    <row r="772" s="490" customFormat="1" x14ac:dyDescent="0.2"/>
    <row r="773" s="490" customFormat="1" x14ac:dyDescent="0.2"/>
    <row r="774" s="490" customFormat="1" x14ac:dyDescent="0.2"/>
    <row r="775" s="490" customFormat="1" x14ac:dyDescent="0.2"/>
    <row r="776" s="490" customFormat="1" x14ac:dyDescent="0.2"/>
    <row r="777" s="490" customFormat="1" x14ac:dyDescent="0.2"/>
    <row r="778" s="490" customFormat="1" x14ac:dyDescent="0.2"/>
    <row r="779" s="490" customFormat="1" x14ac:dyDescent="0.2"/>
    <row r="780" s="490" customFormat="1" x14ac:dyDescent="0.2"/>
    <row r="781" s="490" customFormat="1" x14ac:dyDescent="0.2"/>
    <row r="782" s="490" customFormat="1" x14ac:dyDescent="0.2"/>
    <row r="783" s="490" customFormat="1" x14ac:dyDescent="0.2"/>
    <row r="784" s="490" customFormat="1" x14ac:dyDescent="0.2"/>
    <row r="785" s="490" customFormat="1" x14ac:dyDescent="0.2"/>
    <row r="786" s="490" customFormat="1" x14ac:dyDescent="0.2"/>
    <row r="787" s="490" customFormat="1" x14ac:dyDescent="0.2"/>
    <row r="788" s="490" customFormat="1" x14ac:dyDescent="0.2"/>
    <row r="789" s="490" customFormat="1" x14ac:dyDescent="0.2"/>
    <row r="790" s="490" customFormat="1" x14ac:dyDescent="0.2"/>
    <row r="791" s="490" customFormat="1" x14ac:dyDescent="0.2"/>
    <row r="792" s="490" customFormat="1" x14ac:dyDescent="0.2"/>
    <row r="793" s="490" customFormat="1" x14ac:dyDescent="0.2"/>
    <row r="794" s="490" customFormat="1" x14ac:dyDescent="0.2"/>
    <row r="795" s="490" customFormat="1" x14ac:dyDescent="0.2"/>
    <row r="796" s="490" customFormat="1" x14ac:dyDescent="0.2"/>
    <row r="797" s="490" customFormat="1" x14ac:dyDescent="0.2"/>
    <row r="798" s="490" customFormat="1" x14ac:dyDescent="0.2"/>
    <row r="799" s="490" customFormat="1" x14ac:dyDescent="0.2"/>
    <row r="800" s="490" customFormat="1" x14ac:dyDescent="0.2"/>
    <row r="801" s="490" customFormat="1" x14ac:dyDescent="0.2"/>
    <row r="802" s="490" customFormat="1" x14ac:dyDescent="0.2"/>
    <row r="803" s="490" customFormat="1" x14ac:dyDescent="0.2"/>
    <row r="804" s="490" customFormat="1" x14ac:dyDescent="0.2"/>
    <row r="805" s="490" customFormat="1" x14ac:dyDescent="0.2"/>
    <row r="806" s="490" customFormat="1" x14ac:dyDescent="0.2"/>
    <row r="807" s="490" customFormat="1" x14ac:dyDescent="0.2"/>
    <row r="808" s="490" customFormat="1" x14ac:dyDescent="0.2"/>
    <row r="809" s="490" customFormat="1" x14ac:dyDescent="0.2"/>
    <row r="810" s="490" customFormat="1" x14ac:dyDescent="0.2"/>
    <row r="811" s="490" customFormat="1" x14ac:dyDescent="0.2"/>
    <row r="812" s="490" customFormat="1" x14ac:dyDescent="0.2"/>
    <row r="813" s="490" customFormat="1" x14ac:dyDescent="0.2"/>
    <row r="814" s="490" customFormat="1" x14ac:dyDescent="0.2"/>
    <row r="815" s="490" customFormat="1" x14ac:dyDescent="0.2"/>
    <row r="816" s="490" customFormat="1" x14ac:dyDescent="0.2"/>
    <row r="817" s="490" customFormat="1" x14ac:dyDescent="0.2"/>
    <row r="818" s="490" customFormat="1" x14ac:dyDescent="0.2"/>
    <row r="819" s="490" customFormat="1" x14ac:dyDescent="0.2"/>
    <row r="820" s="490" customFormat="1" x14ac:dyDescent="0.2"/>
    <row r="821" s="490" customFormat="1" x14ac:dyDescent="0.2"/>
    <row r="822" s="490" customFormat="1" x14ac:dyDescent="0.2"/>
    <row r="823" s="490" customFormat="1" x14ac:dyDescent="0.2"/>
    <row r="824" s="490" customFormat="1" x14ac:dyDescent="0.2"/>
    <row r="825" s="490" customFormat="1" x14ac:dyDescent="0.2"/>
    <row r="826" s="490" customFormat="1" x14ac:dyDescent="0.2"/>
  </sheetData>
  <mergeCells count="60">
    <mergeCell ref="B17:M17"/>
    <mergeCell ref="N17:Q17"/>
    <mergeCell ref="R17:V17"/>
    <mergeCell ref="B19:M19"/>
    <mergeCell ref="N19:Q19"/>
    <mergeCell ref="R19:V19"/>
    <mergeCell ref="B18:M18"/>
    <mergeCell ref="N18:Q18"/>
    <mergeCell ref="R18:V18"/>
    <mergeCell ref="B15:M15"/>
    <mergeCell ref="N15:Q15"/>
    <mergeCell ref="R15:V15"/>
    <mergeCell ref="B16:M16"/>
    <mergeCell ref="N16:Q16"/>
    <mergeCell ref="R16:V16"/>
    <mergeCell ref="B13:M13"/>
    <mergeCell ref="N13:Q13"/>
    <mergeCell ref="R13:V13"/>
    <mergeCell ref="B14:M14"/>
    <mergeCell ref="N14:Q14"/>
    <mergeCell ref="R14:V14"/>
    <mergeCell ref="B11:M11"/>
    <mergeCell ref="N11:Q11"/>
    <mergeCell ref="R11:V11"/>
    <mergeCell ref="B12:M12"/>
    <mergeCell ref="N12:Q12"/>
    <mergeCell ref="R12:V12"/>
    <mergeCell ref="B9:M9"/>
    <mergeCell ref="N9:Q9"/>
    <mergeCell ref="R9:V9"/>
    <mergeCell ref="B10:M10"/>
    <mergeCell ref="N10:Q10"/>
    <mergeCell ref="R10:V10"/>
    <mergeCell ref="A7:G7"/>
    <mergeCell ref="H7:Q7"/>
    <mergeCell ref="R7:V7"/>
    <mergeCell ref="A8:D8"/>
    <mergeCell ref="E8:H8"/>
    <mergeCell ref="I8:M8"/>
    <mergeCell ref="N8:Q8"/>
    <mergeCell ref="R8:V8"/>
    <mergeCell ref="A5:C5"/>
    <mergeCell ref="E5:F5"/>
    <mergeCell ref="G5:R6"/>
    <mergeCell ref="S5:T5"/>
    <mergeCell ref="U5:V5"/>
    <mergeCell ref="A6:D6"/>
    <mergeCell ref="E6:F6"/>
    <mergeCell ref="S6:T6"/>
    <mergeCell ref="U6:V6"/>
    <mergeCell ref="A1:E4"/>
    <mergeCell ref="F1:N4"/>
    <mergeCell ref="O1:Q1"/>
    <mergeCell ref="R1:V1"/>
    <mergeCell ref="O2:Q2"/>
    <mergeCell ref="R2:V2"/>
    <mergeCell ref="O3:Q3"/>
    <mergeCell ref="R3:V3"/>
    <mergeCell ref="O4:Q4"/>
    <mergeCell ref="R4:V4"/>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4</vt:i4>
      </vt:variant>
    </vt:vector>
  </HeadingPairs>
  <TitlesOfParts>
    <vt:vector size="14" baseType="lpstr">
      <vt:lpstr>Validación</vt:lpstr>
      <vt:lpstr>Orden de Pedido</vt:lpstr>
      <vt:lpstr>Instrucción de trabajo</vt:lpstr>
      <vt:lpstr>Información</vt:lpstr>
      <vt:lpstr>Grafico</vt:lpstr>
      <vt:lpstr>Recuento final</vt:lpstr>
      <vt:lpstr>Estimación de horas y costes</vt:lpstr>
      <vt:lpstr>Valoración del servicio</vt:lpstr>
      <vt:lpstr>Registro personal formado</vt:lpstr>
      <vt:lpstr>Gama de retrabajos</vt:lpstr>
      <vt:lpstr>'Instrucción de trabajo'!Área_de_impresión</vt:lpstr>
      <vt:lpstr>'Orden de Pedido'!Área_de_impresión</vt:lpstr>
      <vt:lpstr>Validación!Área_de_impresión</vt:lpstr>
      <vt:lpstr>'Instrucción de trabajo'!Títulos_a_imprimir</vt:lpstr>
    </vt:vector>
  </TitlesOfParts>
  <Company>Faurecia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Fco Javier Muñoz</dc:creator>
  <cp:lastModifiedBy>Diego</cp:lastModifiedBy>
  <cp:lastPrinted>2015-07-27T13:07:07Z</cp:lastPrinted>
  <dcterms:created xsi:type="dcterms:W3CDTF">2007-01-22T12:13:31Z</dcterms:created>
  <dcterms:modified xsi:type="dcterms:W3CDTF">2015-12-09T20:06:06Z</dcterms:modified>
</cp:coreProperties>
</file>