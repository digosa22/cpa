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bookViews>
  <sheets>
    <sheet name="Validación" sheetId="20" r:id="rId1"/>
    <sheet name="Orden de Pedido" sheetId="19" r:id="rId2"/>
    <sheet name="Hoja1"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B18" i="20" l="1"/>
  <c r="B16" i="20"/>
  <c r="B14" i="28" l="1"/>
  <c r="C12" i="28"/>
  <c r="I10" i="28"/>
  <c r="H10" i="28"/>
  <c r="H9" i="28"/>
  <c r="H8" i="28"/>
  <c r="I7" i="28"/>
  <c r="H7" i="28"/>
  <c r="C7" i="28"/>
  <c r="C5" i="28"/>
  <c r="C11" i="28" s="1"/>
  <c r="F4" i="28"/>
  <c r="E4" i="28"/>
  <c r="C4" i="28"/>
  <c r="H3" i="28"/>
  <c r="F3" i="28"/>
  <c r="E3" i="28"/>
  <c r="C3" i="28"/>
  <c r="C2" i="28"/>
  <c r="F41" i="19" l="1"/>
  <c r="H42" i="19"/>
  <c r="G42" i="19"/>
  <c r="F42" i="19"/>
  <c r="H41" i="19"/>
  <c r="G41" i="19"/>
  <c r="C41" i="19"/>
  <c r="E42" i="19"/>
  <c r="D42" i="19"/>
  <c r="C42" i="19"/>
  <c r="E41" i="19"/>
  <c r="D41" i="19"/>
  <c r="A41" i="19"/>
  <c r="H28" i="19"/>
  <c r="G28" i="19"/>
  <c r="B7" i="20"/>
  <c r="G54" i="20"/>
  <c r="G53" i="20"/>
  <c r="G52" i="20"/>
  <c r="A14" i="20"/>
  <c r="B12" i="20"/>
  <c r="B23" i="20" s="1"/>
  <c r="B11" i="20"/>
  <c r="B22" i="20" s="1"/>
  <c r="B10" i="20"/>
  <c r="B21" i="20" s="1"/>
  <c r="B9" i="20"/>
  <c r="B20" i="20" s="1"/>
  <c r="B6" i="20"/>
  <c r="B5" i="20"/>
  <c r="B4" i="20"/>
  <c r="B3" i="20"/>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<sst xmlns="http://schemas.openxmlformats.org/spreadsheetml/2006/main" count="246" uniqueCount="191">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</sst>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15">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14" fontId="0" fillId="0" borderId="1" xfId="0" applyNumberFormat="1" applyBorder="1" applyAlignment="1">
      <alignment horizontal="center" vertical="center"/>
    </xf>
    <xf numFmtId="0" fontId="7" fillId="8" borderId="1" xfId="0" applyFont="1" applyFill="1" applyBorder="1" applyAlignment="1">
      <alignment horizontal="center" vertical="center"/>
    </xf>
    <xf numFmtId="0" fontId="0" fillId="0" borderId="1" xfId="0"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4" fillId="0" borderId="1" xfId="0" applyNumberFormat="1" applyFont="1" applyFill="1" applyBorder="1" applyAlignment="1">
      <alignment horizontal="center" vertical="center"/>
    </xf>
    <xf numFmtId="14" fontId="0" fillId="0" borderId="22" xfId="0" applyNumberFormat="1" applyBorder="1" applyAlignment="1">
      <alignment horizontal="center" vertical="center"/>
    </xf>
    <xf numFmtId="49"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0" fillId="0" borderId="13" xfId="0" applyBorder="1" applyAlignment="1">
      <alignment horizontal="center" vertical="center"/>
    </xf>
    <xf numFmtId="0" fontId="0" fillId="0" borderId="11" xfId="0" applyBorder="1" applyAlignment="1">
      <alignment horizontal="center" vertical="center"/>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29" fillId="6" borderId="0" xfId="0" applyFont="1" applyFill="1" applyAlignment="1">
      <alignment horizontal="left" vertical="center"/>
    </xf>
    <xf numFmtId="0" fontId="47"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6" borderId="1" xfId="0" applyFont="1" applyFill="1" applyBorder="1" applyAlignment="1">
      <alignment horizontal="center" vertical="center"/>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91383680"/>
        <c:axId val="91385216"/>
      </c:barChart>
      <c:catAx>
        <c:axId val="91383680"/>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1385216"/>
        <c:crosses val="autoZero"/>
        <c:auto val="1"/>
        <c:lblAlgn val="ctr"/>
        <c:lblOffset val="100"/>
        <c:tickLblSkip val="2"/>
        <c:tickMarkSkip val="1"/>
        <c:noMultiLvlLbl val="1"/>
      </c:catAx>
      <c:valAx>
        <c:axId val="91385216"/>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138368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400050</xdr:colOff>
      <xdr:row>43</xdr:row>
      <xdr:rowOff>28575</xdr:rowOff>
    </xdr:from>
    <xdr:to>
      <xdr:col>3</xdr:col>
      <xdr:colOff>38100</xdr:colOff>
      <xdr:row>50</xdr:row>
      <xdr:rowOff>57150</xdr:rowOff>
    </xdr:to>
    <xdr:pic>
      <xdr:nvPicPr>
        <xdr:cNvPr id="3" name="Picture 6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934" t="5084" r="5383" b="4237"/>
        <a:stretch>
          <a:fillRect/>
        </a:stretch>
      </xdr:blipFill>
      <xdr:spPr bwMode="auto">
        <a:xfrm>
          <a:off x="400050" y="8772525"/>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2</xdr:col>
      <xdr:colOff>0</xdr:colOff>
      <xdr:row>0</xdr:row>
      <xdr:rowOff>161925</xdr:rowOff>
    </xdr:to>
    <xdr:pic>
      <xdr:nvPicPr>
        <xdr:cNvPr id="13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127"/>
  <sheetViews>
    <sheetView tabSelected="1" view="pageLayout" zoomScaleNormal="100" workbookViewId="0">
      <selection activeCell="B11" sqref="B11:I11"/>
    </sheetView>
  </sheetViews>
  <sheetFormatPr baseColWidth="10" defaultRowHeight="12.75" x14ac:dyDescent="0.2"/>
  <cols>
    <col min="1" max="1" width="23.85546875" style="48" customWidth="1"/>
    <col min="2" max="8" width="7.42578125" style="48" customWidth="1"/>
    <col min="9" max="9" width="11.5703125" style="48" customWidth="1"/>
    <col min="10" max="11" width="11.42578125" style="129"/>
    <col min="12" max="12" width="10.42578125" style="129" customWidth="1"/>
    <col min="13" max="67" width="11.42578125" style="129"/>
    <col min="68" max="16384" width="11.42578125" style="48"/>
  </cols>
  <sheetData>
    <row r="1" spans="1:12" ht="63.75" customHeight="1" x14ac:dyDescent="0.2">
      <c r="A1" s="47"/>
      <c r="B1" s="155" t="s">
        <v>83</v>
      </c>
      <c r="C1" s="155"/>
      <c r="D1" s="155"/>
      <c r="E1" s="155"/>
      <c r="F1" s="155"/>
      <c r="G1" s="155"/>
      <c r="H1" s="156" t="s">
        <v>96</v>
      </c>
      <c r="I1" s="156"/>
    </row>
    <row r="2" spans="1:12" x14ac:dyDescent="0.2">
      <c r="A2" s="157" t="s">
        <v>82</v>
      </c>
      <c r="B2" s="157"/>
      <c r="C2" s="157"/>
      <c r="D2" s="157"/>
      <c r="E2" s="157"/>
      <c r="F2" s="157"/>
      <c r="G2" s="157"/>
      <c r="H2" s="157"/>
      <c r="I2" s="157"/>
    </row>
    <row r="3" spans="1:12" ht="14.25" x14ac:dyDescent="0.2">
      <c r="A3" s="8" t="s">
        <v>14</v>
      </c>
      <c r="B3" s="158" t="str">
        <f>IF(AND(ISBLANK('Orden de Pedido'!B12)),"",'Orden de Pedido'!B12)</f>
        <v/>
      </c>
      <c r="C3" s="159"/>
      <c r="D3" s="159"/>
      <c r="E3" s="159"/>
      <c r="F3" s="159"/>
      <c r="G3" s="159"/>
      <c r="H3" s="159"/>
      <c r="I3" s="160"/>
    </row>
    <row r="4" spans="1:12" ht="14.25" x14ac:dyDescent="0.2">
      <c r="A4" s="8" t="s">
        <v>15</v>
      </c>
      <c r="B4" s="158" t="str">
        <f>IF(AND(ISBLANK('Orden de Pedido'!B13)),"",'Orden de Pedido'!B13)</f>
        <v/>
      </c>
      <c r="C4" s="159"/>
      <c r="D4" s="159"/>
      <c r="E4" s="159"/>
      <c r="F4" s="159"/>
      <c r="G4" s="159"/>
      <c r="H4" s="159"/>
      <c r="I4" s="160"/>
    </row>
    <row r="5" spans="1:12" ht="14.25" x14ac:dyDescent="0.2">
      <c r="A5" s="8" t="s">
        <v>16</v>
      </c>
      <c r="B5" s="158" t="str">
        <f>IF(AND(ISBLANK('Orden de Pedido'!B14)),"",'Orden de Pedido'!B14)</f>
        <v/>
      </c>
      <c r="C5" s="159"/>
      <c r="D5" s="159"/>
      <c r="E5" s="159"/>
      <c r="F5" s="159"/>
      <c r="G5" s="159"/>
      <c r="H5" s="159"/>
      <c r="I5" s="160"/>
    </row>
    <row r="6" spans="1:12" ht="14.25" x14ac:dyDescent="0.2">
      <c r="A6" s="8" t="s">
        <v>17</v>
      </c>
      <c r="B6" s="158" t="str">
        <f>IF(AND(ISBLANK('Orden de Pedido'!B15)),"",'Orden de Pedido'!B15)</f>
        <v/>
      </c>
      <c r="C6" s="159"/>
      <c r="D6" s="159"/>
      <c r="E6" s="159"/>
      <c r="F6" s="159"/>
      <c r="G6" s="159"/>
      <c r="H6" s="159"/>
      <c r="I6" s="160"/>
    </row>
    <row r="7" spans="1:12" ht="14.25" x14ac:dyDescent="0.2">
      <c r="A7" s="41" t="s">
        <v>18</v>
      </c>
      <c r="B7" s="161" t="str">
        <f>IF(AND(ISBLANK('Orden de Pedido'!B16)),"",'Orden de Pedido'!B16)</f>
        <v/>
      </c>
      <c r="C7" s="162"/>
      <c r="D7" s="162"/>
      <c r="E7" s="162"/>
      <c r="F7" s="162"/>
      <c r="G7" s="162"/>
      <c r="H7" s="162"/>
      <c r="I7" s="163"/>
      <c r="L7" s="130"/>
    </row>
    <row r="8" spans="1:12" x14ac:dyDescent="0.2">
      <c r="A8" s="157" t="s">
        <v>19</v>
      </c>
      <c r="B8" s="157"/>
      <c r="C8" s="157"/>
      <c r="D8" s="157"/>
      <c r="E8" s="157"/>
      <c r="F8" s="157"/>
      <c r="G8" s="157"/>
      <c r="H8" s="157"/>
      <c r="I8" s="157"/>
    </row>
    <row r="9" spans="1:12" ht="14.25" x14ac:dyDescent="0.2">
      <c r="A9" s="8" t="s">
        <v>14</v>
      </c>
      <c r="B9" s="158" t="str">
        <f>IF(AND(ISBLANK('Orden de Pedido'!G18)),"",'Orden de Pedido'!G18)</f>
        <v/>
      </c>
      <c r="C9" s="159"/>
      <c r="D9" s="159"/>
      <c r="E9" s="159"/>
      <c r="F9" s="159"/>
      <c r="G9" s="159"/>
      <c r="H9" s="159"/>
      <c r="I9" s="160"/>
    </row>
    <row r="10" spans="1:12" ht="14.25" x14ac:dyDescent="0.2">
      <c r="A10" s="8" t="s">
        <v>15</v>
      </c>
      <c r="B10" s="158" t="str">
        <f>IF(AND(ISBLANK('Orden de Pedido'!G19)),"",'Orden de Pedido'!G19)</f>
        <v/>
      </c>
      <c r="C10" s="159"/>
      <c r="D10" s="159"/>
      <c r="E10" s="159"/>
      <c r="F10" s="159"/>
      <c r="G10" s="159"/>
      <c r="H10" s="159"/>
      <c r="I10" s="160"/>
    </row>
    <row r="11" spans="1:12" ht="14.25" x14ac:dyDescent="0.2">
      <c r="A11" s="8" t="s">
        <v>16</v>
      </c>
      <c r="B11" s="158" t="str">
        <f>IF(AND(ISBLANK('Orden de Pedido'!G20)),"",'Orden de Pedido'!G20)</f>
        <v/>
      </c>
      <c r="C11" s="159"/>
      <c r="D11" s="159"/>
      <c r="E11" s="159"/>
      <c r="F11" s="159"/>
      <c r="G11" s="159"/>
      <c r="H11" s="159"/>
      <c r="I11" s="160"/>
    </row>
    <row r="12" spans="1:12" ht="14.25" x14ac:dyDescent="0.2">
      <c r="A12" s="8" t="s">
        <v>17</v>
      </c>
      <c r="B12" s="158" t="str">
        <f>IF(AND(ISBLANK('Orden de Pedido'!G21)),"",'Orden de Pedido'!G21)</f>
        <v/>
      </c>
      <c r="C12" s="159"/>
      <c r="D12" s="159"/>
      <c r="E12" s="159"/>
      <c r="F12" s="159"/>
      <c r="G12" s="159"/>
      <c r="H12" s="159"/>
      <c r="I12" s="160"/>
    </row>
    <row r="13" spans="1:12" x14ac:dyDescent="0.2">
      <c r="A13" s="165" t="s">
        <v>20</v>
      </c>
      <c r="B13" s="165"/>
      <c r="C13" s="165"/>
      <c r="D13" s="165"/>
      <c r="E13" s="165"/>
      <c r="F13" s="165"/>
      <c r="G13" s="165"/>
      <c r="H13" s="165"/>
      <c r="I13" s="165"/>
    </row>
    <row r="14" spans="1:12" ht="50.25" customHeight="1" x14ac:dyDescent="0.2">
      <c r="A14" s="166" t="str">
        <f>IF(AND(ISBLANK('Orden de Pedido'!A28)),"",'Orden de Pedido'!A28)</f>
        <v/>
      </c>
      <c r="B14" s="166"/>
      <c r="C14" s="166"/>
      <c r="D14" s="166"/>
      <c r="E14" s="166"/>
      <c r="F14" s="166"/>
      <c r="G14" s="166"/>
      <c r="H14" s="166"/>
      <c r="I14" s="166"/>
    </row>
    <row r="15" spans="1:12" x14ac:dyDescent="0.2">
      <c r="A15" s="167" t="s">
        <v>21</v>
      </c>
      <c r="B15" s="167"/>
      <c r="C15" s="167"/>
      <c r="D15" s="167"/>
      <c r="E15" s="167"/>
      <c r="F15" s="167"/>
      <c r="G15" s="167"/>
      <c r="H15" s="167"/>
      <c r="I15" s="167"/>
    </row>
    <row r="16" spans="1:12" x14ac:dyDescent="0.2">
      <c r="A16" s="8" t="s">
        <v>22</v>
      </c>
      <c r="B16" s="168" t="str">
        <f>IF(AND(ISBLANK('Orden de Pedido'!B18)),"",'Orden de Pedido'!B18)</f>
        <v/>
      </c>
      <c r="C16" s="168"/>
      <c r="D16" s="168"/>
      <c r="E16" s="168"/>
      <c r="F16" s="168"/>
      <c r="G16" s="168"/>
      <c r="H16" s="168"/>
      <c r="I16" s="168"/>
    </row>
    <row r="17" spans="1:9" x14ac:dyDescent="0.2">
      <c r="A17" s="8" t="s">
        <v>23</v>
      </c>
      <c r="B17" s="168"/>
      <c r="C17" s="168"/>
      <c r="D17" s="168"/>
      <c r="E17" s="168"/>
      <c r="F17" s="168"/>
      <c r="G17" s="168"/>
      <c r="H17" s="168"/>
      <c r="I17" s="168"/>
    </row>
    <row r="18" spans="1:9" x14ac:dyDescent="0.2">
      <c r="A18" s="8" t="s">
        <v>24</v>
      </c>
      <c r="B18" s="168" t="str">
        <f>IF(AND(ISBLANK('Orden de Pedido'!B19)),"",'Orden de Pedido'!B19)</f>
        <v/>
      </c>
      <c r="C18" s="168"/>
      <c r="D18" s="168"/>
      <c r="E18" s="168"/>
      <c r="F18" s="168"/>
      <c r="G18" s="168"/>
      <c r="H18" s="168"/>
      <c r="I18" s="168"/>
    </row>
    <row r="19" spans="1:9" x14ac:dyDescent="0.2">
      <c r="A19" s="8" t="s">
        <v>25</v>
      </c>
      <c r="B19" s="169"/>
      <c r="C19" s="170"/>
      <c r="D19" s="170"/>
      <c r="E19" s="170"/>
      <c r="F19" s="170"/>
      <c r="G19" s="170"/>
      <c r="H19" s="170"/>
      <c r="I19" s="170"/>
    </row>
    <row r="20" spans="1:9" x14ac:dyDescent="0.2">
      <c r="A20" s="8" t="s">
        <v>14</v>
      </c>
      <c r="B20" s="168" t="str">
        <f>IF(AND(ISBLANK(B9)),"",B9)</f>
        <v/>
      </c>
      <c r="C20" s="168"/>
      <c r="D20" s="168"/>
      <c r="E20" s="168"/>
      <c r="F20" s="168"/>
      <c r="G20" s="168"/>
      <c r="H20" s="168"/>
      <c r="I20" s="168"/>
    </row>
    <row r="21" spans="1:9" x14ac:dyDescent="0.2">
      <c r="A21" s="8" t="s">
        <v>15</v>
      </c>
      <c r="B21" s="168" t="str">
        <f>IF(AND(ISBLANK(B10)),"",B10)</f>
        <v/>
      </c>
      <c r="C21" s="168"/>
      <c r="D21" s="168"/>
      <c r="E21" s="168"/>
      <c r="F21" s="168"/>
      <c r="G21" s="168"/>
      <c r="H21" s="168"/>
      <c r="I21" s="168"/>
    </row>
    <row r="22" spans="1:9" x14ac:dyDescent="0.2">
      <c r="A22" s="39" t="s">
        <v>16</v>
      </c>
      <c r="B22" s="168" t="str">
        <f>IF(AND(ISBLANK(B11)),"",B11)</f>
        <v/>
      </c>
      <c r="C22" s="168"/>
      <c r="D22" s="168"/>
      <c r="E22" s="168"/>
      <c r="F22" s="168"/>
      <c r="G22" s="168"/>
      <c r="H22" s="168"/>
      <c r="I22" s="168"/>
    </row>
    <row r="23" spans="1:9" x14ac:dyDescent="0.2">
      <c r="A23" s="39" t="s">
        <v>17</v>
      </c>
      <c r="B23" s="164" t="str">
        <f>IF(AND(ISBLANK(B12)),"",B12)</f>
        <v/>
      </c>
      <c r="C23" s="164"/>
      <c r="D23" s="164"/>
      <c r="E23" s="164"/>
      <c r="F23" s="164"/>
      <c r="G23" s="164"/>
      <c r="H23" s="164"/>
      <c r="I23" s="164"/>
    </row>
    <row r="24" spans="1:9" x14ac:dyDescent="0.2">
      <c r="A24" s="8" t="s">
        <v>26</v>
      </c>
      <c r="B24" s="171"/>
      <c r="C24" s="171"/>
      <c r="D24" s="171"/>
      <c r="E24" s="171"/>
      <c r="F24" s="171"/>
      <c r="G24" s="171"/>
      <c r="H24" s="171"/>
      <c r="I24" s="171"/>
    </row>
    <row r="25" spans="1:9" x14ac:dyDescent="0.2">
      <c r="A25" s="8" t="s">
        <v>27</v>
      </c>
      <c r="B25" s="172"/>
      <c r="C25" s="173"/>
      <c r="D25" s="173"/>
      <c r="E25" s="173"/>
      <c r="F25" s="173"/>
      <c r="G25" s="173"/>
      <c r="H25" s="173"/>
      <c r="I25" s="174"/>
    </row>
    <row r="26" spans="1:9" x14ac:dyDescent="0.2">
      <c r="A26" s="39" t="s">
        <v>28</v>
      </c>
      <c r="B26" s="164"/>
      <c r="C26" s="164"/>
      <c r="D26" s="164"/>
      <c r="E26" s="164"/>
      <c r="F26" s="164"/>
      <c r="G26" s="164"/>
      <c r="H26" s="164"/>
      <c r="I26" s="164"/>
    </row>
    <row r="27" spans="1:9" x14ac:dyDescent="0.2">
      <c r="A27" s="39" t="s">
        <v>29</v>
      </c>
      <c r="B27" s="168"/>
      <c r="C27" s="168"/>
      <c r="D27" s="168"/>
      <c r="E27" s="168"/>
      <c r="F27" s="168"/>
      <c r="G27" s="168"/>
      <c r="H27" s="168"/>
      <c r="I27" s="168"/>
    </row>
    <row r="28" spans="1:9" ht="36.75" customHeight="1" x14ac:dyDescent="0.2">
      <c r="A28" s="40" t="s">
        <v>30</v>
      </c>
      <c r="B28" s="175"/>
      <c r="C28" s="176"/>
      <c r="D28" s="176"/>
      <c r="E28" s="176"/>
      <c r="F28" s="176"/>
      <c r="G28" s="176"/>
      <c r="H28" s="176"/>
      <c r="I28" s="177"/>
    </row>
    <row r="29" spans="1:9" x14ac:dyDescent="0.2">
      <c r="A29" s="39" t="s">
        <v>31</v>
      </c>
      <c r="B29" s="178" t="s">
        <v>32</v>
      </c>
      <c r="C29" s="179"/>
      <c r="D29" s="179"/>
      <c r="E29" s="179"/>
      <c r="F29" s="179"/>
      <c r="G29" s="179"/>
      <c r="H29" s="179"/>
      <c r="I29" s="180"/>
    </row>
    <row r="30" spans="1:9" x14ac:dyDescent="0.2">
      <c r="A30" s="40" t="s">
        <v>33</v>
      </c>
      <c r="B30" s="181" t="s">
        <v>34</v>
      </c>
      <c r="C30" s="181"/>
      <c r="D30" s="181"/>
      <c r="E30" s="181"/>
      <c r="F30" s="181"/>
      <c r="G30" s="181"/>
      <c r="H30" s="181"/>
      <c r="I30" s="181"/>
    </row>
    <row r="31" spans="1:9" ht="15" customHeight="1" x14ac:dyDescent="0.2">
      <c r="A31" s="182" t="s">
        <v>35</v>
      </c>
      <c r="B31" s="183"/>
      <c r="C31" s="183"/>
      <c r="D31" s="183"/>
      <c r="E31" s="183"/>
      <c r="F31" s="183"/>
      <c r="G31" s="183"/>
      <c r="H31" s="183"/>
      <c r="I31" s="184"/>
    </row>
    <row r="32" spans="1:9" x14ac:dyDescent="0.2">
      <c r="A32" s="185"/>
      <c r="B32" s="186"/>
      <c r="C32" s="186"/>
      <c r="D32" s="186"/>
      <c r="E32" s="186"/>
      <c r="F32" s="186"/>
      <c r="G32" s="186"/>
      <c r="H32" s="186"/>
      <c r="I32" s="187"/>
    </row>
    <row r="33" spans="1:9" x14ac:dyDescent="0.2">
      <c r="A33" s="185"/>
      <c r="B33" s="186"/>
      <c r="C33" s="186"/>
      <c r="D33" s="186"/>
      <c r="E33" s="186"/>
      <c r="F33" s="186"/>
      <c r="G33" s="186"/>
      <c r="H33" s="186"/>
      <c r="I33" s="187"/>
    </row>
    <row r="34" spans="1:9" x14ac:dyDescent="0.2">
      <c r="A34" s="185"/>
      <c r="B34" s="186"/>
      <c r="C34" s="186"/>
      <c r="D34" s="186"/>
      <c r="E34" s="186"/>
      <c r="F34" s="186"/>
      <c r="G34" s="186"/>
      <c r="H34" s="186"/>
      <c r="I34" s="187"/>
    </row>
    <row r="35" spans="1:9" x14ac:dyDescent="0.2">
      <c r="A35" s="185"/>
      <c r="B35" s="186"/>
      <c r="C35" s="186"/>
      <c r="D35" s="186"/>
      <c r="E35" s="186"/>
      <c r="F35" s="186"/>
      <c r="G35" s="186"/>
      <c r="H35" s="186"/>
      <c r="I35" s="187"/>
    </row>
    <row r="36" spans="1:9" x14ac:dyDescent="0.2">
      <c r="A36" s="185"/>
      <c r="B36" s="186"/>
      <c r="C36" s="186"/>
      <c r="D36" s="186"/>
      <c r="E36" s="186"/>
      <c r="F36" s="186"/>
      <c r="G36" s="186"/>
      <c r="H36" s="186"/>
      <c r="I36" s="187"/>
    </row>
    <row r="37" spans="1:9" x14ac:dyDescent="0.2">
      <c r="A37" s="185"/>
      <c r="B37" s="186"/>
      <c r="C37" s="186"/>
      <c r="D37" s="186"/>
      <c r="E37" s="186"/>
      <c r="F37" s="186"/>
      <c r="G37" s="186"/>
      <c r="H37" s="186"/>
      <c r="I37" s="187"/>
    </row>
    <row r="38" spans="1:9" x14ac:dyDescent="0.2">
      <c r="A38" s="185"/>
      <c r="B38" s="186"/>
      <c r="C38" s="186"/>
      <c r="D38" s="186"/>
      <c r="E38" s="186"/>
      <c r="F38" s="186"/>
      <c r="G38" s="186"/>
      <c r="H38" s="186"/>
      <c r="I38" s="187"/>
    </row>
    <row r="39" spans="1:9" x14ac:dyDescent="0.2">
      <c r="A39" s="185"/>
      <c r="B39" s="186"/>
      <c r="C39" s="186"/>
      <c r="D39" s="186"/>
      <c r="E39" s="186"/>
      <c r="F39" s="186"/>
      <c r="G39" s="186"/>
      <c r="H39" s="186"/>
      <c r="I39" s="187"/>
    </row>
    <row r="40" spans="1:9" x14ac:dyDescent="0.2">
      <c r="A40" s="185"/>
      <c r="B40" s="186"/>
      <c r="C40" s="186"/>
      <c r="D40" s="186"/>
      <c r="E40" s="186"/>
      <c r="F40" s="186"/>
      <c r="G40" s="186"/>
      <c r="H40" s="186"/>
      <c r="I40" s="187"/>
    </row>
    <row r="41" spans="1:9" x14ac:dyDescent="0.2">
      <c r="A41" s="185"/>
      <c r="B41" s="186"/>
      <c r="C41" s="186"/>
      <c r="D41" s="186"/>
      <c r="E41" s="186"/>
      <c r="F41" s="186"/>
      <c r="G41" s="186"/>
      <c r="H41" s="186"/>
      <c r="I41" s="187"/>
    </row>
    <row r="42" spans="1:9" ht="24.75" customHeight="1" thickBot="1" x14ac:dyDescent="0.25">
      <c r="A42" s="188"/>
      <c r="B42" s="189"/>
      <c r="C42" s="189"/>
      <c r="D42" s="189"/>
      <c r="E42" s="189"/>
      <c r="F42" s="189"/>
      <c r="G42" s="189"/>
      <c r="H42" s="189"/>
      <c r="I42" s="190"/>
    </row>
    <row r="43" spans="1:9" x14ac:dyDescent="0.2">
      <c r="A43" s="191"/>
      <c r="B43" s="192"/>
      <c r="C43" s="192"/>
      <c r="D43" s="193"/>
      <c r="E43" s="191"/>
      <c r="F43" s="192"/>
      <c r="G43" s="192"/>
      <c r="H43" s="192"/>
      <c r="I43" s="193"/>
    </row>
    <row r="44" spans="1:9" x14ac:dyDescent="0.2">
      <c r="A44" s="194"/>
      <c r="B44" s="195"/>
      <c r="C44" s="195"/>
      <c r="D44" s="196"/>
      <c r="E44" s="194"/>
      <c r="F44" s="195"/>
      <c r="G44" s="195"/>
      <c r="H44" s="195"/>
      <c r="I44" s="196"/>
    </row>
    <row r="45" spans="1:9" x14ac:dyDescent="0.2">
      <c r="A45" s="194"/>
      <c r="B45" s="195"/>
      <c r="C45" s="195"/>
      <c r="D45" s="196"/>
      <c r="E45" s="194"/>
      <c r="F45" s="195"/>
      <c r="G45" s="195"/>
      <c r="H45" s="195"/>
      <c r="I45" s="196"/>
    </row>
    <row r="46" spans="1:9" x14ac:dyDescent="0.2">
      <c r="A46" s="194"/>
      <c r="B46" s="195"/>
      <c r="C46" s="195"/>
      <c r="D46" s="196"/>
      <c r="E46" s="194"/>
      <c r="F46" s="195"/>
      <c r="G46" s="195"/>
      <c r="H46" s="195"/>
      <c r="I46" s="196"/>
    </row>
    <row r="47" spans="1:9" x14ac:dyDescent="0.2">
      <c r="A47" s="194"/>
      <c r="B47" s="195"/>
      <c r="C47" s="195"/>
      <c r="D47" s="196"/>
      <c r="E47" s="194"/>
      <c r="F47" s="195"/>
      <c r="G47" s="195"/>
      <c r="H47" s="195"/>
      <c r="I47" s="196"/>
    </row>
    <row r="48" spans="1:9" x14ac:dyDescent="0.2">
      <c r="A48" s="194"/>
      <c r="B48" s="195"/>
      <c r="C48" s="195"/>
      <c r="D48" s="196"/>
      <c r="E48" s="194"/>
      <c r="F48" s="195"/>
      <c r="G48" s="195"/>
      <c r="H48" s="195"/>
      <c r="I48" s="196"/>
    </row>
    <row r="49" spans="1:9" x14ac:dyDescent="0.2">
      <c r="A49" s="194"/>
      <c r="B49" s="195"/>
      <c r="C49" s="195"/>
      <c r="D49" s="196"/>
      <c r="E49" s="194"/>
      <c r="F49" s="195"/>
      <c r="G49" s="195"/>
      <c r="H49" s="195"/>
      <c r="I49" s="196"/>
    </row>
    <row r="50" spans="1:9" x14ac:dyDescent="0.2">
      <c r="A50" s="194"/>
      <c r="B50" s="195"/>
      <c r="C50" s="195"/>
      <c r="D50" s="196"/>
      <c r="E50" s="207" t="s">
        <v>97</v>
      </c>
      <c r="F50" s="208"/>
      <c r="G50" s="208"/>
      <c r="H50" s="208"/>
      <c r="I50" s="209"/>
    </row>
    <row r="51" spans="1:9" x14ac:dyDescent="0.2">
      <c r="A51" s="197"/>
      <c r="B51" s="198"/>
      <c r="C51" s="198"/>
      <c r="D51" s="199"/>
      <c r="E51" s="210"/>
      <c r="F51" s="211"/>
      <c r="G51" s="211"/>
      <c r="H51" s="211"/>
      <c r="I51" s="212"/>
    </row>
    <row r="52" spans="1:9" ht="12.75" customHeight="1" x14ac:dyDescent="0.2">
      <c r="A52" s="200" t="s">
        <v>36</v>
      </c>
      <c r="B52" s="201"/>
      <c r="C52" s="201"/>
      <c r="D52" s="202"/>
      <c r="E52" s="203" t="s">
        <v>84</v>
      </c>
      <c r="F52" s="204"/>
      <c r="G52" s="205" t="str">
        <f>IF(AND(ISBLANK('Orden de Pedido'!G18)),"",'Orden de Pedido'!G18)</f>
        <v/>
      </c>
      <c r="H52" s="205"/>
      <c r="I52" s="206"/>
    </row>
    <row r="53" spans="1:9" ht="12.75" customHeight="1" x14ac:dyDescent="0.2">
      <c r="A53" s="213" t="s">
        <v>37</v>
      </c>
      <c r="B53" s="214"/>
      <c r="C53" s="214"/>
      <c r="D53" s="215"/>
      <c r="E53" s="219" t="s">
        <v>38</v>
      </c>
      <c r="F53" s="220"/>
      <c r="G53" s="205" t="str">
        <f>IF(AND(ISBLANK('Orden de Pedido'!G19)),"",'Orden de Pedido'!G19)</f>
        <v/>
      </c>
      <c r="H53" s="205"/>
      <c r="I53" s="206"/>
    </row>
    <row r="54" spans="1:9" ht="13.5" thickBot="1" x14ac:dyDescent="0.25">
      <c r="A54" s="216"/>
      <c r="B54" s="217"/>
      <c r="C54" s="217"/>
      <c r="D54" s="218"/>
      <c r="E54" s="221" t="s">
        <v>39</v>
      </c>
      <c r="F54" s="222"/>
      <c r="G54" s="223" t="str">
        <f>IF(AND(ISBLANK('Orden de Pedido'!B16)),"",'Orden de Pedido'!B16)</f>
        <v/>
      </c>
      <c r="H54" s="223"/>
      <c r="I54" s="224"/>
    </row>
    <row r="55" spans="1:9" s="129" customFormat="1" x14ac:dyDescent="0.2"/>
    <row r="56" spans="1:9" s="129" customFormat="1" x14ac:dyDescent="0.2"/>
    <row r="57" spans="1:9" s="129" customFormat="1" x14ac:dyDescent="0.2"/>
    <row r="58" spans="1:9" s="129" customFormat="1" x14ac:dyDescent="0.2"/>
    <row r="59" spans="1:9" s="129" customFormat="1" x14ac:dyDescent="0.2"/>
    <row r="60" spans="1:9" s="129" customFormat="1" x14ac:dyDescent="0.2"/>
    <row r="61" spans="1:9" s="129" customFormat="1" x14ac:dyDescent="0.2"/>
    <row r="62" spans="1:9" s="129" customFormat="1" x14ac:dyDescent="0.2"/>
    <row r="63" spans="1:9" s="129" customFormat="1" x14ac:dyDescent="0.2"/>
    <row r="64" spans="1:9" s="129" customFormat="1" x14ac:dyDescent="0.2"/>
    <row r="65" s="129" customFormat="1" x14ac:dyDescent="0.2"/>
    <row r="66" s="129" customFormat="1" x14ac:dyDescent="0.2"/>
    <row r="67" s="129" customFormat="1" x14ac:dyDescent="0.2"/>
    <row r="68" s="129" customFormat="1" x14ac:dyDescent="0.2"/>
    <row r="69" s="129" customFormat="1" x14ac:dyDescent="0.2"/>
    <row r="70" s="129" customFormat="1" x14ac:dyDescent="0.2"/>
    <row r="71" s="129" customFormat="1" x14ac:dyDescent="0.2"/>
    <row r="72" s="129" customFormat="1" x14ac:dyDescent="0.2"/>
    <row r="73" s="129" customFormat="1" x14ac:dyDescent="0.2"/>
    <row r="74" s="129" customFormat="1" x14ac:dyDescent="0.2"/>
    <row r="75" s="129" customFormat="1" x14ac:dyDescent="0.2"/>
    <row r="76" s="129" customFormat="1" x14ac:dyDescent="0.2"/>
    <row r="77" s="129" customFormat="1" x14ac:dyDescent="0.2"/>
    <row r="78" s="129" customFormat="1" x14ac:dyDescent="0.2"/>
    <row r="79" s="129" customFormat="1" x14ac:dyDescent="0.2"/>
    <row r="80" s="129" customFormat="1" x14ac:dyDescent="0.2"/>
    <row r="81" s="129" customFormat="1" x14ac:dyDescent="0.2"/>
    <row r="82" s="129" customFormat="1" x14ac:dyDescent="0.2"/>
    <row r="83" s="129" customFormat="1" x14ac:dyDescent="0.2"/>
    <row r="84" s="129" customFormat="1" x14ac:dyDescent="0.2"/>
    <row r="85" s="129" customFormat="1" x14ac:dyDescent="0.2"/>
    <row r="86" s="129" customFormat="1" x14ac:dyDescent="0.2"/>
    <row r="87" s="129" customFormat="1" x14ac:dyDescent="0.2"/>
    <row r="88" s="129" customFormat="1" x14ac:dyDescent="0.2"/>
    <row r="89" s="129" customFormat="1" x14ac:dyDescent="0.2"/>
    <row r="90" s="129" customFormat="1" x14ac:dyDescent="0.2"/>
    <row r="91" s="129" customFormat="1" x14ac:dyDescent="0.2"/>
    <row r="92" s="129" customFormat="1" x14ac:dyDescent="0.2"/>
    <row r="93" s="129" customFormat="1" x14ac:dyDescent="0.2"/>
    <row r="94" s="129" customFormat="1" x14ac:dyDescent="0.2"/>
    <row r="95" s="129" customFormat="1" x14ac:dyDescent="0.2"/>
    <row r="96" s="129" customFormat="1" x14ac:dyDescent="0.2"/>
    <row r="97" s="129" customFormat="1" x14ac:dyDescent="0.2"/>
    <row r="98" s="129" customFormat="1" x14ac:dyDescent="0.2"/>
    <row r="99" s="129" customFormat="1" x14ac:dyDescent="0.2"/>
    <row r="100" s="129" customFormat="1" x14ac:dyDescent="0.2"/>
    <row r="101" s="129" customFormat="1" x14ac:dyDescent="0.2"/>
    <row r="102" s="129" customFormat="1" x14ac:dyDescent="0.2"/>
    <row r="103" s="129" customFormat="1" x14ac:dyDescent="0.2"/>
    <row r="104" s="129" customFormat="1" x14ac:dyDescent="0.2"/>
    <row r="105" s="129" customFormat="1" x14ac:dyDescent="0.2"/>
    <row r="106" s="129" customFormat="1" x14ac:dyDescent="0.2"/>
    <row r="107" s="129" customFormat="1" x14ac:dyDescent="0.2"/>
    <row r="108" s="129" customFormat="1" x14ac:dyDescent="0.2"/>
    <row r="109" s="129" customFormat="1" x14ac:dyDescent="0.2"/>
    <row r="110" s="129" customFormat="1" x14ac:dyDescent="0.2"/>
    <row r="111" s="129" customFormat="1" x14ac:dyDescent="0.2"/>
    <row r="112" s="129" customFormat="1" x14ac:dyDescent="0.2"/>
    <row r="113" s="129" customFormat="1" x14ac:dyDescent="0.2"/>
    <row r="114" s="129" customFormat="1" x14ac:dyDescent="0.2"/>
    <row r="115" s="129" customFormat="1" x14ac:dyDescent="0.2"/>
    <row r="116" s="129" customFormat="1" x14ac:dyDescent="0.2"/>
    <row r="117" s="129" customFormat="1" x14ac:dyDescent="0.2"/>
    <row r="118" s="129" customFormat="1" x14ac:dyDescent="0.2"/>
    <row r="119" s="129" customFormat="1" x14ac:dyDescent="0.2"/>
    <row r="120" s="129" customFormat="1" x14ac:dyDescent="0.2"/>
    <row r="121" s="129" customFormat="1" x14ac:dyDescent="0.2"/>
    <row r="122" s="129" customFormat="1" x14ac:dyDescent="0.2"/>
    <row r="123" s="129" customFormat="1" x14ac:dyDescent="0.2"/>
    <row r="124" s="129" customFormat="1" x14ac:dyDescent="0.2"/>
    <row r="125" s="129" customFormat="1" x14ac:dyDescent="0.2"/>
    <row r="126" s="129" customFormat="1" x14ac:dyDescent="0.2"/>
    <row r="127" s="129" customFormat="1" x14ac:dyDescent="0.2"/>
  </sheetData>
  <protectedRanges>
    <protectedRange sqref="A14 B29:B30 B3:I7 B9:I12" name="Rango1"/>
    <protectedRange sqref="E43 G52:I54" name="Rango1_1"/>
    <protectedRange sqref="B16:I27" name="Rango1_2"/>
  </protectedRanges>
  <mergeCells count="43">
    <mergeCell ref="A53:D54"/>
    <mergeCell ref="E53:F53"/>
    <mergeCell ref="G53:I53"/>
    <mergeCell ref="E54:F54"/>
    <mergeCell ref="G54:I54"/>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&amp;L Empresa inscrita en el registro mercantil de Álava, T.1246, F.134, Vi-11448&amp;Rwww.cpavitoria06.com   
info@cpavitoria06.com</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G23" sqref="G23"/>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232" t="s">
        <v>85</v>
      </c>
      <c r="C1" s="232"/>
      <c r="D1" s="232"/>
      <c r="E1" s="232"/>
      <c r="F1" s="232"/>
      <c r="G1" s="233" t="s">
        <v>98</v>
      </c>
      <c r="H1" s="233"/>
    </row>
    <row r="2" spans="1:8" ht="18.600000000000001" customHeight="1" x14ac:dyDescent="0.2">
      <c r="A2" s="9" t="s">
        <v>40</v>
      </c>
      <c r="B2" s="225"/>
      <c r="C2" s="225"/>
      <c r="D2" s="226" t="s">
        <v>41</v>
      </c>
      <c r="E2" s="227"/>
      <c r="F2" s="234"/>
      <c r="G2" s="235"/>
      <c r="H2" s="236"/>
    </row>
    <row r="3" spans="1:8" ht="18.600000000000001" customHeight="1" x14ac:dyDescent="0.2">
      <c r="A3" s="9" t="s">
        <v>42</v>
      </c>
      <c r="B3" s="228"/>
      <c r="C3" s="228"/>
      <c r="D3" s="10"/>
      <c r="E3" s="11"/>
      <c r="F3" s="229" t="s">
        <v>43</v>
      </c>
      <c r="G3" s="230"/>
      <c r="H3" s="231"/>
    </row>
    <row r="4" spans="1:8" ht="18.600000000000001" customHeight="1" x14ac:dyDescent="0.2">
      <c r="A4" s="9" t="s">
        <v>44</v>
      </c>
      <c r="B4" s="237"/>
      <c r="C4" s="237"/>
      <c r="D4" s="12"/>
      <c r="E4" s="13"/>
      <c r="F4" s="238"/>
      <c r="G4" s="239"/>
      <c r="H4" s="239"/>
    </row>
    <row r="5" spans="1:8" x14ac:dyDescent="0.2">
      <c r="A5" s="240" t="s">
        <v>45</v>
      </c>
      <c r="B5" s="242"/>
      <c r="C5" s="242"/>
      <c r="D5" s="242"/>
      <c r="E5" s="243"/>
      <c r="F5" s="244" t="s">
        <v>46</v>
      </c>
      <c r="G5" s="244"/>
      <c r="H5" s="244"/>
    </row>
    <row r="6" spans="1:8" ht="16.5" customHeight="1" x14ac:dyDescent="0.2">
      <c r="A6" s="241"/>
      <c r="B6" s="242"/>
      <c r="C6" s="242"/>
      <c r="D6" s="242"/>
      <c r="E6" s="243"/>
      <c r="F6" s="245" t="s">
        <v>47</v>
      </c>
      <c r="G6" s="246"/>
      <c r="H6" s="14" t="s">
        <v>48</v>
      </c>
    </row>
    <row r="7" spans="1:8" x14ac:dyDescent="0.2">
      <c r="A7" s="256" t="s">
        <v>49</v>
      </c>
      <c r="B7" s="259"/>
      <c r="C7" s="260"/>
      <c r="D7" s="260"/>
      <c r="E7" s="261"/>
      <c r="F7" s="15" t="s">
        <v>50</v>
      </c>
      <c r="G7" s="16"/>
      <c r="H7" s="49"/>
    </row>
    <row r="8" spans="1:8" x14ac:dyDescent="0.2">
      <c r="A8" s="257"/>
      <c r="B8" s="262"/>
      <c r="C8" s="263"/>
      <c r="D8" s="263"/>
      <c r="E8" s="264"/>
      <c r="F8" s="15" t="s">
        <v>51</v>
      </c>
      <c r="G8" s="16"/>
      <c r="H8" s="49"/>
    </row>
    <row r="9" spans="1:8" x14ac:dyDescent="0.2">
      <c r="A9" s="257"/>
      <c r="B9" s="262"/>
      <c r="C9" s="263"/>
      <c r="D9" s="263"/>
      <c r="E9" s="264"/>
      <c r="F9" s="15" t="s">
        <v>52</v>
      </c>
      <c r="G9" s="16"/>
      <c r="H9" s="14"/>
    </row>
    <row r="10" spans="1:8" x14ac:dyDescent="0.2">
      <c r="A10" s="258"/>
      <c r="B10" s="265"/>
      <c r="C10" s="266"/>
      <c r="D10" s="266"/>
      <c r="E10" s="267"/>
      <c r="F10" s="19" t="s">
        <v>53</v>
      </c>
      <c r="G10" s="20"/>
      <c r="H10" s="50"/>
    </row>
    <row r="11" spans="1:8" ht="18.600000000000001" customHeight="1" x14ac:dyDescent="0.2">
      <c r="A11" s="247" t="s">
        <v>80</v>
      </c>
      <c r="B11" s="248"/>
      <c r="C11" s="248"/>
      <c r="D11" s="248"/>
      <c r="E11" s="248"/>
      <c r="F11" s="248"/>
      <c r="G11" s="248"/>
      <c r="H11" s="249"/>
    </row>
    <row r="12" spans="1:8" ht="19.149999999999999" customHeight="1" x14ac:dyDescent="0.2">
      <c r="A12" s="22" t="s">
        <v>54</v>
      </c>
      <c r="B12" s="250"/>
      <c r="C12" s="251"/>
      <c r="D12" s="251"/>
      <c r="E12" s="251"/>
      <c r="F12" s="251"/>
      <c r="G12" s="251"/>
      <c r="H12" s="252"/>
    </row>
    <row r="13" spans="1:8" ht="19.149999999999999" customHeight="1" x14ac:dyDescent="0.2">
      <c r="A13" s="23" t="s">
        <v>38</v>
      </c>
      <c r="B13" s="253"/>
      <c r="C13" s="254"/>
      <c r="D13" s="254"/>
      <c r="E13" s="254"/>
      <c r="F13" s="254"/>
      <c r="G13" s="254"/>
      <c r="H13" s="255"/>
    </row>
    <row r="14" spans="1:8" ht="19.149999999999999" customHeight="1" x14ac:dyDescent="0.2">
      <c r="A14" s="23" t="s">
        <v>55</v>
      </c>
      <c r="B14" s="253"/>
      <c r="C14" s="254"/>
      <c r="D14" s="254"/>
      <c r="E14" s="254"/>
      <c r="F14" s="254"/>
      <c r="G14" s="254"/>
      <c r="H14" s="255"/>
    </row>
    <row r="15" spans="1:8" ht="19.149999999999999" customHeight="1" x14ac:dyDescent="0.2">
      <c r="A15" s="23" t="s">
        <v>56</v>
      </c>
      <c r="B15" s="268"/>
      <c r="C15" s="269"/>
      <c r="D15" s="269"/>
      <c r="E15" s="269"/>
      <c r="F15" s="269"/>
      <c r="G15" s="269"/>
      <c r="H15" s="270"/>
    </row>
    <row r="16" spans="1:8" ht="19.149999999999999" customHeight="1" x14ac:dyDescent="0.2">
      <c r="A16" s="24" t="s">
        <v>57</v>
      </c>
      <c r="B16" s="271"/>
      <c r="C16" s="272"/>
      <c r="D16" s="272"/>
      <c r="E16" s="272"/>
      <c r="F16" s="272"/>
      <c r="G16" s="272"/>
      <c r="H16" s="273"/>
    </row>
    <row r="17" spans="1:8" ht="18.600000000000001" customHeight="1" x14ac:dyDescent="0.2">
      <c r="A17" s="274" t="s">
        <v>81</v>
      </c>
      <c r="B17" s="275"/>
      <c r="C17" s="275"/>
      <c r="D17" s="275"/>
      <c r="E17" s="275"/>
      <c r="F17" s="275"/>
      <c r="G17" s="275"/>
      <c r="H17" s="276"/>
    </row>
    <row r="18" spans="1:8" ht="18.600000000000001" customHeight="1" x14ac:dyDescent="0.2">
      <c r="A18" s="25" t="s">
        <v>58</v>
      </c>
      <c r="B18" s="277"/>
      <c r="C18" s="278"/>
      <c r="D18" s="279"/>
      <c r="E18" s="280" t="s">
        <v>54</v>
      </c>
      <c r="F18" s="281"/>
      <c r="G18" s="282"/>
      <c r="H18" s="279"/>
    </row>
    <row r="19" spans="1:8" ht="18.600000000000001" customHeight="1" x14ac:dyDescent="0.2">
      <c r="A19" s="23" t="s">
        <v>59</v>
      </c>
      <c r="B19" s="283"/>
      <c r="C19" s="284"/>
      <c r="D19" s="285"/>
      <c r="E19" s="286" t="s">
        <v>38</v>
      </c>
      <c r="F19" s="287"/>
      <c r="G19" s="288"/>
      <c r="H19" s="289"/>
    </row>
    <row r="20" spans="1:8" ht="18.600000000000001" customHeight="1" x14ac:dyDescent="0.2">
      <c r="A20" s="23" t="s">
        <v>60</v>
      </c>
      <c r="B20" s="290"/>
      <c r="C20" s="291"/>
      <c r="D20" s="292"/>
      <c r="E20" s="286" t="s">
        <v>55</v>
      </c>
      <c r="F20" s="287"/>
      <c r="G20" s="288"/>
      <c r="H20" s="293"/>
    </row>
    <row r="21" spans="1:8" ht="18.600000000000001" customHeight="1" x14ac:dyDescent="0.2">
      <c r="A21" s="23" t="s">
        <v>61</v>
      </c>
      <c r="B21" s="290"/>
      <c r="C21" s="291"/>
      <c r="D21" s="292"/>
      <c r="E21" s="294" t="s">
        <v>56</v>
      </c>
      <c r="F21" s="295"/>
      <c r="G21" s="296"/>
      <c r="H21" s="297"/>
    </row>
    <row r="22" spans="1:8" ht="18.600000000000001" customHeight="1" x14ac:dyDescent="0.2">
      <c r="A22" s="26" t="s">
        <v>62</v>
      </c>
      <c r="B22" s="290"/>
      <c r="C22" s="291"/>
      <c r="D22" s="292"/>
      <c r="E22" s="27"/>
      <c r="F22" s="27"/>
      <c r="G22" s="27"/>
      <c r="H22" s="28"/>
    </row>
    <row r="23" spans="1:8" ht="18.600000000000001" customHeight="1" x14ac:dyDescent="0.2">
      <c r="A23" s="23" t="s">
        <v>63</v>
      </c>
      <c r="B23" s="298"/>
      <c r="C23" s="299"/>
      <c r="D23" s="300"/>
      <c r="E23" s="27"/>
      <c r="F23" s="27"/>
      <c r="G23" s="27"/>
      <c r="H23" s="28"/>
    </row>
    <row r="24" spans="1:8" ht="18.600000000000001" customHeight="1" x14ac:dyDescent="0.2">
      <c r="A24" s="23" t="s">
        <v>64</v>
      </c>
      <c r="B24" s="298"/>
      <c r="C24" s="299"/>
      <c r="D24" s="300"/>
      <c r="E24" s="29"/>
      <c r="F24" s="27"/>
      <c r="G24" s="27"/>
      <c r="H24" s="28"/>
    </row>
    <row r="25" spans="1:8" ht="18.600000000000001" customHeight="1" x14ac:dyDescent="0.2">
      <c r="A25" s="30" t="s">
        <v>65</v>
      </c>
      <c r="B25" s="301"/>
      <c r="C25" s="302"/>
      <c r="D25" s="303"/>
      <c r="E25" s="31"/>
      <c r="F25" s="32"/>
      <c r="G25" s="32"/>
      <c r="H25" s="33"/>
    </row>
    <row r="26" spans="1:8" ht="18.600000000000001" customHeight="1" x14ac:dyDescent="0.2">
      <c r="A26" s="304" t="s">
        <v>66</v>
      </c>
      <c r="B26" s="305"/>
      <c r="C26" s="305"/>
      <c r="D26" s="305"/>
      <c r="E26" s="305"/>
      <c r="F26" s="305"/>
      <c r="G26" s="305"/>
      <c r="H26" s="306"/>
    </row>
    <row r="27" spans="1:8" ht="18.600000000000001" customHeight="1" x14ac:dyDescent="0.2">
      <c r="A27" s="307" t="s">
        <v>67</v>
      </c>
      <c r="B27" s="308"/>
      <c r="C27" s="308"/>
      <c r="D27" s="308"/>
      <c r="E27" s="308"/>
      <c r="F27" s="309"/>
      <c r="G27" s="34" t="s">
        <v>13</v>
      </c>
      <c r="H27" s="36" t="s">
        <v>78</v>
      </c>
    </row>
    <row r="28" spans="1:8" ht="36" customHeight="1" x14ac:dyDescent="0.2">
      <c r="A28" s="310"/>
      <c r="B28" s="311"/>
      <c r="C28" s="311"/>
      <c r="D28" s="311"/>
      <c r="E28" s="311"/>
      <c r="F28" s="312"/>
      <c r="G28" s="126" t="str">
        <f>IF(AND(ISBLANK(B16)),"",B16)</f>
        <v/>
      </c>
      <c r="H28" s="128" t="str">
        <f>IF(AND(ISBLANK(B12)),"",B12)</f>
        <v/>
      </c>
    </row>
    <row r="29" spans="1:8" ht="36" customHeight="1" x14ac:dyDescent="0.2">
      <c r="A29" s="315"/>
      <c r="B29" s="316"/>
      <c r="C29" s="316"/>
      <c r="D29" s="316"/>
      <c r="E29" s="316"/>
      <c r="F29" s="317"/>
      <c r="G29" s="51"/>
      <c r="H29" s="35"/>
    </row>
    <row r="30" spans="1:8" ht="36" customHeight="1" x14ac:dyDescent="0.2">
      <c r="A30" s="315"/>
      <c r="B30" s="316"/>
      <c r="C30" s="316"/>
      <c r="D30" s="316"/>
      <c r="E30" s="316"/>
      <c r="F30" s="317"/>
      <c r="G30" s="51"/>
      <c r="H30" s="52"/>
    </row>
    <row r="31" spans="1:8" ht="36" customHeight="1" x14ac:dyDescent="0.2">
      <c r="A31" s="315"/>
      <c r="B31" s="316"/>
      <c r="C31" s="316"/>
      <c r="D31" s="316"/>
      <c r="E31" s="316"/>
      <c r="F31" s="317"/>
      <c r="G31" s="53"/>
      <c r="H31" s="52"/>
    </row>
    <row r="32" spans="1:8" ht="36" customHeight="1" x14ac:dyDescent="0.2">
      <c r="A32" s="320"/>
      <c r="B32" s="321"/>
      <c r="C32" s="321"/>
      <c r="D32" s="321"/>
      <c r="E32" s="321"/>
      <c r="F32" s="322"/>
      <c r="G32" s="54"/>
      <c r="H32" s="55"/>
    </row>
    <row r="33" spans="1:8" ht="15.75" x14ac:dyDescent="0.2">
      <c r="A33" s="326" t="s">
        <v>68</v>
      </c>
      <c r="B33" s="327"/>
      <c r="C33" s="327"/>
      <c r="D33" s="328"/>
      <c r="E33" s="323" t="s">
        <v>69</v>
      </c>
      <c r="F33" s="324"/>
      <c r="G33" s="324"/>
      <c r="H33" s="325"/>
    </row>
    <row r="34" spans="1:8" ht="16.899999999999999" customHeight="1" x14ac:dyDescent="0.2">
      <c r="A34" s="329" t="s">
        <v>70</v>
      </c>
      <c r="B34" s="329"/>
      <c r="C34" s="67"/>
      <c r="D34" s="340"/>
      <c r="E34" s="331" t="s">
        <v>71</v>
      </c>
      <c r="F34" s="330" t="s">
        <v>99</v>
      </c>
      <c r="G34" s="330"/>
      <c r="H34" s="68"/>
    </row>
    <row r="35" spans="1:8" ht="16.899999999999999" customHeight="1" x14ac:dyDescent="0.2">
      <c r="A35" s="329" t="s">
        <v>72</v>
      </c>
      <c r="B35" s="329"/>
      <c r="C35" s="67"/>
      <c r="D35" s="341"/>
      <c r="E35" s="332"/>
      <c r="F35" s="330" t="s">
        <v>100</v>
      </c>
      <c r="G35" s="330"/>
      <c r="H35" s="68"/>
    </row>
    <row r="36" spans="1:8" ht="16.899999999999999" customHeight="1" x14ac:dyDescent="0.2">
      <c r="A36" s="329" t="s">
        <v>73</v>
      </c>
      <c r="B36" s="329"/>
      <c r="C36" s="69"/>
      <c r="D36" s="341"/>
      <c r="E36" s="332"/>
      <c r="F36" s="330" t="s">
        <v>101</v>
      </c>
      <c r="G36" s="330"/>
      <c r="H36" s="68"/>
    </row>
    <row r="37" spans="1:8" ht="16.899999999999999" customHeight="1" x14ac:dyDescent="0.2">
      <c r="A37" s="329" t="s">
        <v>74</v>
      </c>
      <c r="B37" s="329"/>
      <c r="C37" s="69"/>
      <c r="D37" s="341"/>
      <c r="E37" s="332"/>
      <c r="F37" s="336" t="s">
        <v>102</v>
      </c>
      <c r="G37" s="337"/>
      <c r="H37" s="318"/>
    </row>
    <row r="38" spans="1:8" ht="16.899999999999999" customHeight="1" x14ac:dyDescent="0.2">
      <c r="A38" s="329" t="s">
        <v>75</v>
      </c>
      <c r="B38" s="329"/>
      <c r="C38" s="69"/>
      <c r="D38" s="342"/>
      <c r="E38" s="333"/>
      <c r="F38" s="338"/>
      <c r="G38" s="339"/>
      <c r="H38" s="319"/>
    </row>
    <row r="39" spans="1:8" x14ac:dyDescent="0.2">
      <c r="A39" s="334" t="s">
        <v>79</v>
      </c>
      <c r="B39" s="334"/>
      <c r="C39" s="334" t="s">
        <v>76</v>
      </c>
      <c r="D39" s="335"/>
      <c r="E39" s="335"/>
      <c r="F39" s="334" t="s">
        <v>77</v>
      </c>
      <c r="G39" s="334"/>
      <c r="H39" s="334"/>
    </row>
    <row r="40" spans="1:8" x14ac:dyDescent="0.2">
      <c r="A40" s="334"/>
      <c r="B40" s="334"/>
      <c r="C40" s="335"/>
      <c r="D40" s="335"/>
      <c r="E40" s="335"/>
      <c r="F40" s="334"/>
      <c r="G40" s="334"/>
      <c r="H40" s="334"/>
    </row>
    <row r="41" spans="1:8" x14ac:dyDescent="0.2">
      <c r="A41" s="313" t="str">
        <f>IF(AND(ISBLANK(B12)),"",B12)</f>
        <v/>
      </c>
      <c r="B41" s="314"/>
      <c r="C41" s="313" t="str">
        <f>IF(AND(ISBLANK(G18)),"",G18)</f>
        <v/>
      </c>
      <c r="D41" s="314" t="e">
        <f>IF(AND(ISBLANK(#REF!)),"",#REF!)</f>
        <v>#REF!</v>
      </c>
      <c r="E41" s="314" t="e">
        <f>IF(AND(ISBLANK(#REF!)),"",#REF!)</f>
        <v>#REF!</v>
      </c>
      <c r="F41" s="314" t="str">
        <f>IF(AND(ISBLANK(F4)),"",F4)</f>
        <v/>
      </c>
      <c r="G41" s="314" t="e">
        <f>IF(AND(ISBLANK(#REF!)),"",#REF!)</f>
        <v>#REF!</v>
      </c>
      <c r="H41" s="314" t="e">
        <f>IF(AND(ISBLANK(#REF!)),"",#REF!)</f>
        <v>#REF!</v>
      </c>
    </row>
    <row r="42" spans="1:8" ht="24.75" customHeight="1" x14ac:dyDescent="0.2">
      <c r="A42" s="314"/>
      <c r="B42" s="314"/>
      <c r="C42" s="314" t="e">
        <f>IF(AND(ISBLANK(#REF!)),"",#REF!)</f>
        <v>#REF!</v>
      </c>
      <c r="D42" s="314" t="e">
        <f>IF(AND(ISBLANK(#REF!)),"",#REF!)</f>
        <v>#REF!</v>
      </c>
      <c r="E42" s="314" t="e">
        <f>IF(AND(ISBLANK(#REF!)),"",#REF!)</f>
        <v>#REF!</v>
      </c>
      <c r="F42" s="314" t="e">
        <f>IF(AND(ISBLANK(#REF!)),"",#REF!)</f>
        <v>#REF!</v>
      </c>
      <c r="G42" s="314" t="e">
        <f>IF(AND(ISBLANK(#REF!)),"",#REF!)</f>
        <v>#REF!</v>
      </c>
      <c r="H42" s="314"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zoomScaleNormal="100" workbookViewId="0">
      <selection activeCell="D47" sqref="D47:G49"/>
    </sheetView>
  </sheetViews>
  <sheetFormatPr baseColWidth="10" defaultRowHeight="12.75" x14ac:dyDescent="0.2"/>
  <cols>
    <col min="1" max="1" width="3.7109375" customWidth="1"/>
    <col min="3" max="3" width="6" customWidth="1"/>
    <col min="5" max="5" width="9.5703125" customWidth="1"/>
    <col min="6" max="6" width="9.7109375" customWidth="1"/>
    <col min="7" max="7" width="10.42578125" customWidth="1"/>
  </cols>
  <sheetData>
    <row r="1" spans="1:9" ht="23.25" customHeight="1" x14ac:dyDescent="0.2">
      <c r="A1" s="137"/>
      <c r="B1" s="45"/>
      <c r="C1" s="344" t="s">
        <v>90</v>
      </c>
      <c r="D1" s="344"/>
      <c r="E1" s="344"/>
      <c r="F1" s="344"/>
      <c r="G1" s="344"/>
      <c r="H1" s="225" t="s">
        <v>103</v>
      </c>
      <c r="I1" s="225"/>
    </row>
    <row r="2" spans="1:9" ht="25.5" x14ac:dyDescent="0.2">
      <c r="A2" s="138"/>
      <c r="B2" s="9" t="s">
        <v>40</v>
      </c>
      <c r="C2" s="225" t="str">
        <f>IF(AND(ISBLANK('Orden de Pedido'!B2)),"",'Orden de Pedido'!B2)</f>
        <v/>
      </c>
      <c r="D2" s="345"/>
      <c r="E2" s="226" t="s">
        <v>41</v>
      </c>
      <c r="F2" s="227"/>
      <c r="G2" s="346"/>
      <c r="H2" s="347"/>
      <c r="I2" s="348"/>
    </row>
    <row r="3" spans="1:9" ht="25.5" x14ac:dyDescent="0.2">
      <c r="A3" s="138"/>
      <c r="B3" s="9" t="s">
        <v>42</v>
      </c>
      <c r="C3" s="343" t="str">
        <f>IF(AND(ISBLANK('Orden de Pedido'!B3)),"",'Orden de Pedido'!B3)</f>
        <v/>
      </c>
      <c r="D3" s="343"/>
      <c r="E3" s="120" t="str">
        <f>IF(AND(ISBLANK('Orden de Pedido'!D3)),"",'Orden de Pedido'!D3)</f>
        <v/>
      </c>
      <c r="F3" s="120" t="str">
        <f>IF(AND(ISBLANK('Orden de Pedido'!E3)),"",'Orden de Pedido'!E3)</f>
        <v/>
      </c>
      <c r="G3" s="66" t="s">
        <v>43</v>
      </c>
      <c r="H3" s="313" t="str">
        <f>IF(AND(ISBLANK('Orden de Pedido'!F4)),"",'Orden de Pedido'!F4)</f>
        <v/>
      </c>
      <c r="I3" s="313"/>
    </row>
    <row r="4" spans="1:9" x14ac:dyDescent="0.2">
      <c r="A4" s="137"/>
      <c r="B4" s="9" t="s">
        <v>44</v>
      </c>
      <c r="C4" s="350" t="str">
        <f>IF(AND(ISBLANK('Orden de Pedido'!B4)),"",'Orden de Pedido'!B4)</f>
        <v/>
      </c>
      <c r="D4" s="350"/>
      <c r="E4" s="120" t="str">
        <f>IF(AND(ISBLANK('Orden de Pedido'!D4)),"",'Orden de Pedido'!D4)</f>
        <v/>
      </c>
      <c r="F4" s="120" t="str">
        <f>IF(AND(ISBLANK('Orden de Pedido'!E4)),"",'Orden de Pedido'!E4)</f>
        <v/>
      </c>
      <c r="G4" s="65" t="s">
        <v>104</v>
      </c>
      <c r="H4" s="351"/>
      <c r="I4" s="351"/>
    </row>
    <row r="5" spans="1:9" x14ac:dyDescent="0.2">
      <c r="A5" s="137"/>
      <c r="B5" s="240" t="s">
        <v>45</v>
      </c>
      <c r="C5" s="313" t="str">
        <f>IF(AND(ISBLANK('Orden de Pedido'!B5)),"",'Orden de Pedido'!B5)</f>
        <v/>
      </c>
      <c r="D5" s="314"/>
      <c r="E5" s="314"/>
      <c r="F5" s="352"/>
      <c r="G5" s="244" t="s">
        <v>46</v>
      </c>
      <c r="H5" s="244"/>
      <c r="I5" s="244"/>
    </row>
    <row r="6" spans="1:9" ht="9.75" customHeight="1" x14ac:dyDescent="0.2">
      <c r="A6" s="137"/>
      <c r="B6" s="241"/>
      <c r="C6" s="314"/>
      <c r="D6" s="314"/>
      <c r="E6" s="314"/>
      <c r="F6" s="352"/>
      <c r="G6" s="245" t="s">
        <v>47</v>
      </c>
      <c r="H6" s="246"/>
      <c r="I6" s="14" t="s">
        <v>48</v>
      </c>
    </row>
    <row r="7" spans="1:9" x14ac:dyDescent="0.2">
      <c r="A7" s="137"/>
      <c r="B7" s="256" t="s">
        <v>49</v>
      </c>
      <c r="C7" s="313" t="str">
        <f>IF(AND(ISBLANK('Orden de Pedido'!B7)),"",'Orden de Pedido'!B7)</f>
        <v/>
      </c>
      <c r="D7" s="313"/>
      <c r="E7" s="313"/>
      <c r="F7" s="313"/>
      <c r="G7" s="15" t="s">
        <v>50</v>
      </c>
      <c r="H7" s="127" t="str">
        <f>IF(AND('Orden de Pedido'!G7="X"),"X","")</f>
        <v/>
      </c>
      <c r="I7" s="17" t="str">
        <f>IF(AND('Orden de Pedido'!H7="X"),"X","")</f>
        <v/>
      </c>
    </row>
    <row r="8" spans="1:9" x14ac:dyDescent="0.2">
      <c r="A8" s="137"/>
      <c r="B8" s="257"/>
      <c r="C8" s="313"/>
      <c r="D8" s="313"/>
      <c r="E8" s="313"/>
      <c r="F8" s="313"/>
      <c r="G8" s="15" t="s">
        <v>51</v>
      </c>
      <c r="H8" s="16" t="str">
        <f>IF(AND('Orden de Pedido'!G8="X"),"X","")</f>
        <v/>
      </c>
      <c r="I8" s="17"/>
    </row>
    <row r="9" spans="1:9" ht="9.75" customHeight="1" x14ac:dyDescent="0.2">
      <c r="A9" s="137"/>
      <c r="B9" s="257"/>
      <c r="C9" s="313"/>
      <c r="D9" s="313"/>
      <c r="E9" s="313"/>
      <c r="F9" s="313"/>
      <c r="G9" s="15" t="s">
        <v>52</v>
      </c>
      <c r="H9" s="16" t="str">
        <f>IF(AND('Orden de Pedido'!G9="X"),"X","")</f>
        <v/>
      </c>
      <c r="I9" s="18"/>
    </row>
    <row r="10" spans="1:9" ht="6.75" customHeight="1" x14ac:dyDescent="0.2">
      <c r="A10" s="137"/>
      <c r="B10" s="258"/>
      <c r="C10" s="313"/>
      <c r="D10" s="313"/>
      <c r="E10" s="313"/>
      <c r="F10" s="313"/>
      <c r="G10" s="19" t="s">
        <v>53</v>
      </c>
      <c r="H10" s="20" t="str">
        <f>IF(AND('Orden de Pedido'!G10="X"),"X","")</f>
        <v/>
      </c>
      <c r="I10" s="21" t="str">
        <f>IF(AND('Orden de Pedido'!H10="X"),"X","")</f>
        <v/>
      </c>
    </row>
    <row r="11" spans="1:9" ht="14.25" x14ac:dyDescent="0.2">
      <c r="A11" s="137"/>
      <c r="B11" s="46" t="s">
        <v>93</v>
      </c>
      <c r="C11" s="353" t="str">
        <f>IF(AND(ISBLANK(C5)),"",C5)</f>
        <v/>
      </c>
      <c r="D11" s="353"/>
      <c r="E11" s="353"/>
      <c r="F11" s="353"/>
      <c r="G11" s="353"/>
      <c r="H11" s="353"/>
      <c r="I11" s="353"/>
    </row>
    <row r="12" spans="1:9" ht="14.25" x14ac:dyDescent="0.2">
      <c r="A12" s="137"/>
      <c r="B12" s="46" t="s">
        <v>92</v>
      </c>
      <c r="C12" s="354" t="str">
        <f>IF(AND(ISBLANK('Orden de Pedido'!B2)),"",'Orden de Pedido'!B2)</f>
        <v/>
      </c>
      <c r="D12" s="354"/>
      <c r="E12" s="354"/>
      <c r="F12" s="354"/>
      <c r="G12" s="354"/>
      <c r="H12" s="354"/>
      <c r="I12" s="354"/>
    </row>
    <row r="13" spans="1:9" x14ac:dyDescent="0.2">
      <c r="A13" s="137"/>
      <c r="B13" s="355" t="s">
        <v>67</v>
      </c>
      <c r="C13" s="355"/>
      <c r="D13" s="355"/>
      <c r="E13" s="355"/>
      <c r="F13" s="355"/>
      <c r="G13" s="355"/>
      <c r="H13" s="355"/>
      <c r="I13" s="355"/>
    </row>
    <row r="14" spans="1:9" x14ac:dyDescent="0.2">
      <c r="A14" s="137"/>
      <c r="B14" s="349" t="str">
        <f>IF(AND(ISBLANK('Orden de Pedido'!A28)),"",'Orden de Pedido'!A28)</f>
        <v/>
      </c>
      <c r="C14" s="349"/>
      <c r="D14" s="349"/>
      <c r="E14" s="349"/>
      <c r="F14" s="349"/>
      <c r="G14" s="349"/>
      <c r="H14" s="349"/>
      <c r="I14" s="349"/>
    </row>
    <row r="15" spans="1:9" x14ac:dyDescent="0.2">
      <c r="A15" s="70" t="s">
        <v>91</v>
      </c>
      <c r="B15" s="356" t="s">
        <v>67</v>
      </c>
      <c r="C15" s="357"/>
      <c r="D15" s="356" t="s">
        <v>105</v>
      </c>
      <c r="E15" s="357"/>
      <c r="F15" s="357"/>
      <c r="G15" s="357"/>
      <c r="H15" s="71" t="s">
        <v>106</v>
      </c>
      <c r="I15" s="72" t="s">
        <v>107</v>
      </c>
    </row>
    <row r="16" spans="1:9" x14ac:dyDescent="0.2">
      <c r="A16" s="152">
        <v>1</v>
      </c>
      <c r="B16" s="358" t="s">
        <v>108</v>
      </c>
      <c r="C16" s="359"/>
      <c r="D16" s="358"/>
      <c r="E16" s="360"/>
      <c r="F16" s="360"/>
      <c r="G16" s="360"/>
      <c r="H16" s="154"/>
      <c r="I16" s="153"/>
    </row>
    <row r="17" spans="1:9" x14ac:dyDescent="0.2">
      <c r="A17" s="361">
        <v>2</v>
      </c>
      <c r="B17" s="362" t="s">
        <v>109</v>
      </c>
      <c r="C17" s="363"/>
      <c r="D17" s="358"/>
      <c r="E17" s="360"/>
      <c r="F17" s="360"/>
      <c r="G17" s="360"/>
      <c r="H17" s="345"/>
      <c r="I17" s="368"/>
    </row>
    <row r="18" spans="1:9" x14ac:dyDescent="0.2">
      <c r="A18" s="361"/>
      <c r="B18" s="364"/>
      <c r="C18" s="365"/>
      <c r="D18" s="366"/>
      <c r="E18" s="367"/>
      <c r="F18" s="367"/>
      <c r="G18" s="367"/>
      <c r="H18" s="345"/>
      <c r="I18" s="369"/>
    </row>
    <row r="19" spans="1:9" x14ac:dyDescent="0.2">
      <c r="A19" s="371" t="s">
        <v>110</v>
      </c>
      <c r="B19" s="361" t="s">
        <v>111</v>
      </c>
      <c r="C19" s="361"/>
      <c r="D19" s="345"/>
      <c r="E19" s="345"/>
      <c r="F19" s="345"/>
      <c r="G19" s="345"/>
      <c r="H19" s="154"/>
      <c r="I19" s="154"/>
    </row>
    <row r="20" spans="1:9" x14ac:dyDescent="0.2">
      <c r="A20" s="372"/>
      <c r="B20" s="361" t="s">
        <v>112</v>
      </c>
      <c r="C20" s="361"/>
      <c r="D20" s="345"/>
      <c r="E20" s="345"/>
      <c r="F20" s="345"/>
      <c r="G20" s="345"/>
      <c r="H20" s="154"/>
      <c r="I20" s="154"/>
    </row>
    <row r="21" spans="1:9" x14ac:dyDescent="0.2">
      <c r="A21" s="372"/>
      <c r="B21" s="361" t="s">
        <v>113</v>
      </c>
      <c r="C21" s="361"/>
      <c r="D21" s="345"/>
      <c r="E21" s="345"/>
      <c r="F21" s="345"/>
      <c r="G21" s="345"/>
      <c r="H21" s="154"/>
      <c r="I21" s="154"/>
    </row>
    <row r="22" spans="1:9" x14ac:dyDescent="0.2">
      <c r="A22" s="373"/>
      <c r="B22" s="361" t="s">
        <v>102</v>
      </c>
      <c r="C22" s="361"/>
      <c r="D22" s="345"/>
      <c r="E22" s="345"/>
      <c r="F22" s="345"/>
      <c r="G22" s="345"/>
      <c r="H22" s="154"/>
      <c r="I22" s="151"/>
    </row>
    <row r="23" spans="1:9" ht="9.75" customHeight="1" x14ac:dyDescent="0.2">
      <c r="A23" s="361">
        <v>3</v>
      </c>
      <c r="B23" s="374" t="s">
        <v>1</v>
      </c>
      <c r="C23" s="363"/>
      <c r="D23" s="358"/>
      <c r="E23" s="360"/>
      <c r="F23" s="360"/>
      <c r="G23" s="360"/>
      <c r="H23" s="345"/>
      <c r="I23" s="368"/>
    </row>
    <row r="24" spans="1:9" ht="9.75" customHeight="1" x14ac:dyDescent="0.2">
      <c r="A24" s="361"/>
      <c r="B24" s="364"/>
      <c r="C24" s="365"/>
      <c r="D24" s="366"/>
      <c r="E24" s="367"/>
      <c r="F24" s="367"/>
      <c r="G24" s="367"/>
      <c r="H24" s="345"/>
      <c r="I24" s="369"/>
    </row>
    <row r="25" spans="1:9" ht="9.75" customHeight="1" x14ac:dyDescent="0.2">
      <c r="A25" s="361"/>
      <c r="B25" s="375"/>
      <c r="C25" s="376"/>
      <c r="D25" s="377"/>
      <c r="E25" s="378"/>
      <c r="F25" s="378"/>
      <c r="G25" s="378"/>
      <c r="H25" s="345"/>
      <c r="I25" s="370"/>
    </row>
    <row r="26" spans="1:9" ht="9.75" customHeight="1" x14ac:dyDescent="0.2">
      <c r="A26" s="361">
        <v>4</v>
      </c>
      <c r="B26" s="374" t="s">
        <v>1</v>
      </c>
      <c r="C26" s="363"/>
      <c r="D26" s="358"/>
      <c r="E26" s="360"/>
      <c r="F26" s="360"/>
      <c r="G26" s="360"/>
      <c r="H26" s="345"/>
      <c r="I26" s="368"/>
    </row>
    <row r="27" spans="1:9" ht="9.75" customHeight="1" x14ac:dyDescent="0.2">
      <c r="A27" s="361"/>
      <c r="B27" s="364"/>
      <c r="C27" s="365"/>
      <c r="D27" s="366"/>
      <c r="E27" s="367"/>
      <c r="F27" s="367"/>
      <c r="G27" s="367"/>
      <c r="H27" s="345"/>
      <c r="I27" s="369"/>
    </row>
    <row r="28" spans="1:9" ht="9.75" customHeight="1" x14ac:dyDescent="0.2">
      <c r="A28" s="361"/>
      <c r="B28" s="375"/>
      <c r="C28" s="376"/>
      <c r="D28" s="377"/>
      <c r="E28" s="378"/>
      <c r="F28" s="378"/>
      <c r="G28" s="378"/>
      <c r="H28" s="345"/>
      <c r="I28" s="370"/>
    </row>
    <row r="29" spans="1:9" ht="9.75" customHeight="1" x14ac:dyDescent="0.2">
      <c r="A29" s="361">
        <v>5</v>
      </c>
      <c r="B29" s="374" t="s">
        <v>1</v>
      </c>
      <c r="C29" s="363"/>
      <c r="D29" s="358"/>
      <c r="E29" s="360"/>
      <c r="F29" s="360"/>
      <c r="G29" s="360"/>
      <c r="H29" s="345"/>
      <c r="I29" s="368"/>
    </row>
    <row r="30" spans="1:9" ht="9.75" customHeight="1" x14ac:dyDescent="0.2">
      <c r="A30" s="361"/>
      <c r="B30" s="364"/>
      <c r="C30" s="365"/>
      <c r="D30" s="366"/>
      <c r="E30" s="367"/>
      <c r="F30" s="367"/>
      <c r="G30" s="367"/>
      <c r="H30" s="345"/>
      <c r="I30" s="369"/>
    </row>
    <row r="31" spans="1:9" ht="9.75" customHeight="1" x14ac:dyDescent="0.2">
      <c r="A31" s="361"/>
      <c r="B31" s="375"/>
      <c r="C31" s="376"/>
      <c r="D31" s="377"/>
      <c r="E31" s="378"/>
      <c r="F31" s="378"/>
      <c r="G31" s="378"/>
      <c r="H31" s="345"/>
      <c r="I31" s="370"/>
    </row>
    <row r="32" spans="1:9" ht="9.75" customHeight="1" x14ac:dyDescent="0.2">
      <c r="A32" s="361">
        <v>6</v>
      </c>
      <c r="B32" s="374" t="s">
        <v>1</v>
      </c>
      <c r="C32" s="363"/>
      <c r="D32" s="358"/>
      <c r="E32" s="360"/>
      <c r="F32" s="360"/>
      <c r="G32" s="360"/>
      <c r="H32" s="345"/>
      <c r="I32" s="368"/>
    </row>
    <row r="33" spans="1:9" ht="9.75" customHeight="1" x14ac:dyDescent="0.2">
      <c r="A33" s="361"/>
      <c r="B33" s="364"/>
      <c r="C33" s="365"/>
      <c r="D33" s="366"/>
      <c r="E33" s="367"/>
      <c r="F33" s="367"/>
      <c r="G33" s="367"/>
      <c r="H33" s="345"/>
      <c r="I33" s="369"/>
    </row>
    <row r="34" spans="1:9" ht="9.75" customHeight="1" x14ac:dyDescent="0.2">
      <c r="A34" s="361"/>
      <c r="B34" s="375"/>
      <c r="C34" s="376"/>
      <c r="D34" s="377"/>
      <c r="E34" s="378"/>
      <c r="F34" s="378"/>
      <c r="G34" s="378"/>
      <c r="H34" s="345"/>
      <c r="I34" s="370"/>
    </row>
    <row r="35" spans="1:9" ht="9.75" customHeight="1" x14ac:dyDescent="0.2">
      <c r="A35" s="361">
        <v>7</v>
      </c>
      <c r="B35" s="374" t="s">
        <v>1</v>
      </c>
      <c r="C35" s="363"/>
      <c r="D35" s="358"/>
      <c r="E35" s="360"/>
      <c r="F35" s="360"/>
      <c r="G35" s="360"/>
      <c r="H35" s="345"/>
      <c r="I35" s="368"/>
    </row>
    <row r="36" spans="1:9" ht="9.75" customHeight="1" x14ac:dyDescent="0.2">
      <c r="A36" s="361"/>
      <c r="B36" s="364"/>
      <c r="C36" s="365"/>
      <c r="D36" s="366"/>
      <c r="E36" s="367"/>
      <c r="F36" s="367"/>
      <c r="G36" s="367"/>
      <c r="H36" s="345"/>
      <c r="I36" s="369"/>
    </row>
    <row r="37" spans="1:9" ht="9.75" customHeight="1" x14ac:dyDescent="0.2">
      <c r="A37" s="361"/>
      <c r="B37" s="375"/>
      <c r="C37" s="376"/>
      <c r="D37" s="377"/>
      <c r="E37" s="378"/>
      <c r="F37" s="378"/>
      <c r="G37" s="378"/>
      <c r="H37" s="345"/>
      <c r="I37" s="370"/>
    </row>
    <row r="38" spans="1:9" ht="9.75" customHeight="1" x14ac:dyDescent="0.2">
      <c r="A38" s="361">
        <v>8</v>
      </c>
      <c r="B38" s="374" t="s">
        <v>1</v>
      </c>
      <c r="C38" s="363"/>
      <c r="D38" s="358"/>
      <c r="E38" s="360"/>
      <c r="F38" s="360"/>
      <c r="G38" s="360"/>
      <c r="H38" s="345"/>
      <c r="I38" s="368"/>
    </row>
    <row r="39" spans="1:9" ht="9.75" customHeight="1" x14ac:dyDescent="0.2">
      <c r="A39" s="361"/>
      <c r="B39" s="364"/>
      <c r="C39" s="365"/>
      <c r="D39" s="366"/>
      <c r="E39" s="367"/>
      <c r="F39" s="367"/>
      <c r="G39" s="367"/>
      <c r="H39" s="345"/>
      <c r="I39" s="369"/>
    </row>
    <row r="40" spans="1:9" ht="9.75" customHeight="1" x14ac:dyDescent="0.2">
      <c r="A40" s="361"/>
      <c r="B40" s="375"/>
      <c r="C40" s="376"/>
      <c r="D40" s="377"/>
      <c r="E40" s="378"/>
      <c r="F40" s="378"/>
      <c r="G40" s="378"/>
      <c r="H40" s="345"/>
      <c r="I40" s="370"/>
    </row>
    <row r="41" spans="1:9" ht="9.75" customHeight="1" x14ac:dyDescent="0.2">
      <c r="A41" s="379">
        <v>9</v>
      </c>
      <c r="B41" s="374" t="s">
        <v>1</v>
      </c>
      <c r="C41" s="363"/>
      <c r="D41" s="358"/>
      <c r="E41" s="360"/>
      <c r="F41" s="360"/>
      <c r="G41" s="359"/>
      <c r="H41" s="368"/>
      <c r="I41" s="368"/>
    </row>
    <row r="42" spans="1:9" ht="9.75" customHeight="1" x14ac:dyDescent="0.2">
      <c r="A42" s="380"/>
      <c r="B42" s="364"/>
      <c r="C42" s="365"/>
      <c r="D42" s="366"/>
      <c r="E42" s="367"/>
      <c r="F42" s="367"/>
      <c r="G42" s="382"/>
      <c r="H42" s="369"/>
      <c r="I42" s="369"/>
    </row>
    <row r="43" spans="1:9" ht="9.75" customHeight="1" x14ac:dyDescent="0.2">
      <c r="A43" s="381"/>
      <c r="B43" s="375"/>
      <c r="C43" s="376"/>
      <c r="D43" s="377"/>
      <c r="E43" s="378"/>
      <c r="F43" s="378"/>
      <c r="G43" s="383"/>
      <c r="H43" s="370"/>
      <c r="I43" s="370"/>
    </row>
    <row r="44" spans="1:9" ht="9.75" customHeight="1" x14ac:dyDescent="0.2">
      <c r="A44" s="379">
        <v>10</v>
      </c>
      <c r="B44" s="374" t="s">
        <v>1</v>
      </c>
      <c r="C44" s="363"/>
      <c r="D44" s="358"/>
      <c r="E44" s="360"/>
      <c r="F44" s="360"/>
      <c r="G44" s="359"/>
      <c r="H44" s="368"/>
      <c r="I44" s="368"/>
    </row>
    <row r="45" spans="1:9" ht="9.75" customHeight="1" x14ac:dyDescent="0.2">
      <c r="A45" s="380"/>
      <c r="B45" s="364"/>
      <c r="C45" s="365"/>
      <c r="D45" s="366"/>
      <c r="E45" s="367"/>
      <c r="F45" s="367"/>
      <c r="G45" s="382"/>
      <c r="H45" s="369"/>
      <c r="I45" s="369"/>
    </row>
    <row r="46" spans="1:9" ht="9.75" customHeight="1" x14ac:dyDescent="0.2">
      <c r="A46" s="381"/>
      <c r="B46" s="375"/>
      <c r="C46" s="376"/>
      <c r="D46" s="377"/>
      <c r="E46" s="378"/>
      <c r="F46" s="378"/>
      <c r="G46" s="383"/>
      <c r="H46" s="370"/>
      <c r="I46" s="370"/>
    </row>
    <row r="47" spans="1:9" ht="9.75" customHeight="1" x14ac:dyDescent="0.2">
      <c r="A47" s="379">
        <v>11</v>
      </c>
      <c r="B47" s="374" t="s">
        <v>1</v>
      </c>
      <c r="C47" s="363"/>
      <c r="D47" s="358"/>
      <c r="E47" s="360"/>
      <c r="F47" s="360"/>
      <c r="G47" s="359"/>
      <c r="H47" s="368"/>
      <c r="I47" s="368"/>
    </row>
    <row r="48" spans="1:9" ht="9.75" customHeight="1" x14ac:dyDescent="0.2">
      <c r="A48" s="380"/>
      <c r="B48" s="364"/>
      <c r="C48" s="365"/>
      <c r="D48" s="366"/>
      <c r="E48" s="367"/>
      <c r="F48" s="367"/>
      <c r="G48" s="382"/>
      <c r="H48" s="369"/>
      <c r="I48" s="369"/>
    </row>
    <row r="49" spans="1:9" ht="9.75" customHeight="1" x14ac:dyDescent="0.2">
      <c r="A49" s="381"/>
      <c r="B49" s="375"/>
      <c r="C49" s="376"/>
      <c r="D49" s="377"/>
      <c r="E49" s="378"/>
      <c r="F49" s="378"/>
      <c r="G49" s="383"/>
      <c r="H49" s="370"/>
      <c r="I49" s="370"/>
    </row>
    <row r="50" spans="1:9" ht="9.75" customHeight="1" x14ac:dyDescent="0.2">
      <c r="A50" s="379">
        <v>12</v>
      </c>
      <c r="B50" s="374" t="s">
        <v>1</v>
      </c>
      <c r="C50" s="363"/>
      <c r="D50" s="358"/>
      <c r="E50" s="360"/>
      <c r="F50" s="360"/>
      <c r="G50" s="359"/>
      <c r="H50" s="368"/>
      <c r="I50" s="368"/>
    </row>
    <row r="51" spans="1:9" ht="9.75" customHeight="1" x14ac:dyDescent="0.2">
      <c r="A51" s="380"/>
      <c r="B51" s="364"/>
      <c r="C51" s="365"/>
      <c r="D51" s="366"/>
      <c r="E51" s="367"/>
      <c r="F51" s="367"/>
      <c r="G51" s="382"/>
      <c r="H51" s="369"/>
      <c r="I51" s="369"/>
    </row>
    <row r="52" spans="1:9" ht="9.75" customHeight="1" x14ac:dyDescent="0.2">
      <c r="A52" s="381"/>
      <c r="B52" s="375"/>
      <c r="C52" s="376"/>
      <c r="D52" s="377"/>
      <c r="E52" s="378"/>
      <c r="F52" s="378"/>
      <c r="G52" s="383"/>
      <c r="H52" s="370"/>
      <c r="I52" s="370"/>
    </row>
    <row r="53" spans="1:9" ht="9.75" customHeight="1" x14ac:dyDescent="0.2">
      <c r="A53" s="379">
        <v>13</v>
      </c>
      <c r="B53" s="362"/>
      <c r="C53" s="384"/>
      <c r="D53" s="389"/>
      <c r="E53" s="390"/>
      <c r="F53" s="390"/>
      <c r="G53" s="391"/>
      <c r="H53" s="398"/>
      <c r="I53" s="368"/>
    </row>
    <row r="54" spans="1:9" ht="9.75" customHeight="1" x14ac:dyDescent="0.2">
      <c r="A54" s="380"/>
      <c r="B54" s="385"/>
      <c r="C54" s="386"/>
      <c r="D54" s="392"/>
      <c r="E54" s="393"/>
      <c r="F54" s="393"/>
      <c r="G54" s="394"/>
      <c r="H54" s="399"/>
      <c r="I54" s="369"/>
    </row>
    <row r="55" spans="1:9" ht="9.75" customHeight="1" x14ac:dyDescent="0.2">
      <c r="A55" s="381"/>
      <c r="B55" s="387"/>
      <c r="C55" s="388"/>
      <c r="D55" s="395"/>
      <c r="E55" s="396"/>
      <c r="F55" s="396"/>
      <c r="G55" s="397"/>
      <c r="H55" s="400"/>
      <c r="I55" s="370"/>
    </row>
    <row r="56" spans="1:9" x14ac:dyDescent="0.2">
      <c r="A56" s="401"/>
      <c r="B56" s="402"/>
      <c r="C56" s="402"/>
      <c r="D56" s="402"/>
      <c r="E56" s="402"/>
      <c r="F56" s="402"/>
      <c r="G56" s="402"/>
      <c r="H56" s="402"/>
      <c r="I56" s="403"/>
    </row>
    <row r="57" spans="1:9" x14ac:dyDescent="0.2">
      <c r="A57" s="379">
        <v>14</v>
      </c>
      <c r="B57" s="362"/>
      <c r="C57" s="384"/>
      <c r="D57" s="389"/>
      <c r="E57" s="390"/>
      <c r="F57" s="390"/>
      <c r="G57" s="391"/>
      <c r="H57" s="398"/>
      <c r="I57" s="398"/>
    </row>
    <row r="58" spans="1:9" x14ac:dyDescent="0.2">
      <c r="A58" s="380"/>
      <c r="B58" s="385"/>
      <c r="C58" s="386"/>
      <c r="D58" s="392"/>
      <c r="E58" s="393"/>
      <c r="F58" s="393"/>
      <c r="G58" s="394"/>
      <c r="H58" s="399"/>
      <c r="I58" s="399"/>
    </row>
    <row r="59" spans="1:9" x14ac:dyDescent="0.2">
      <c r="A59" s="381"/>
      <c r="B59" s="387"/>
      <c r="C59" s="388"/>
      <c r="D59" s="395"/>
      <c r="E59" s="396"/>
      <c r="F59" s="396"/>
      <c r="G59" s="397"/>
      <c r="H59" s="400"/>
      <c r="I59" s="400"/>
    </row>
  </sheetData>
  <protectedRanges>
    <protectedRange sqref="D15 H15:I15" name="Rango1_1_3_1"/>
    <protectedRange sqref="C2:D4 I2 G7 C7 C5 E3:F3 E4:G4" name="Rango1_2_1"/>
    <protectedRange sqref="H7:I10" name="Rango1_1_1_1"/>
  </protectedRanges>
  <mergeCells count="98">
    <mergeCell ref="A56:I56"/>
    <mergeCell ref="A57:A59"/>
    <mergeCell ref="B57:C59"/>
    <mergeCell ref="D57:G59"/>
    <mergeCell ref="H57:H59"/>
    <mergeCell ref="I57:I59"/>
    <mergeCell ref="A50:A52"/>
    <mergeCell ref="B50:C52"/>
    <mergeCell ref="D50:G52"/>
    <mergeCell ref="H50:H52"/>
    <mergeCell ref="I50:I52"/>
    <mergeCell ref="A53:A55"/>
    <mergeCell ref="B53:C55"/>
    <mergeCell ref="D53:G55"/>
    <mergeCell ref="H53:H55"/>
    <mergeCell ref="I53:I55"/>
    <mergeCell ref="A44:A46"/>
    <mergeCell ref="B44:C46"/>
    <mergeCell ref="D44:G46"/>
    <mergeCell ref="H44:H46"/>
    <mergeCell ref="I44:I46"/>
    <mergeCell ref="A47:A49"/>
    <mergeCell ref="B47:C49"/>
    <mergeCell ref="D47:G49"/>
    <mergeCell ref="H47:H49"/>
    <mergeCell ref="I47:I49"/>
    <mergeCell ref="A38:A40"/>
    <mergeCell ref="B38:C40"/>
    <mergeCell ref="D38:G40"/>
    <mergeCell ref="H38:H40"/>
    <mergeCell ref="I38:I40"/>
    <mergeCell ref="A41:A43"/>
    <mergeCell ref="B41:C43"/>
    <mergeCell ref="D41:G43"/>
    <mergeCell ref="H41:H43"/>
    <mergeCell ref="I41:I43"/>
    <mergeCell ref="A32:A34"/>
    <mergeCell ref="B32:C34"/>
    <mergeCell ref="D32:G34"/>
    <mergeCell ref="H32:H34"/>
    <mergeCell ref="I32:I34"/>
    <mergeCell ref="A35:A37"/>
    <mergeCell ref="B35:C37"/>
    <mergeCell ref="D35:G37"/>
    <mergeCell ref="H35:H37"/>
    <mergeCell ref="I35:I37"/>
    <mergeCell ref="A26:A28"/>
    <mergeCell ref="B26:C28"/>
    <mergeCell ref="D26:G28"/>
    <mergeCell ref="H26:H28"/>
    <mergeCell ref="I26:I28"/>
    <mergeCell ref="A29:A31"/>
    <mergeCell ref="B29:C31"/>
    <mergeCell ref="D29:G31"/>
    <mergeCell ref="H29:H31"/>
    <mergeCell ref="I29:I31"/>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B14:I14"/>
    <mergeCell ref="C4:D4"/>
    <mergeCell ref="H4:I4"/>
    <mergeCell ref="B5:B6"/>
    <mergeCell ref="C5:F6"/>
    <mergeCell ref="G5:I5"/>
    <mergeCell ref="G6:H6"/>
    <mergeCell ref="B7:B10"/>
    <mergeCell ref="C7:F10"/>
    <mergeCell ref="C11:I11"/>
    <mergeCell ref="C12:I12"/>
    <mergeCell ref="B13:I13"/>
    <mergeCell ref="C3:D3"/>
    <mergeCell ref="H3:I3"/>
    <mergeCell ref="C1:G1"/>
    <mergeCell ref="H1:I1"/>
    <mergeCell ref="C2:D2"/>
    <mergeCell ref="E2:F2"/>
    <mergeCell ref="G2:I2"/>
  </mergeCells>
  <pageMargins left="0.7" right="0.7" top="0.75" bottom="0.75" header="0.3" footer="0.3"/>
  <pageSetup paperSize="9" orientation="portrait" verticalDpi="0" r:id="rId1"/>
  <headerFooter>
    <oddFooter>&amp;Ldfxcfcvcvb&amp;Rxdfgsdfgsdfgdfgd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45"/>
      <c r="C1" s="345"/>
      <c r="D1" s="345"/>
      <c r="E1" s="345"/>
      <c r="F1" s="345"/>
      <c r="G1" s="345"/>
      <c r="H1" s="345"/>
      <c r="I1" s="407" t="s">
        <v>86</v>
      </c>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335"/>
      <c r="AJ1" s="408" t="s">
        <v>114</v>
      </c>
      <c r="AK1" s="408"/>
      <c r="AL1" s="408"/>
      <c r="AM1" s="408"/>
    </row>
    <row r="2" spans="1:45" s="75" customFormat="1" ht="110.25" customHeight="1" thickBot="1" x14ac:dyDescent="0.25">
      <c r="A2" s="3"/>
      <c r="B2" s="409" t="s">
        <v>115</v>
      </c>
      <c r="C2" s="409"/>
      <c r="D2" s="409"/>
      <c r="E2" s="409"/>
      <c r="F2" s="409"/>
      <c r="G2" s="409"/>
      <c r="H2" s="409"/>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0" t="s">
        <v>115</v>
      </c>
      <c r="B3" s="413"/>
      <c r="C3" s="414"/>
      <c r="D3" s="414"/>
      <c r="E3" s="414"/>
      <c r="F3" s="414"/>
      <c r="G3" s="414"/>
      <c r="H3" s="414"/>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1"/>
      <c r="B4" s="413" t="s">
        <v>1</v>
      </c>
      <c r="C4" s="414"/>
      <c r="D4" s="414"/>
      <c r="E4" s="414"/>
      <c r="F4" s="414"/>
      <c r="G4" s="414"/>
      <c r="H4" s="414"/>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1"/>
      <c r="B5" s="415" t="s">
        <v>1</v>
      </c>
      <c r="C5" s="416"/>
      <c r="D5" s="416"/>
      <c r="E5" s="416"/>
      <c r="F5" s="416"/>
      <c r="G5" s="416"/>
      <c r="H5" s="41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1"/>
      <c r="B6" s="415" t="s">
        <v>1</v>
      </c>
      <c r="C6" s="416"/>
      <c r="D6" s="416"/>
      <c r="E6" s="416"/>
      <c r="F6" s="416"/>
      <c r="G6" s="416"/>
      <c r="H6" s="41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1"/>
      <c r="B7" s="415" t="s">
        <v>1</v>
      </c>
      <c r="C7" s="416"/>
      <c r="D7" s="416"/>
      <c r="E7" s="416"/>
      <c r="F7" s="416"/>
      <c r="G7" s="416"/>
      <c r="H7" s="41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12"/>
      <c r="B8" s="415" t="s">
        <v>1</v>
      </c>
      <c r="C8" s="416"/>
      <c r="D8" s="416"/>
      <c r="E8" s="416"/>
      <c r="F8" s="416"/>
      <c r="G8" s="416"/>
      <c r="H8" s="41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06" t="s">
        <v>12</v>
      </c>
      <c r="C9" s="406"/>
      <c r="D9" s="406"/>
      <c r="E9" s="406"/>
      <c r="F9" s="406"/>
      <c r="G9" s="406"/>
      <c r="H9" s="406"/>
      <c r="I9" s="429" t="s">
        <v>1</v>
      </c>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73"/>
      <c r="AO9" s="73"/>
      <c r="AP9" s="73"/>
      <c r="AQ9" s="73"/>
      <c r="AR9" s="73"/>
      <c r="AS9" s="73"/>
    </row>
    <row r="10" spans="1:45" s="79" customFormat="1" ht="49.5" customHeight="1" thickBot="1" x14ac:dyDescent="0.25">
      <c r="A10" s="410" t="s">
        <v>116</v>
      </c>
      <c r="B10" s="430" t="s">
        <v>5</v>
      </c>
      <c r="C10" s="431"/>
      <c r="D10" s="431"/>
      <c r="E10" s="431"/>
      <c r="F10" s="431"/>
      <c r="G10" s="431"/>
      <c r="H10" s="432"/>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1"/>
      <c r="B11" s="433" t="s">
        <v>6</v>
      </c>
      <c r="C11" s="434"/>
      <c r="D11" s="434"/>
      <c r="E11" s="434"/>
      <c r="F11" s="434"/>
      <c r="G11" s="434"/>
      <c r="H11" s="434"/>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1"/>
      <c r="B12" s="435" t="s">
        <v>7</v>
      </c>
      <c r="C12" s="436"/>
      <c r="D12" s="436"/>
      <c r="E12" s="436"/>
      <c r="F12" s="436"/>
      <c r="G12" s="436"/>
      <c r="H12" s="436"/>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12"/>
      <c r="B13" s="437" t="s">
        <v>9</v>
      </c>
      <c r="C13" s="438"/>
      <c r="D13" s="438"/>
      <c r="E13" s="438"/>
      <c r="F13" s="438"/>
      <c r="G13" s="438"/>
      <c r="H13" s="438"/>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04" t="s">
        <v>117</v>
      </c>
      <c r="B15" s="426" t="s">
        <v>8</v>
      </c>
      <c r="C15" s="427"/>
      <c r="D15" s="427"/>
      <c r="E15" s="427"/>
      <c r="F15" s="427"/>
      <c r="G15" s="427"/>
      <c r="H15" s="428"/>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05"/>
      <c r="B16" s="423" t="s">
        <v>10</v>
      </c>
      <c r="C16" s="424"/>
      <c r="D16" s="424"/>
      <c r="E16" s="424"/>
      <c r="F16" s="424"/>
      <c r="G16" s="424"/>
      <c r="H16" s="425"/>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04" t="s">
        <v>118</v>
      </c>
      <c r="B18" s="417" t="s">
        <v>11</v>
      </c>
      <c r="C18" s="418"/>
      <c r="D18" s="418"/>
      <c r="E18" s="418"/>
      <c r="F18" s="418"/>
      <c r="G18" s="418"/>
      <c r="H18" s="419"/>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05"/>
      <c r="B19" s="420" t="s">
        <v>94</v>
      </c>
      <c r="C19" s="421"/>
      <c r="D19" s="421"/>
      <c r="E19" s="421"/>
      <c r="F19" s="421"/>
      <c r="G19" s="421"/>
      <c r="H19" s="422"/>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45"/>
      <c r="B1" s="345"/>
      <c r="C1" s="344" t="s">
        <v>87</v>
      </c>
      <c r="D1" s="344"/>
      <c r="E1" s="344"/>
      <c r="F1" s="344"/>
      <c r="G1" s="344"/>
      <c r="H1" s="344"/>
      <c r="I1" s="344"/>
      <c r="J1" s="225" t="s">
        <v>95</v>
      </c>
      <c r="K1" s="345"/>
    </row>
    <row r="2" spans="1:14" x14ac:dyDescent="0.2">
      <c r="A2" s="358"/>
      <c r="B2" s="360"/>
      <c r="C2" s="360"/>
      <c r="D2" s="360"/>
      <c r="E2" s="360"/>
      <c r="F2" s="360"/>
      <c r="G2" s="360"/>
      <c r="H2" s="360"/>
      <c r="I2" s="360"/>
      <c r="J2" s="360"/>
      <c r="K2" s="359"/>
    </row>
    <row r="3" spans="1:14" x14ac:dyDescent="0.2">
      <c r="A3" s="366"/>
      <c r="B3" s="367"/>
      <c r="C3" s="367"/>
      <c r="D3" s="367"/>
      <c r="E3" s="367"/>
      <c r="F3" s="367"/>
      <c r="G3" s="367"/>
      <c r="H3" s="367"/>
      <c r="I3" s="367"/>
      <c r="J3" s="367"/>
      <c r="K3" s="382"/>
    </row>
    <row r="4" spans="1:14" x14ac:dyDescent="0.2">
      <c r="A4" s="366"/>
      <c r="B4" s="367"/>
      <c r="C4" s="367"/>
      <c r="D4" s="367"/>
      <c r="E4" s="367"/>
      <c r="F4" s="367"/>
      <c r="G4" s="367"/>
      <c r="H4" s="367"/>
      <c r="I4" s="367"/>
      <c r="J4" s="367"/>
      <c r="K4" s="382"/>
    </row>
    <row r="5" spans="1:14" x14ac:dyDescent="0.2">
      <c r="A5" s="366"/>
      <c r="B5" s="367"/>
      <c r="C5" s="367"/>
      <c r="D5" s="367"/>
      <c r="E5" s="367"/>
      <c r="F5" s="367"/>
      <c r="G5" s="367"/>
      <c r="H5" s="367"/>
      <c r="I5" s="367"/>
      <c r="J5" s="367"/>
      <c r="K5" s="382"/>
      <c r="N5" s="5"/>
    </row>
    <row r="6" spans="1:14" x14ac:dyDescent="0.2">
      <c r="A6" s="366"/>
      <c r="B6" s="367"/>
      <c r="C6" s="367"/>
      <c r="D6" s="367"/>
      <c r="E6" s="367"/>
      <c r="F6" s="367"/>
      <c r="G6" s="367"/>
      <c r="H6" s="367"/>
      <c r="I6" s="367"/>
      <c r="J6" s="367"/>
      <c r="K6" s="382"/>
    </row>
    <row r="7" spans="1:14" x14ac:dyDescent="0.2">
      <c r="A7" s="366"/>
      <c r="B7" s="367"/>
      <c r="C7" s="367"/>
      <c r="D7" s="367"/>
      <c r="E7" s="367"/>
      <c r="F7" s="367"/>
      <c r="G7" s="367"/>
      <c r="H7" s="367"/>
      <c r="I7" s="367"/>
      <c r="J7" s="367"/>
      <c r="K7" s="382"/>
    </row>
    <row r="8" spans="1:14" x14ac:dyDescent="0.2">
      <c r="A8" s="366"/>
      <c r="B8" s="367"/>
      <c r="C8" s="367"/>
      <c r="D8" s="367"/>
      <c r="E8" s="367"/>
      <c r="F8" s="367"/>
      <c r="G8" s="367"/>
      <c r="H8" s="367"/>
      <c r="I8" s="367"/>
      <c r="J8" s="367"/>
      <c r="K8" s="382"/>
    </row>
    <row r="9" spans="1:14" x14ac:dyDescent="0.2">
      <c r="A9" s="366"/>
      <c r="B9" s="367"/>
      <c r="C9" s="367"/>
      <c r="D9" s="367"/>
      <c r="E9" s="367"/>
      <c r="F9" s="367"/>
      <c r="G9" s="367"/>
      <c r="H9" s="367"/>
      <c r="I9" s="367"/>
      <c r="J9" s="367"/>
      <c r="K9" s="382"/>
    </row>
    <row r="10" spans="1:14" x14ac:dyDescent="0.2">
      <c r="A10" s="366"/>
      <c r="B10" s="367"/>
      <c r="C10" s="367"/>
      <c r="D10" s="367"/>
      <c r="E10" s="367"/>
      <c r="F10" s="367"/>
      <c r="G10" s="367"/>
      <c r="H10" s="367"/>
      <c r="I10" s="367"/>
      <c r="J10" s="367"/>
      <c r="K10" s="382"/>
    </row>
    <row r="11" spans="1:14" x14ac:dyDescent="0.2">
      <c r="A11" s="366"/>
      <c r="B11" s="367"/>
      <c r="C11" s="367"/>
      <c r="D11" s="367"/>
      <c r="E11" s="367"/>
      <c r="F11" s="367"/>
      <c r="G11" s="367"/>
      <c r="H11" s="367"/>
      <c r="I11" s="367"/>
      <c r="J11" s="367"/>
      <c r="K11" s="382"/>
    </row>
    <row r="12" spans="1:14" x14ac:dyDescent="0.2">
      <c r="A12" s="366"/>
      <c r="B12" s="367"/>
      <c r="C12" s="367"/>
      <c r="D12" s="367"/>
      <c r="E12" s="367"/>
      <c r="F12" s="367"/>
      <c r="G12" s="367"/>
      <c r="H12" s="367"/>
      <c r="I12" s="367"/>
      <c r="J12" s="367"/>
      <c r="K12" s="382"/>
    </row>
    <row r="13" spans="1:14" x14ac:dyDescent="0.2">
      <c r="A13" s="366"/>
      <c r="B13" s="367"/>
      <c r="C13" s="367"/>
      <c r="D13" s="367"/>
      <c r="E13" s="367"/>
      <c r="F13" s="367"/>
      <c r="G13" s="367"/>
      <c r="H13" s="367"/>
      <c r="I13" s="367"/>
      <c r="J13" s="367"/>
      <c r="K13" s="382"/>
    </row>
    <row r="14" spans="1:14" x14ac:dyDescent="0.2">
      <c r="A14" s="366"/>
      <c r="B14" s="367"/>
      <c r="C14" s="367"/>
      <c r="D14" s="367"/>
      <c r="E14" s="367"/>
      <c r="F14" s="367"/>
      <c r="G14" s="367"/>
      <c r="H14" s="367"/>
      <c r="I14" s="367"/>
      <c r="J14" s="367"/>
      <c r="K14" s="382"/>
    </row>
    <row r="15" spans="1:14" x14ac:dyDescent="0.2">
      <c r="A15" s="366"/>
      <c r="B15" s="367"/>
      <c r="C15" s="367"/>
      <c r="D15" s="367"/>
      <c r="E15" s="367"/>
      <c r="F15" s="367"/>
      <c r="G15" s="367"/>
      <c r="H15" s="367"/>
      <c r="I15" s="367"/>
      <c r="J15" s="367"/>
      <c r="K15" s="382"/>
    </row>
    <row r="16" spans="1:14" x14ac:dyDescent="0.2">
      <c r="A16" s="366"/>
      <c r="B16" s="367"/>
      <c r="C16" s="367"/>
      <c r="D16" s="367"/>
      <c r="E16" s="367"/>
      <c r="F16" s="367"/>
      <c r="G16" s="367"/>
      <c r="H16" s="367"/>
      <c r="I16" s="367"/>
      <c r="J16" s="367"/>
      <c r="K16" s="382"/>
    </row>
    <row r="17" spans="1:11" x14ac:dyDescent="0.2">
      <c r="A17" s="366"/>
      <c r="B17" s="367"/>
      <c r="C17" s="367"/>
      <c r="D17" s="367"/>
      <c r="E17" s="367"/>
      <c r="F17" s="367"/>
      <c r="G17" s="367"/>
      <c r="H17" s="367"/>
      <c r="I17" s="367"/>
      <c r="J17" s="367"/>
      <c r="K17" s="382"/>
    </row>
    <row r="18" spans="1:11" x14ac:dyDescent="0.2">
      <c r="A18" s="366"/>
      <c r="B18" s="367"/>
      <c r="C18" s="367"/>
      <c r="D18" s="367"/>
      <c r="E18" s="367"/>
      <c r="F18" s="367"/>
      <c r="G18" s="367"/>
      <c r="H18" s="367"/>
      <c r="I18" s="367"/>
      <c r="J18" s="367"/>
      <c r="K18" s="382"/>
    </row>
    <row r="19" spans="1:11" x14ac:dyDescent="0.2">
      <c r="A19" s="366"/>
      <c r="B19" s="367"/>
      <c r="C19" s="367"/>
      <c r="D19" s="367"/>
      <c r="E19" s="367"/>
      <c r="F19" s="367"/>
      <c r="G19" s="367"/>
      <c r="H19" s="367"/>
      <c r="I19" s="367"/>
      <c r="J19" s="367"/>
      <c r="K19" s="382"/>
    </row>
    <row r="20" spans="1:11" x14ac:dyDescent="0.2">
      <c r="A20" s="366"/>
      <c r="B20" s="367"/>
      <c r="C20" s="367"/>
      <c r="D20" s="367"/>
      <c r="E20" s="367"/>
      <c r="F20" s="367"/>
      <c r="G20" s="367"/>
      <c r="H20" s="367"/>
      <c r="I20" s="367"/>
      <c r="J20" s="367"/>
      <c r="K20" s="382"/>
    </row>
    <row r="21" spans="1:11" x14ac:dyDescent="0.2">
      <c r="A21" s="366"/>
      <c r="B21" s="367"/>
      <c r="C21" s="367"/>
      <c r="D21" s="367"/>
      <c r="E21" s="367"/>
      <c r="F21" s="367"/>
      <c r="G21" s="367"/>
      <c r="H21" s="367"/>
      <c r="I21" s="367"/>
      <c r="J21" s="367"/>
      <c r="K21" s="382"/>
    </row>
    <row r="22" spans="1:11" x14ac:dyDescent="0.2">
      <c r="A22" s="366"/>
      <c r="B22" s="367"/>
      <c r="C22" s="367"/>
      <c r="D22" s="367"/>
      <c r="E22" s="367"/>
      <c r="F22" s="367"/>
      <c r="G22" s="367"/>
      <c r="H22" s="367"/>
      <c r="I22" s="367"/>
      <c r="J22" s="367"/>
      <c r="K22" s="382"/>
    </row>
    <row r="23" spans="1:11" x14ac:dyDescent="0.2">
      <c r="A23" s="366"/>
      <c r="B23" s="367"/>
      <c r="C23" s="367"/>
      <c r="D23" s="367"/>
      <c r="E23" s="367"/>
      <c r="F23" s="367"/>
      <c r="G23" s="367"/>
      <c r="H23" s="367"/>
      <c r="I23" s="367"/>
      <c r="J23" s="367"/>
      <c r="K23" s="382"/>
    </row>
    <row r="24" spans="1:11" x14ac:dyDescent="0.2">
      <c r="A24" s="377"/>
      <c r="B24" s="378"/>
      <c r="C24" s="378"/>
      <c r="D24" s="378"/>
      <c r="E24" s="378"/>
      <c r="F24" s="378"/>
      <c r="G24" s="378"/>
      <c r="H24" s="378"/>
      <c r="I24" s="378"/>
      <c r="J24" s="378"/>
      <c r="K24" s="383"/>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1"/>
  </cols>
  <sheetData>
    <row r="1" spans="1:8" ht="67.5" customHeight="1" x14ac:dyDescent="0.2">
      <c r="A1" s="439"/>
      <c r="B1" s="440"/>
      <c r="C1" s="441" t="s">
        <v>126</v>
      </c>
      <c r="D1" s="442"/>
      <c r="E1" s="442"/>
      <c r="F1" s="443"/>
      <c r="G1" s="444" t="s">
        <v>127</v>
      </c>
      <c r="H1" s="445"/>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31" customFormat="1" x14ac:dyDescent="0.2"/>
    <row r="32" spans="1:8" s="131" customFormat="1" x14ac:dyDescent="0.2"/>
    <row r="33" s="131" customFormat="1" x14ac:dyDescent="0.2"/>
    <row r="34" s="131" customFormat="1" x14ac:dyDescent="0.2"/>
    <row r="35" s="131" customFormat="1" x14ac:dyDescent="0.2"/>
    <row r="36" s="131" customFormat="1" x14ac:dyDescent="0.2"/>
    <row r="37" s="131" customFormat="1" x14ac:dyDescent="0.2"/>
    <row r="38" s="131" customFormat="1" x14ac:dyDescent="0.2"/>
    <row r="39" s="131" customFormat="1" x14ac:dyDescent="0.2"/>
    <row r="40" s="131" customFormat="1" x14ac:dyDescent="0.2"/>
    <row r="41" s="131" customFormat="1" x14ac:dyDescent="0.2"/>
    <row r="42" s="131" customFormat="1" x14ac:dyDescent="0.2"/>
    <row r="43" s="131" customFormat="1" x14ac:dyDescent="0.2"/>
    <row r="44" s="131" customFormat="1" x14ac:dyDescent="0.2"/>
    <row r="45" s="131" customFormat="1" x14ac:dyDescent="0.2"/>
    <row r="46" s="131" customFormat="1" x14ac:dyDescent="0.2"/>
    <row r="47" s="131" customFormat="1" x14ac:dyDescent="0.2"/>
    <row r="48" s="131" customFormat="1" x14ac:dyDescent="0.2"/>
    <row r="49" s="131" customFormat="1" x14ac:dyDescent="0.2"/>
    <row r="50" s="131" customFormat="1" x14ac:dyDescent="0.2"/>
    <row r="51" s="131" customFormat="1" x14ac:dyDescent="0.2"/>
    <row r="52" s="131" customFormat="1" x14ac:dyDescent="0.2"/>
    <row r="53" s="131" customFormat="1" x14ac:dyDescent="0.2"/>
    <row r="54" s="131" customFormat="1" x14ac:dyDescent="0.2"/>
    <row r="55" s="131" customFormat="1" x14ac:dyDescent="0.2"/>
    <row r="56" s="131" customFormat="1" x14ac:dyDescent="0.2"/>
    <row r="57" s="131" customFormat="1" x14ac:dyDescent="0.2"/>
    <row r="58" s="131" customFormat="1" x14ac:dyDescent="0.2"/>
    <row r="59" s="131" customFormat="1" x14ac:dyDescent="0.2"/>
    <row r="60" s="131" customFormat="1" x14ac:dyDescent="0.2"/>
    <row r="61" s="131" customFormat="1" x14ac:dyDescent="0.2"/>
    <row r="62" s="131" customFormat="1" x14ac:dyDescent="0.2"/>
    <row r="63" s="131" customFormat="1" x14ac:dyDescent="0.2"/>
    <row r="64" s="131" customFormat="1" x14ac:dyDescent="0.2"/>
    <row r="65" s="131" customFormat="1" x14ac:dyDescent="0.2"/>
    <row r="66" s="131" customFormat="1" x14ac:dyDescent="0.2"/>
    <row r="67" s="131" customFormat="1" x14ac:dyDescent="0.2"/>
    <row r="68" s="131" customFormat="1" x14ac:dyDescent="0.2"/>
    <row r="69" s="131" customFormat="1" x14ac:dyDescent="0.2"/>
    <row r="70" s="131" customFormat="1" x14ac:dyDescent="0.2"/>
    <row r="71" s="131" customFormat="1" x14ac:dyDescent="0.2"/>
    <row r="72" s="131" customFormat="1" x14ac:dyDescent="0.2"/>
    <row r="73" s="131" customFormat="1" x14ac:dyDescent="0.2"/>
    <row r="74" s="131" customFormat="1" x14ac:dyDescent="0.2"/>
    <row r="75" s="131" customFormat="1" x14ac:dyDescent="0.2"/>
    <row r="76" s="131" customFormat="1" x14ac:dyDescent="0.2"/>
    <row r="77" s="131" customFormat="1" x14ac:dyDescent="0.2"/>
    <row r="78" s="131" customFormat="1" x14ac:dyDescent="0.2"/>
    <row r="79" s="131" customFormat="1" x14ac:dyDescent="0.2"/>
    <row r="80" s="131" customFormat="1" x14ac:dyDescent="0.2"/>
    <row r="81" s="131" customFormat="1" x14ac:dyDescent="0.2"/>
    <row r="82" s="131" customFormat="1" x14ac:dyDescent="0.2"/>
    <row r="83" s="131" customFormat="1" x14ac:dyDescent="0.2"/>
    <row r="84" s="131" customFormat="1" x14ac:dyDescent="0.2"/>
    <row r="85" s="131" customFormat="1" x14ac:dyDescent="0.2"/>
    <row r="86" s="131" customFormat="1" x14ac:dyDescent="0.2"/>
    <row r="87" s="131" customFormat="1" x14ac:dyDescent="0.2"/>
    <row r="88" s="131" customFormat="1" x14ac:dyDescent="0.2"/>
    <row r="89" s="131" customFormat="1" x14ac:dyDescent="0.2"/>
    <row r="90" s="131" customFormat="1" x14ac:dyDescent="0.2"/>
    <row r="91" s="131" customFormat="1" x14ac:dyDescent="0.2"/>
    <row r="92" s="131" customFormat="1" x14ac:dyDescent="0.2"/>
    <row r="93" s="131" customFormat="1" x14ac:dyDescent="0.2"/>
    <row r="94" s="131" customFormat="1" x14ac:dyDescent="0.2"/>
    <row r="95" s="131" customFormat="1" x14ac:dyDescent="0.2"/>
    <row r="96" s="131" customFormat="1" x14ac:dyDescent="0.2"/>
    <row r="97" s="131" customFormat="1" x14ac:dyDescent="0.2"/>
    <row r="98" s="131" customFormat="1" x14ac:dyDescent="0.2"/>
    <row r="99" s="131" customFormat="1" x14ac:dyDescent="0.2"/>
    <row r="100" s="131" customFormat="1" x14ac:dyDescent="0.2"/>
    <row r="101" s="131" customFormat="1" x14ac:dyDescent="0.2"/>
    <row r="102" s="131" customFormat="1" x14ac:dyDescent="0.2"/>
    <row r="103" s="131" customFormat="1" x14ac:dyDescent="0.2"/>
    <row r="104" s="131" customFormat="1" x14ac:dyDescent="0.2"/>
    <row r="105" s="131" customFormat="1" x14ac:dyDescent="0.2"/>
    <row r="106" s="131" customFormat="1" x14ac:dyDescent="0.2"/>
    <row r="107" s="131" customFormat="1" x14ac:dyDescent="0.2"/>
    <row r="108" s="131" customFormat="1" x14ac:dyDescent="0.2"/>
    <row r="109" s="131" customFormat="1" x14ac:dyDescent="0.2"/>
    <row r="110" s="131" customFormat="1" x14ac:dyDescent="0.2"/>
    <row r="111" s="131" customFormat="1" x14ac:dyDescent="0.2"/>
    <row r="112" s="131" customFormat="1" x14ac:dyDescent="0.2"/>
    <row r="113" s="131" customFormat="1" x14ac:dyDescent="0.2"/>
    <row r="114" s="131" customFormat="1" x14ac:dyDescent="0.2"/>
    <row r="115" s="131" customFormat="1" x14ac:dyDescent="0.2"/>
    <row r="116" s="131" customFormat="1" x14ac:dyDescent="0.2"/>
    <row r="117" s="131" customFormat="1" x14ac:dyDescent="0.2"/>
    <row r="118" s="131" customFormat="1" x14ac:dyDescent="0.2"/>
    <row r="119" s="131" customFormat="1" x14ac:dyDescent="0.2"/>
    <row r="120" s="131" customFormat="1" x14ac:dyDescent="0.2"/>
    <row r="121" s="131" customFormat="1" x14ac:dyDescent="0.2"/>
    <row r="122" s="131" customFormat="1" x14ac:dyDescent="0.2"/>
    <row r="123" s="131" customFormat="1" x14ac:dyDescent="0.2"/>
    <row r="124" s="131" customFormat="1" x14ac:dyDescent="0.2"/>
    <row r="125" s="131" customFormat="1" x14ac:dyDescent="0.2"/>
    <row r="126" s="131" customFormat="1" x14ac:dyDescent="0.2"/>
    <row r="127" s="131" customFormat="1" x14ac:dyDescent="0.2"/>
    <row r="128" s="131" customFormat="1" x14ac:dyDescent="0.2"/>
    <row r="129" s="131" customFormat="1" x14ac:dyDescent="0.2"/>
    <row r="130" s="131" customFormat="1" x14ac:dyDescent="0.2"/>
    <row r="131" s="131" customFormat="1" x14ac:dyDescent="0.2"/>
    <row r="132" s="131" customFormat="1" x14ac:dyDescent="0.2"/>
    <row r="133" s="131" customFormat="1" x14ac:dyDescent="0.2"/>
    <row r="134" s="131" customFormat="1" x14ac:dyDescent="0.2"/>
    <row r="135" s="131" customFormat="1" x14ac:dyDescent="0.2"/>
    <row r="136" s="131" customFormat="1" x14ac:dyDescent="0.2"/>
    <row r="137" s="131" customFormat="1" x14ac:dyDescent="0.2"/>
    <row r="138" s="131" customFormat="1" x14ac:dyDescent="0.2"/>
    <row r="139" s="131" customFormat="1" x14ac:dyDescent="0.2"/>
    <row r="140" s="131" customFormat="1" x14ac:dyDescent="0.2"/>
    <row r="141" s="131" customFormat="1" x14ac:dyDescent="0.2"/>
    <row r="142" s="131" customFormat="1" x14ac:dyDescent="0.2"/>
    <row r="143" s="131" customFormat="1" x14ac:dyDescent="0.2"/>
    <row r="144" s="131" customFormat="1" x14ac:dyDescent="0.2"/>
    <row r="145" s="131" customFormat="1" x14ac:dyDescent="0.2"/>
    <row r="146" s="131" customFormat="1" x14ac:dyDescent="0.2"/>
    <row r="147" s="131" customFormat="1" x14ac:dyDescent="0.2"/>
    <row r="148" s="131" customFormat="1" x14ac:dyDescent="0.2"/>
    <row r="149" s="131" customFormat="1" x14ac:dyDescent="0.2"/>
    <row r="150" s="131" customFormat="1" x14ac:dyDescent="0.2"/>
    <row r="151" s="131" customFormat="1" x14ac:dyDescent="0.2"/>
    <row r="152" s="131" customFormat="1" x14ac:dyDescent="0.2"/>
    <row r="153" s="131" customFormat="1" x14ac:dyDescent="0.2"/>
    <row r="154" s="131" customFormat="1" x14ac:dyDescent="0.2"/>
    <row r="155" s="131" customFormat="1" x14ac:dyDescent="0.2"/>
    <row r="156" s="131" customFormat="1" x14ac:dyDescent="0.2"/>
    <row r="157" s="131" customFormat="1" x14ac:dyDescent="0.2"/>
    <row r="158" s="131" customFormat="1" x14ac:dyDescent="0.2"/>
    <row r="159" s="131" customFormat="1" x14ac:dyDescent="0.2"/>
    <row r="160" s="131" customFormat="1" x14ac:dyDescent="0.2"/>
    <row r="161" s="131" customFormat="1" x14ac:dyDescent="0.2"/>
    <row r="162" s="131" customFormat="1" x14ac:dyDescent="0.2"/>
    <row r="163" s="131" customFormat="1" x14ac:dyDescent="0.2"/>
    <row r="164" s="131" customFormat="1" x14ac:dyDescent="0.2"/>
    <row r="165" s="131" customFormat="1" x14ac:dyDescent="0.2"/>
    <row r="166" s="131" customFormat="1" x14ac:dyDescent="0.2"/>
    <row r="167" s="131" customFormat="1" x14ac:dyDescent="0.2"/>
    <row r="168" s="131" customFormat="1" x14ac:dyDescent="0.2"/>
    <row r="169" s="131" customFormat="1" x14ac:dyDescent="0.2"/>
    <row r="170" s="131" customFormat="1" x14ac:dyDescent="0.2"/>
    <row r="171" s="131" customFormat="1" x14ac:dyDescent="0.2"/>
    <row r="172" s="131" customFormat="1" x14ac:dyDescent="0.2"/>
    <row r="173" s="131" customFormat="1" x14ac:dyDescent="0.2"/>
    <row r="174" s="131" customFormat="1" x14ac:dyDescent="0.2"/>
    <row r="175" s="131" customFormat="1" x14ac:dyDescent="0.2"/>
    <row r="176" s="131" customFormat="1" x14ac:dyDescent="0.2"/>
    <row r="177" s="131" customFormat="1" x14ac:dyDescent="0.2"/>
    <row r="178" s="131" customFormat="1" x14ac:dyDescent="0.2"/>
    <row r="179" s="131" customFormat="1" x14ac:dyDescent="0.2"/>
    <row r="180" s="131" customFormat="1" x14ac:dyDescent="0.2"/>
    <row r="181" s="131" customFormat="1" x14ac:dyDescent="0.2"/>
    <row r="182" s="131" customFormat="1" x14ac:dyDescent="0.2"/>
    <row r="183" s="131" customFormat="1" x14ac:dyDescent="0.2"/>
    <row r="184" s="131" customFormat="1" x14ac:dyDescent="0.2"/>
    <row r="185" s="131" customFormat="1" x14ac:dyDescent="0.2"/>
    <row r="186" s="131" customFormat="1" x14ac:dyDescent="0.2"/>
    <row r="187" s="131" customFormat="1" x14ac:dyDescent="0.2"/>
    <row r="188" s="131" customFormat="1" x14ac:dyDescent="0.2"/>
    <row r="189" s="131" customFormat="1" x14ac:dyDescent="0.2"/>
    <row r="190" s="131" customFormat="1" x14ac:dyDescent="0.2"/>
    <row r="191" s="131" customFormat="1" x14ac:dyDescent="0.2"/>
    <row r="192" s="131" customFormat="1" x14ac:dyDescent="0.2"/>
    <row r="193" s="131" customFormat="1" x14ac:dyDescent="0.2"/>
    <row r="194" s="131" customFormat="1" x14ac:dyDescent="0.2"/>
    <row r="195" s="131" customFormat="1" x14ac:dyDescent="0.2"/>
    <row r="196" s="131" customFormat="1" x14ac:dyDescent="0.2"/>
    <row r="197" s="131" customFormat="1" x14ac:dyDescent="0.2"/>
    <row r="198" s="131" customFormat="1" x14ac:dyDescent="0.2"/>
    <row r="199" s="131" customFormat="1" x14ac:dyDescent="0.2"/>
    <row r="200" s="131" customFormat="1" x14ac:dyDescent="0.2"/>
    <row r="201" s="131" customFormat="1" x14ac:dyDescent="0.2"/>
    <row r="202" s="131" customFormat="1" x14ac:dyDescent="0.2"/>
    <row r="203" s="131" customFormat="1" x14ac:dyDescent="0.2"/>
    <row r="204" s="131" customFormat="1" x14ac:dyDescent="0.2"/>
    <row r="205" s="131" customFormat="1" x14ac:dyDescent="0.2"/>
    <row r="206" s="131" customFormat="1" x14ac:dyDescent="0.2"/>
    <row r="207" s="131" customFormat="1" x14ac:dyDescent="0.2"/>
    <row r="208" s="131" customFormat="1" x14ac:dyDescent="0.2"/>
    <row r="209" s="131" customFormat="1" x14ac:dyDescent="0.2"/>
    <row r="210" s="131" customFormat="1" x14ac:dyDescent="0.2"/>
    <row r="211" s="131" customFormat="1" x14ac:dyDescent="0.2"/>
    <row r="212" s="131" customFormat="1" x14ac:dyDescent="0.2"/>
    <row r="213" s="131" customFormat="1" x14ac:dyDescent="0.2"/>
    <row r="214" s="131" customFormat="1" x14ac:dyDescent="0.2"/>
    <row r="215" s="131" customFormat="1" x14ac:dyDescent="0.2"/>
    <row r="216" s="131" customFormat="1" x14ac:dyDescent="0.2"/>
    <row r="217" s="131" customFormat="1" x14ac:dyDescent="0.2"/>
    <row r="218" s="131" customFormat="1" x14ac:dyDescent="0.2"/>
    <row r="219" s="131" customFormat="1" x14ac:dyDescent="0.2"/>
    <row r="220" s="131" customFormat="1" x14ac:dyDescent="0.2"/>
    <row r="221" s="131" customFormat="1" x14ac:dyDescent="0.2"/>
    <row r="222" s="131" customFormat="1" x14ac:dyDescent="0.2"/>
    <row r="223" s="131" customFormat="1" x14ac:dyDescent="0.2"/>
    <row r="224" s="131" customFormat="1" x14ac:dyDescent="0.2"/>
    <row r="225" s="131" customFormat="1" x14ac:dyDescent="0.2"/>
    <row r="226" s="131" customFormat="1" x14ac:dyDescent="0.2"/>
    <row r="227" s="131" customFormat="1" x14ac:dyDescent="0.2"/>
    <row r="228" s="131" customFormat="1" x14ac:dyDescent="0.2"/>
    <row r="229" s="131" customFormat="1" x14ac:dyDescent="0.2"/>
    <row r="230" s="131" customFormat="1" x14ac:dyDescent="0.2"/>
    <row r="231" s="131" customFormat="1" x14ac:dyDescent="0.2"/>
    <row r="232" s="131" customFormat="1" x14ac:dyDescent="0.2"/>
    <row r="233" s="131" customFormat="1" x14ac:dyDescent="0.2"/>
    <row r="234" s="131" customFormat="1" x14ac:dyDescent="0.2"/>
    <row r="235" s="131" customFormat="1" x14ac:dyDescent="0.2"/>
    <row r="236" s="131" customFormat="1" x14ac:dyDescent="0.2"/>
    <row r="237" s="131" customFormat="1" x14ac:dyDescent="0.2"/>
    <row r="238" s="131" customFormat="1" x14ac:dyDescent="0.2"/>
    <row r="239" s="131" customFormat="1" x14ac:dyDescent="0.2"/>
    <row r="240" s="131" customFormat="1" x14ac:dyDescent="0.2"/>
    <row r="241" s="131" customFormat="1" x14ac:dyDescent="0.2"/>
    <row r="242" s="131" customFormat="1" x14ac:dyDescent="0.2"/>
    <row r="243" s="131" customFormat="1" x14ac:dyDescent="0.2"/>
    <row r="244" s="131" customFormat="1" x14ac:dyDescent="0.2"/>
    <row r="245" s="131" customFormat="1" x14ac:dyDescent="0.2"/>
    <row r="246" s="131" customFormat="1" x14ac:dyDescent="0.2"/>
    <row r="247" s="131" customFormat="1" x14ac:dyDescent="0.2"/>
    <row r="248" s="131" customFormat="1" x14ac:dyDescent="0.2"/>
    <row r="249" s="131" customFormat="1" x14ac:dyDescent="0.2"/>
    <row r="250" s="131" customFormat="1" x14ac:dyDescent="0.2"/>
    <row r="251" s="131" customFormat="1" x14ac:dyDescent="0.2"/>
    <row r="252" s="131" customFormat="1" x14ac:dyDescent="0.2"/>
    <row r="253" s="131" customFormat="1" x14ac:dyDescent="0.2"/>
    <row r="254" s="131" customFormat="1" x14ac:dyDescent="0.2"/>
    <row r="255" s="131" customFormat="1" x14ac:dyDescent="0.2"/>
    <row r="256" s="131" customFormat="1" x14ac:dyDescent="0.2"/>
    <row r="257" s="131" customFormat="1" x14ac:dyDescent="0.2"/>
    <row r="258" s="131" customFormat="1" x14ac:dyDescent="0.2"/>
    <row r="259" s="131" customFormat="1" x14ac:dyDescent="0.2"/>
    <row r="260" s="131" customFormat="1" x14ac:dyDescent="0.2"/>
    <row r="261" s="131" customFormat="1" x14ac:dyDescent="0.2"/>
    <row r="262" s="131" customFormat="1" x14ac:dyDescent="0.2"/>
    <row r="263" s="131" customFormat="1" x14ac:dyDescent="0.2"/>
    <row r="264" s="131" customFormat="1" x14ac:dyDescent="0.2"/>
    <row r="265" s="131" customFormat="1" x14ac:dyDescent="0.2"/>
    <row r="266" s="131" customFormat="1" x14ac:dyDescent="0.2"/>
    <row r="267" s="131" customFormat="1" x14ac:dyDescent="0.2"/>
    <row r="268" s="131" customFormat="1" x14ac:dyDescent="0.2"/>
    <row r="269" s="131" customFormat="1" x14ac:dyDescent="0.2"/>
    <row r="270" s="131" customFormat="1" x14ac:dyDescent="0.2"/>
    <row r="271" s="131" customFormat="1" x14ac:dyDescent="0.2"/>
    <row r="272" s="131" customFormat="1" x14ac:dyDescent="0.2"/>
    <row r="273" s="131" customFormat="1" x14ac:dyDescent="0.2"/>
    <row r="274" s="131" customFormat="1" x14ac:dyDescent="0.2"/>
    <row r="275" s="131" customFormat="1" x14ac:dyDescent="0.2"/>
    <row r="276" s="131" customFormat="1" x14ac:dyDescent="0.2"/>
    <row r="277" s="131" customFormat="1" x14ac:dyDescent="0.2"/>
    <row r="278" s="131" customFormat="1" x14ac:dyDescent="0.2"/>
    <row r="279" s="131" customFormat="1" x14ac:dyDescent="0.2"/>
    <row r="280" s="131" customFormat="1" x14ac:dyDescent="0.2"/>
    <row r="281" s="131" customFormat="1" x14ac:dyDescent="0.2"/>
    <row r="282" s="131" customFormat="1" x14ac:dyDescent="0.2"/>
    <row r="283" s="131" customFormat="1" x14ac:dyDescent="0.2"/>
    <row r="284" s="131" customFormat="1" x14ac:dyDescent="0.2"/>
    <row r="285" s="131" customFormat="1" x14ac:dyDescent="0.2"/>
    <row r="286" s="131" customFormat="1" x14ac:dyDescent="0.2"/>
    <row r="287" s="131" customFormat="1" x14ac:dyDescent="0.2"/>
    <row r="288" s="131" customFormat="1" x14ac:dyDescent="0.2"/>
    <row r="289" s="131" customFormat="1" x14ac:dyDescent="0.2"/>
    <row r="290" s="131" customFormat="1" x14ac:dyDescent="0.2"/>
    <row r="291" s="131" customFormat="1" x14ac:dyDescent="0.2"/>
    <row r="292" s="131" customFormat="1" x14ac:dyDescent="0.2"/>
    <row r="293" s="131" customFormat="1" x14ac:dyDescent="0.2"/>
    <row r="294" s="131" customFormat="1" x14ac:dyDescent="0.2"/>
    <row r="295" s="131" customFormat="1" x14ac:dyDescent="0.2"/>
    <row r="296" s="131" customFormat="1" x14ac:dyDescent="0.2"/>
    <row r="297" s="131" customFormat="1" x14ac:dyDescent="0.2"/>
    <row r="298" s="131" customFormat="1" x14ac:dyDescent="0.2"/>
    <row r="299" s="131" customFormat="1" x14ac:dyDescent="0.2"/>
    <row r="300" s="131" customFormat="1" x14ac:dyDescent="0.2"/>
    <row r="301" s="131" customFormat="1" x14ac:dyDescent="0.2"/>
    <row r="302" s="131" customFormat="1" x14ac:dyDescent="0.2"/>
    <row r="303" s="131" customFormat="1" x14ac:dyDescent="0.2"/>
    <row r="304" s="131" customFormat="1" x14ac:dyDescent="0.2"/>
    <row r="305" s="131" customFormat="1" x14ac:dyDescent="0.2"/>
    <row r="306" s="131" customFormat="1" x14ac:dyDescent="0.2"/>
    <row r="307" s="131" customFormat="1" x14ac:dyDescent="0.2"/>
    <row r="308" s="131" customFormat="1" x14ac:dyDescent="0.2"/>
    <row r="309" s="131" customFormat="1" x14ac:dyDescent="0.2"/>
    <row r="310" s="131" customFormat="1" x14ac:dyDescent="0.2"/>
    <row r="311" s="131" customFormat="1" x14ac:dyDescent="0.2"/>
    <row r="312" s="131" customFormat="1" x14ac:dyDescent="0.2"/>
    <row r="313" s="131" customFormat="1" x14ac:dyDescent="0.2"/>
    <row r="314" s="131" customFormat="1" x14ac:dyDescent="0.2"/>
    <row r="315" s="131" customFormat="1" x14ac:dyDescent="0.2"/>
    <row r="316" s="131" customFormat="1" x14ac:dyDescent="0.2"/>
    <row r="317" s="131" customFormat="1" x14ac:dyDescent="0.2"/>
    <row r="318" s="131" customFormat="1" x14ac:dyDescent="0.2"/>
    <row r="319" s="131" customFormat="1" x14ac:dyDescent="0.2"/>
    <row r="320" s="131" customFormat="1" x14ac:dyDescent="0.2"/>
    <row r="321" s="131" customFormat="1" x14ac:dyDescent="0.2"/>
    <row r="322" s="131" customFormat="1" x14ac:dyDescent="0.2"/>
    <row r="323" s="131" customFormat="1" x14ac:dyDescent="0.2"/>
    <row r="324" s="131" customFormat="1" x14ac:dyDescent="0.2"/>
    <row r="325" s="131" customFormat="1" x14ac:dyDescent="0.2"/>
    <row r="326" s="131" customFormat="1" x14ac:dyDescent="0.2"/>
    <row r="327" s="131" customFormat="1" x14ac:dyDescent="0.2"/>
    <row r="328" s="131" customFormat="1" x14ac:dyDescent="0.2"/>
    <row r="329" s="131" customFormat="1" x14ac:dyDescent="0.2"/>
    <row r="330" s="131" customFormat="1" x14ac:dyDescent="0.2"/>
    <row r="331" s="131" customFormat="1" x14ac:dyDescent="0.2"/>
    <row r="332" s="131" customFormat="1" x14ac:dyDescent="0.2"/>
    <row r="333" s="131" customFormat="1" x14ac:dyDescent="0.2"/>
    <row r="334" s="131" customFormat="1" x14ac:dyDescent="0.2"/>
    <row r="335" s="131" customFormat="1" x14ac:dyDescent="0.2"/>
    <row r="336" s="131" customFormat="1" x14ac:dyDescent="0.2"/>
    <row r="337" s="131" customFormat="1" x14ac:dyDescent="0.2"/>
    <row r="338" s="131" customFormat="1" x14ac:dyDescent="0.2"/>
    <row r="339" s="131" customFormat="1" x14ac:dyDescent="0.2"/>
    <row r="340" s="131" customFormat="1" x14ac:dyDescent="0.2"/>
    <row r="341" s="131" customFormat="1" x14ac:dyDescent="0.2"/>
    <row r="342" s="131" customFormat="1" x14ac:dyDescent="0.2"/>
    <row r="343" s="131" customFormat="1" x14ac:dyDescent="0.2"/>
    <row r="344" s="131" customFormat="1" x14ac:dyDescent="0.2"/>
    <row r="345" s="131" customFormat="1" x14ac:dyDescent="0.2"/>
    <row r="346" s="131" customFormat="1" x14ac:dyDescent="0.2"/>
    <row r="347" s="131" customFormat="1" x14ac:dyDescent="0.2"/>
    <row r="348" s="131" customFormat="1" x14ac:dyDescent="0.2"/>
    <row r="349" s="131" customFormat="1" x14ac:dyDescent="0.2"/>
    <row r="350" s="131" customFormat="1" x14ac:dyDescent="0.2"/>
    <row r="351" s="131" customFormat="1" x14ac:dyDescent="0.2"/>
    <row r="352" s="131" customFormat="1" x14ac:dyDescent="0.2"/>
    <row r="353" s="131" customFormat="1" x14ac:dyDescent="0.2"/>
    <row r="354" s="131" customFormat="1" x14ac:dyDescent="0.2"/>
    <row r="355" s="131" customFormat="1" x14ac:dyDescent="0.2"/>
    <row r="356" s="131" customFormat="1" x14ac:dyDescent="0.2"/>
    <row r="357" s="131" customFormat="1" x14ac:dyDescent="0.2"/>
    <row r="358" s="131" customFormat="1" x14ac:dyDescent="0.2"/>
    <row r="359" s="131" customFormat="1" x14ac:dyDescent="0.2"/>
    <row r="360" s="131" customFormat="1" x14ac:dyDescent="0.2"/>
    <row r="361" s="131" customFormat="1" x14ac:dyDescent="0.2"/>
    <row r="362" s="131" customFormat="1" x14ac:dyDescent="0.2"/>
    <row r="363" s="131" customFormat="1" x14ac:dyDescent="0.2"/>
    <row r="364" s="131" customFormat="1" x14ac:dyDescent="0.2"/>
    <row r="365" s="131" customFormat="1" x14ac:dyDescent="0.2"/>
    <row r="366" s="131" customFormat="1" x14ac:dyDescent="0.2"/>
    <row r="367" s="131" customFormat="1" x14ac:dyDescent="0.2"/>
    <row r="368" s="131" customFormat="1" x14ac:dyDescent="0.2"/>
    <row r="369" s="131" customFormat="1" x14ac:dyDescent="0.2"/>
    <row r="370" s="131" customFormat="1" x14ac:dyDescent="0.2"/>
    <row r="371" s="131" customFormat="1" x14ac:dyDescent="0.2"/>
    <row r="372" s="131" customFormat="1" x14ac:dyDescent="0.2"/>
    <row r="373" s="131" customFormat="1" x14ac:dyDescent="0.2"/>
    <row r="374" s="131" customFormat="1" x14ac:dyDescent="0.2"/>
    <row r="375" s="131" customFormat="1" x14ac:dyDescent="0.2"/>
    <row r="376" s="131" customFormat="1" x14ac:dyDescent="0.2"/>
    <row r="377" s="131" customFormat="1" x14ac:dyDescent="0.2"/>
    <row r="378" s="131" customFormat="1" x14ac:dyDescent="0.2"/>
    <row r="379" s="131" customFormat="1" x14ac:dyDescent="0.2"/>
    <row r="380" s="131" customFormat="1" x14ac:dyDescent="0.2"/>
    <row r="381" s="131" customFormat="1" x14ac:dyDescent="0.2"/>
    <row r="382" s="131" customFormat="1" x14ac:dyDescent="0.2"/>
    <row r="383" s="131" customFormat="1" x14ac:dyDescent="0.2"/>
    <row r="384" s="131" customFormat="1" x14ac:dyDescent="0.2"/>
    <row r="385" s="131" customFormat="1" x14ac:dyDescent="0.2"/>
    <row r="386" s="131" customFormat="1" x14ac:dyDescent="0.2"/>
    <row r="387" s="131" customFormat="1" x14ac:dyDescent="0.2"/>
    <row r="388" s="131" customFormat="1" x14ac:dyDescent="0.2"/>
    <row r="389" s="131" customFormat="1" x14ac:dyDescent="0.2"/>
    <row r="390" s="131" customFormat="1" x14ac:dyDescent="0.2"/>
    <row r="391" s="131" customFormat="1" x14ac:dyDescent="0.2"/>
    <row r="392" s="131" customFormat="1" x14ac:dyDescent="0.2"/>
    <row r="393" s="131" customFormat="1" x14ac:dyDescent="0.2"/>
    <row r="394" s="131" customFormat="1" x14ac:dyDescent="0.2"/>
    <row r="395" s="131" customFormat="1" x14ac:dyDescent="0.2"/>
    <row r="396" s="131" customFormat="1" x14ac:dyDescent="0.2"/>
    <row r="397" s="131" customFormat="1" x14ac:dyDescent="0.2"/>
    <row r="398" s="131" customFormat="1" x14ac:dyDescent="0.2"/>
    <row r="399" s="131" customFormat="1" x14ac:dyDescent="0.2"/>
    <row r="400" s="131" customFormat="1" x14ac:dyDescent="0.2"/>
    <row r="401" s="131" customFormat="1" x14ac:dyDescent="0.2"/>
    <row r="402" s="131" customFormat="1" x14ac:dyDescent="0.2"/>
    <row r="403" s="131" customFormat="1" x14ac:dyDescent="0.2"/>
    <row r="404" s="131" customFormat="1" x14ac:dyDescent="0.2"/>
    <row r="405" s="131" customFormat="1" x14ac:dyDescent="0.2"/>
    <row r="406" s="131" customFormat="1" x14ac:dyDescent="0.2"/>
    <row r="407" s="131" customFormat="1" x14ac:dyDescent="0.2"/>
    <row r="408" s="131" customFormat="1" x14ac:dyDescent="0.2"/>
    <row r="409" s="131" customFormat="1" x14ac:dyDescent="0.2"/>
    <row r="410" s="131" customFormat="1" x14ac:dyDescent="0.2"/>
    <row r="411" s="131" customFormat="1" x14ac:dyDescent="0.2"/>
    <row r="412" s="131" customFormat="1" x14ac:dyDescent="0.2"/>
    <row r="413" s="131" customFormat="1" x14ac:dyDescent="0.2"/>
    <row r="414" s="131" customFormat="1" x14ac:dyDescent="0.2"/>
    <row r="415" s="131" customFormat="1" x14ac:dyDescent="0.2"/>
    <row r="416" s="131" customFormat="1" x14ac:dyDescent="0.2"/>
    <row r="417" s="131" customFormat="1" x14ac:dyDescent="0.2"/>
    <row r="418" s="131" customFormat="1" x14ac:dyDescent="0.2"/>
    <row r="419" s="131" customFormat="1" x14ac:dyDescent="0.2"/>
    <row r="420" s="131" customFormat="1" x14ac:dyDescent="0.2"/>
    <row r="421" s="131" customFormat="1" x14ac:dyDescent="0.2"/>
    <row r="422" s="131" customFormat="1" x14ac:dyDescent="0.2"/>
    <row r="423" s="131" customFormat="1" x14ac:dyDescent="0.2"/>
    <row r="424" s="131" customFormat="1" x14ac:dyDescent="0.2"/>
    <row r="425" s="131" customFormat="1" x14ac:dyDescent="0.2"/>
    <row r="426" s="131" customFormat="1" x14ac:dyDescent="0.2"/>
    <row r="427" s="131" customFormat="1" x14ac:dyDescent="0.2"/>
    <row r="428" s="131" customFormat="1" x14ac:dyDescent="0.2"/>
    <row r="429" s="131" customFormat="1" x14ac:dyDescent="0.2"/>
    <row r="430" s="131" customFormat="1" x14ac:dyDescent="0.2"/>
    <row r="431" s="131" customFormat="1" x14ac:dyDescent="0.2"/>
    <row r="432" s="131" customFormat="1" x14ac:dyDescent="0.2"/>
    <row r="433" s="131" customFormat="1" x14ac:dyDescent="0.2"/>
    <row r="434" s="131" customFormat="1" x14ac:dyDescent="0.2"/>
    <row r="435" s="131" customFormat="1" x14ac:dyDescent="0.2"/>
    <row r="436" s="131" customFormat="1" x14ac:dyDescent="0.2"/>
    <row r="437" s="131" customFormat="1" x14ac:dyDescent="0.2"/>
    <row r="438" s="131" customFormat="1" x14ac:dyDescent="0.2"/>
    <row r="439" s="131" customFormat="1" x14ac:dyDescent="0.2"/>
    <row r="440" s="131" customFormat="1" x14ac:dyDescent="0.2"/>
    <row r="441" s="131" customFormat="1" x14ac:dyDescent="0.2"/>
    <row r="442" s="131" customFormat="1" x14ac:dyDescent="0.2"/>
    <row r="443" s="131" customFormat="1" x14ac:dyDescent="0.2"/>
    <row r="444" s="131" customFormat="1" x14ac:dyDescent="0.2"/>
    <row r="445" s="131" customFormat="1" x14ac:dyDescent="0.2"/>
    <row r="446" s="131" customFormat="1" x14ac:dyDescent="0.2"/>
    <row r="447" s="131" customFormat="1" x14ac:dyDescent="0.2"/>
    <row r="448" s="131" customFormat="1" x14ac:dyDescent="0.2"/>
    <row r="449" s="131" customFormat="1" x14ac:dyDescent="0.2"/>
    <row r="450" s="131" customFormat="1" x14ac:dyDescent="0.2"/>
    <row r="451" s="131" customFormat="1" x14ac:dyDescent="0.2"/>
    <row r="452" s="131" customFormat="1" x14ac:dyDescent="0.2"/>
    <row r="453" s="131" customFormat="1" x14ac:dyDescent="0.2"/>
    <row r="454" s="131" customFormat="1" x14ac:dyDescent="0.2"/>
    <row r="455" s="131" customFormat="1" x14ac:dyDescent="0.2"/>
    <row r="456" s="131" customFormat="1" x14ac:dyDescent="0.2"/>
    <row r="457" s="131" customFormat="1" x14ac:dyDescent="0.2"/>
    <row r="458" s="131" customFormat="1" x14ac:dyDescent="0.2"/>
    <row r="459" s="131" customFormat="1" x14ac:dyDescent="0.2"/>
    <row r="460" s="131" customFormat="1" x14ac:dyDescent="0.2"/>
    <row r="461" s="131" customFormat="1" x14ac:dyDescent="0.2"/>
    <row r="462" s="131" customFormat="1" x14ac:dyDescent="0.2"/>
    <row r="463" s="131" customFormat="1" x14ac:dyDescent="0.2"/>
    <row r="464" s="131" customFormat="1" x14ac:dyDescent="0.2"/>
    <row r="465" s="131" customFormat="1" x14ac:dyDescent="0.2"/>
    <row r="466" s="131" customFormat="1" x14ac:dyDescent="0.2"/>
    <row r="467" s="131" customFormat="1" x14ac:dyDescent="0.2"/>
    <row r="468" s="131" customFormat="1" x14ac:dyDescent="0.2"/>
    <row r="469" s="131" customFormat="1" x14ac:dyDescent="0.2"/>
    <row r="470" s="131" customFormat="1" x14ac:dyDescent="0.2"/>
    <row r="471" s="131" customFormat="1" x14ac:dyDescent="0.2"/>
    <row r="472" s="131" customFormat="1" x14ac:dyDescent="0.2"/>
    <row r="473" s="131" customFormat="1" x14ac:dyDescent="0.2"/>
    <row r="474" s="131" customFormat="1" x14ac:dyDescent="0.2"/>
    <row r="475" s="131" customFormat="1" x14ac:dyDescent="0.2"/>
    <row r="476" s="131" customFormat="1" x14ac:dyDescent="0.2"/>
    <row r="477" s="131" customFormat="1" x14ac:dyDescent="0.2"/>
    <row r="478" s="131" customFormat="1" x14ac:dyDescent="0.2"/>
    <row r="479" s="131" customFormat="1" x14ac:dyDescent="0.2"/>
    <row r="480" s="131" customFormat="1" x14ac:dyDescent="0.2"/>
    <row r="481" s="131" customFormat="1" x14ac:dyDescent="0.2"/>
    <row r="482" s="131" customFormat="1" x14ac:dyDescent="0.2"/>
    <row r="483" s="131" customFormat="1" x14ac:dyDescent="0.2"/>
    <row r="484" s="131" customFormat="1" x14ac:dyDescent="0.2"/>
    <row r="485" s="131" customFormat="1" x14ac:dyDescent="0.2"/>
    <row r="486" s="131" customFormat="1" x14ac:dyDescent="0.2"/>
    <row r="487" s="131" customFormat="1" x14ac:dyDescent="0.2"/>
    <row r="488" s="131" customFormat="1" x14ac:dyDescent="0.2"/>
    <row r="489" s="131" customFormat="1" x14ac:dyDescent="0.2"/>
    <row r="490" s="131" customFormat="1" x14ac:dyDescent="0.2"/>
    <row r="491" s="131" customFormat="1" x14ac:dyDescent="0.2"/>
    <row r="492" s="131" customFormat="1" x14ac:dyDescent="0.2"/>
    <row r="493" s="131" customFormat="1" x14ac:dyDescent="0.2"/>
    <row r="494" s="131" customFormat="1" x14ac:dyDescent="0.2"/>
    <row r="495" s="131" customFormat="1" x14ac:dyDescent="0.2"/>
    <row r="496" s="131" customFormat="1" x14ac:dyDescent="0.2"/>
    <row r="497" s="131" customFormat="1" x14ac:dyDescent="0.2"/>
    <row r="498" s="131" customFormat="1" x14ac:dyDescent="0.2"/>
    <row r="499" s="131" customFormat="1" x14ac:dyDescent="0.2"/>
    <row r="500" s="131" customFormat="1" x14ac:dyDescent="0.2"/>
    <row r="501" s="131" customFormat="1" x14ac:dyDescent="0.2"/>
    <row r="502" s="131" customFormat="1" x14ac:dyDescent="0.2"/>
    <row r="503" s="131" customFormat="1" x14ac:dyDescent="0.2"/>
    <row r="504" s="131" customFormat="1" x14ac:dyDescent="0.2"/>
    <row r="505" s="131" customFormat="1" x14ac:dyDescent="0.2"/>
    <row r="506" s="131" customFormat="1" x14ac:dyDescent="0.2"/>
    <row r="507" s="131" customFormat="1" x14ac:dyDescent="0.2"/>
    <row r="508" s="131" customFormat="1" x14ac:dyDescent="0.2"/>
    <row r="509" s="131" customFormat="1" x14ac:dyDescent="0.2"/>
    <row r="510" s="131" customFormat="1" x14ac:dyDescent="0.2"/>
    <row r="511" s="131" customFormat="1" x14ac:dyDescent="0.2"/>
    <row r="512" s="131" customFormat="1" x14ac:dyDescent="0.2"/>
    <row r="513" s="131" customFormat="1" x14ac:dyDescent="0.2"/>
    <row r="514" s="131" customFormat="1" x14ac:dyDescent="0.2"/>
    <row r="515" s="131" customFormat="1" x14ac:dyDescent="0.2"/>
    <row r="516" s="131" customFormat="1" x14ac:dyDescent="0.2"/>
    <row r="517" s="131" customFormat="1" x14ac:dyDescent="0.2"/>
    <row r="518" s="131" customFormat="1" x14ac:dyDescent="0.2"/>
    <row r="519" s="131" customFormat="1" x14ac:dyDescent="0.2"/>
    <row r="520" s="131" customFormat="1" x14ac:dyDescent="0.2"/>
    <row r="521" s="131" customFormat="1" x14ac:dyDescent="0.2"/>
    <row r="522" s="131" customFormat="1" x14ac:dyDescent="0.2"/>
    <row r="523" s="131" customFormat="1" x14ac:dyDescent="0.2"/>
    <row r="524" s="131" customFormat="1" x14ac:dyDescent="0.2"/>
    <row r="525" s="131" customFormat="1" x14ac:dyDescent="0.2"/>
    <row r="526" s="131" customFormat="1" x14ac:dyDescent="0.2"/>
    <row r="527" s="131" customFormat="1" x14ac:dyDescent="0.2"/>
    <row r="528" s="131" customFormat="1" x14ac:dyDescent="0.2"/>
    <row r="529" s="131" customFormat="1" x14ac:dyDescent="0.2"/>
    <row r="530" s="131" customFormat="1" x14ac:dyDescent="0.2"/>
    <row r="531" s="131" customFormat="1" x14ac:dyDescent="0.2"/>
    <row r="532" s="131" customFormat="1" x14ac:dyDescent="0.2"/>
    <row r="533" s="131" customFormat="1" x14ac:dyDescent="0.2"/>
    <row r="534" s="131" customFormat="1" x14ac:dyDescent="0.2"/>
    <row r="535" s="131" customFormat="1" x14ac:dyDescent="0.2"/>
    <row r="536" s="131" customFormat="1" x14ac:dyDescent="0.2"/>
    <row r="537" s="131" customFormat="1" x14ac:dyDescent="0.2"/>
    <row r="538" s="131" customFormat="1" x14ac:dyDescent="0.2"/>
    <row r="539" s="131" customFormat="1" x14ac:dyDescent="0.2"/>
    <row r="540" s="131" customFormat="1" x14ac:dyDescent="0.2"/>
    <row r="541" s="131" customFormat="1" x14ac:dyDescent="0.2"/>
    <row r="542" s="131" customFormat="1" x14ac:dyDescent="0.2"/>
    <row r="543" s="131" customFormat="1" x14ac:dyDescent="0.2"/>
    <row r="544" s="131" customFormat="1" x14ac:dyDescent="0.2"/>
    <row r="545" s="131" customFormat="1" x14ac:dyDescent="0.2"/>
    <row r="546" s="131" customFormat="1" x14ac:dyDescent="0.2"/>
    <row r="547" s="131" customFormat="1" x14ac:dyDescent="0.2"/>
    <row r="548" s="131" customFormat="1" x14ac:dyDescent="0.2"/>
    <row r="549" s="131" customFormat="1" x14ac:dyDescent="0.2"/>
    <row r="550" s="131" customFormat="1" x14ac:dyDescent="0.2"/>
    <row r="551" s="131" customFormat="1" x14ac:dyDescent="0.2"/>
    <row r="552" s="131" customFormat="1" x14ac:dyDescent="0.2"/>
    <row r="553" s="131" customFormat="1" x14ac:dyDescent="0.2"/>
    <row r="554" s="131" customFormat="1" x14ac:dyDescent="0.2"/>
    <row r="555" s="131" customFormat="1" x14ac:dyDescent="0.2"/>
    <row r="556" s="131" customFormat="1" x14ac:dyDescent="0.2"/>
    <row r="557" s="131" customFormat="1" x14ac:dyDescent="0.2"/>
    <row r="558" s="131" customFormat="1" x14ac:dyDescent="0.2"/>
    <row r="559" s="131" customFormat="1" x14ac:dyDescent="0.2"/>
    <row r="560" s="131" customFormat="1" x14ac:dyDescent="0.2"/>
    <row r="561" s="131" customFormat="1" x14ac:dyDescent="0.2"/>
    <row r="562" s="131" customFormat="1" x14ac:dyDescent="0.2"/>
    <row r="563" s="131" customFormat="1" x14ac:dyDescent="0.2"/>
    <row r="564" s="131" customFormat="1" x14ac:dyDescent="0.2"/>
    <row r="565" s="131" customFormat="1" x14ac:dyDescent="0.2"/>
    <row r="566" s="131" customFormat="1" x14ac:dyDescent="0.2"/>
    <row r="567" s="131" customFormat="1" x14ac:dyDescent="0.2"/>
    <row r="568" s="131" customFormat="1" x14ac:dyDescent="0.2"/>
    <row r="569" s="131" customFormat="1" x14ac:dyDescent="0.2"/>
    <row r="570" s="131" customFormat="1" x14ac:dyDescent="0.2"/>
    <row r="571" s="131" customFormat="1" x14ac:dyDescent="0.2"/>
    <row r="572" s="131" customFormat="1" x14ac:dyDescent="0.2"/>
    <row r="573" s="131" customFormat="1" x14ac:dyDescent="0.2"/>
    <row r="574" s="131" customFormat="1" x14ac:dyDescent="0.2"/>
    <row r="575" s="131" customFormat="1" x14ac:dyDescent="0.2"/>
    <row r="576" s="131" customFormat="1" x14ac:dyDescent="0.2"/>
    <row r="577" s="131" customFormat="1" x14ac:dyDescent="0.2"/>
    <row r="578" s="131" customFormat="1" x14ac:dyDescent="0.2"/>
    <row r="579" s="131" customFormat="1" x14ac:dyDescent="0.2"/>
    <row r="580" s="131" customFormat="1" x14ac:dyDescent="0.2"/>
    <row r="581" s="131" customFormat="1" x14ac:dyDescent="0.2"/>
    <row r="582" s="131" customFormat="1" x14ac:dyDescent="0.2"/>
    <row r="583" s="131" customFormat="1" x14ac:dyDescent="0.2"/>
    <row r="584" s="131" customFormat="1" x14ac:dyDescent="0.2"/>
    <row r="585" s="131" customFormat="1" x14ac:dyDescent="0.2"/>
    <row r="586" s="131" customFormat="1" x14ac:dyDescent="0.2"/>
    <row r="587" s="131" customFormat="1" x14ac:dyDescent="0.2"/>
    <row r="588" s="131" customFormat="1" x14ac:dyDescent="0.2"/>
    <row r="589" s="131" customFormat="1" x14ac:dyDescent="0.2"/>
    <row r="590" s="131" customFormat="1" x14ac:dyDescent="0.2"/>
    <row r="591" s="131" customFormat="1" x14ac:dyDescent="0.2"/>
    <row r="592" s="131" customFormat="1" x14ac:dyDescent="0.2"/>
    <row r="593" s="131" customFormat="1" x14ac:dyDescent="0.2"/>
    <row r="594" s="131" customFormat="1" x14ac:dyDescent="0.2"/>
    <row r="595" s="131" customFormat="1" x14ac:dyDescent="0.2"/>
    <row r="596" s="131" customFormat="1" x14ac:dyDescent="0.2"/>
    <row r="597" s="131" customFormat="1" x14ac:dyDescent="0.2"/>
    <row r="598" s="131" customFormat="1" x14ac:dyDescent="0.2"/>
    <row r="599" s="131" customFormat="1" x14ac:dyDescent="0.2"/>
    <row r="600" s="131" customFormat="1" x14ac:dyDescent="0.2"/>
    <row r="601" s="131" customFormat="1" x14ac:dyDescent="0.2"/>
    <row r="602" s="131" customFormat="1" x14ac:dyDescent="0.2"/>
    <row r="603" s="131" customFormat="1" x14ac:dyDescent="0.2"/>
    <row r="604" s="131" customFormat="1" x14ac:dyDescent="0.2"/>
    <row r="605" s="131" customFormat="1" x14ac:dyDescent="0.2"/>
    <row r="606" s="131" customFormat="1" x14ac:dyDescent="0.2"/>
    <row r="607" s="131" customFormat="1" x14ac:dyDescent="0.2"/>
    <row r="608" s="131" customFormat="1" x14ac:dyDescent="0.2"/>
    <row r="609" s="131" customFormat="1" x14ac:dyDescent="0.2"/>
    <row r="610" s="131" customFormat="1" x14ac:dyDescent="0.2"/>
    <row r="611" s="131" customFormat="1" x14ac:dyDescent="0.2"/>
    <row r="612" s="131" customFormat="1" x14ac:dyDescent="0.2"/>
    <row r="613" s="131" customFormat="1" x14ac:dyDescent="0.2"/>
    <row r="614" s="131" customFormat="1" x14ac:dyDescent="0.2"/>
    <row r="615" s="131" customFormat="1" x14ac:dyDescent="0.2"/>
    <row r="616" s="131" customFormat="1" x14ac:dyDescent="0.2"/>
    <row r="617" s="131" customFormat="1" x14ac:dyDescent="0.2"/>
    <row r="618" s="131" customFormat="1" x14ac:dyDescent="0.2"/>
    <row r="619" s="131" customFormat="1" x14ac:dyDescent="0.2"/>
    <row r="620" s="131" customFormat="1" x14ac:dyDescent="0.2"/>
    <row r="621" s="131" customFormat="1" x14ac:dyDescent="0.2"/>
    <row r="622" s="131" customFormat="1" x14ac:dyDescent="0.2"/>
    <row r="623" s="131" customFormat="1" x14ac:dyDescent="0.2"/>
    <row r="624" s="131" customFormat="1" x14ac:dyDescent="0.2"/>
    <row r="625" s="131" customFormat="1" x14ac:dyDescent="0.2"/>
    <row r="626" s="131" customFormat="1" x14ac:dyDescent="0.2"/>
    <row r="627" s="131" customFormat="1" x14ac:dyDescent="0.2"/>
    <row r="628" s="131" customFormat="1" x14ac:dyDescent="0.2"/>
    <row r="629" s="131" customFormat="1" x14ac:dyDescent="0.2"/>
    <row r="630" s="131" customFormat="1" x14ac:dyDescent="0.2"/>
    <row r="631" s="131" customFormat="1" x14ac:dyDescent="0.2"/>
    <row r="632" s="131" customFormat="1" x14ac:dyDescent="0.2"/>
    <row r="633" s="131" customFormat="1" x14ac:dyDescent="0.2"/>
    <row r="634" s="131" customFormat="1" x14ac:dyDescent="0.2"/>
    <row r="635" s="131" customFormat="1" x14ac:dyDescent="0.2"/>
    <row r="636" s="131" customFormat="1" x14ac:dyDescent="0.2"/>
    <row r="637" s="131" customFormat="1" x14ac:dyDescent="0.2"/>
    <row r="638" s="131" customFormat="1" x14ac:dyDescent="0.2"/>
    <row r="639" s="131" customFormat="1" x14ac:dyDescent="0.2"/>
    <row r="640" s="131" customFormat="1" x14ac:dyDescent="0.2"/>
    <row r="641" s="131" customFormat="1" x14ac:dyDescent="0.2"/>
    <row r="642" s="131" customFormat="1" x14ac:dyDescent="0.2"/>
    <row r="643" s="131" customFormat="1" x14ac:dyDescent="0.2"/>
    <row r="644" s="131" customFormat="1" x14ac:dyDescent="0.2"/>
    <row r="645" s="131" customFormat="1" x14ac:dyDescent="0.2"/>
    <row r="646" s="131" customFormat="1" x14ac:dyDescent="0.2"/>
    <row r="647" s="131" customFormat="1" x14ac:dyDescent="0.2"/>
    <row r="648" s="131" customFormat="1" x14ac:dyDescent="0.2"/>
    <row r="649" s="131" customFormat="1" x14ac:dyDescent="0.2"/>
    <row r="650" s="131" customFormat="1" x14ac:dyDescent="0.2"/>
    <row r="651" s="131" customFormat="1" x14ac:dyDescent="0.2"/>
    <row r="652" s="131" customFormat="1" x14ac:dyDescent="0.2"/>
    <row r="653" s="131" customFormat="1" x14ac:dyDescent="0.2"/>
    <row r="654" s="131" customFormat="1" x14ac:dyDescent="0.2"/>
    <row r="655" s="131" customFormat="1" x14ac:dyDescent="0.2"/>
    <row r="656" s="131" customFormat="1" x14ac:dyDescent="0.2"/>
    <row r="657" s="131" customFormat="1" x14ac:dyDescent="0.2"/>
    <row r="658" s="131" customFormat="1" x14ac:dyDescent="0.2"/>
    <row r="659" s="131" customFormat="1" x14ac:dyDescent="0.2"/>
    <row r="660" s="131" customFormat="1" x14ac:dyDescent="0.2"/>
    <row r="661" s="131" customFormat="1" x14ac:dyDescent="0.2"/>
    <row r="662" s="131" customFormat="1" x14ac:dyDescent="0.2"/>
    <row r="663" s="131" customFormat="1" x14ac:dyDescent="0.2"/>
    <row r="664" s="131" customFormat="1" x14ac:dyDescent="0.2"/>
    <row r="665" s="131" customFormat="1" x14ac:dyDescent="0.2"/>
    <row r="666" s="131" customFormat="1" x14ac:dyDescent="0.2"/>
    <row r="667" s="131" customFormat="1" x14ac:dyDescent="0.2"/>
    <row r="668" s="131" customFormat="1" x14ac:dyDescent="0.2"/>
    <row r="669" s="131" customFormat="1" x14ac:dyDescent="0.2"/>
    <row r="670" s="131" customFormat="1" x14ac:dyDescent="0.2"/>
    <row r="671" s="131" customFormat="1" x14ac:dyDescent="0.2"/>
    <row r="672" s="131" customFormat="1" x14ac:dyDescent="0.2"/>
    <row r="673" s="131" customFormat="1" x14ac:dyDescent="0.2"/>
    <row r="674" s="131" customFormat="1" x14ac:dyDescent="0.2"/>
    <row r="675" s="131" customFormat="1" x14ac:dyDescent="0.2"/>
    <row r="676" s="131" customFormat="1" x14ac:dyDescent="0.2"/>
    <row r="677" s="131" customFormat="1" x14ac:dyDescent="0.2"/>
    <row r="678" s="131" customFormat="1" x14ac:dyDescent="0.2"/>
    <row r="679" s="131" customFormat="1" x14ac:dyDescent="0.2"/>
    <row r="680" s="131" customFormat="1" x14ac:dyDescent="0.2"/>
    <row r="681" s="131" customFormat="1" x14ac:dyDescent="0.2"/>
    <row r="682" s="131" customFormat="1" x14ac:dyDescent="0.2"/>
    <row r="683" s="131" customFormat="1" x14ac:dyDescent="0.2"/>
    <row r="684" s="131" customFormat="1" x14ac:dyDescent="0.2"/>
    <row r="685" s="131" customFormat="1" x14ac:dyDescent="0.2"/>
    <row r="686" s="131" customFormat="1" x14ac:dyDescent="0.2"/>
    <row r="687" s="131" customFormat="1" x14ac:dyDescent="0.2"/>
    <row r="688" s="131" customFormat="1" x14ac:dyDescent="0.2"/>
    <row r="689" s="131" customFormat="1" x14ac:dyDescent="0.2"/>
    <row r="690" s="131" customFormat="1" x14ac:dyDescent="0.2"/>
    <row r="691" s="131" customFormat="1" x14ac:dyDescent="0.2"/>
    <row r="692" s="131" customFormat="1" x14ac:dyDescent="0.2"/>
    <row r="693" s="131" customFormat="1" x14ac:dyDescent="0.2"/>
    <row r="694" s="131" customFormat="1" x14ac:dyDescent="0.2"/>
    <row r="695" s="131" customFormat="1" x14ac:dyDescent="0.2"/>
    <row r="696" s="131" customFormat="1" x14ac:dyDescent="0.2"/>
    <row r="697" s="131" customFormat="1" x14ac:dyDescent="0.2"/>
    <row r="698" s="131" customFormat="1" x14ac:dyDescent="0.2"/>
    <row r="699" s="131" customFormat="1" x14ac:dyDescent="0.2"/>
    <row r="700" s="131" customFormat="1" x14ac:dyDescent="0.2"/>
    <row r="701" s="131" customFormat="1" x14ac:dyDescent="0.2"/>
    <row r="702" s="131" customFormat="1" x14ac:dyDescent="0.2"/>
    <row r="703" s="131" customFormat="1" x14ac:dyDescent="0.2"/>
    <row r="704" s="131" customFormat="1" x14ac:dyDescent="0.2"/>
    <row r="705" s="131" customFormat="1" x14ac:dyDescent="0.2"/>
    <row r="706" s="131" customFormat="1" x14ac:dyDescent="0.2"/>
    <row r="707" s="131" customFormat="1" x14ac:dyDescent="0.2"/>
    <row r="708" s="131" customFormat="1" x14ac:dyDescent="0.2"/>
    <row r="709" s="131" customFormat="1" x14ac:dyDescent="0.2"/>
    <row r="710" s="131" customFormat="1" x14ac:dyDescent="0.2"/>
    <row r="711" s="131" customFormat="1" x14ac:dyDescent="0.2"/>
    <row r="712" s="131" customFormat="1" x14ac:dyDescent="0.2"/>
    <row r="713" s="131" customFormat="1" x14ac:dyDescent="0.2"/>
    <row r="714" s="131" customFormat="1" x14ac:dyDescent="0.2"/>
    <row r="715" s="131" customFormat="1" x14ac:dyDescent="0.2"/>
    <row r="716" s="131" customFormat="1" x14ac:dyDescent="0.2"/>
    <row r="717" s="131" customFormat="1" x14ac:dyDescent="0.2"/>
    <row r="718" s="131" customFormat="1" x14ac:dyDescent="0.2"/>
    <row r="719" s="131" customFormat="1" x14ac:dyDescent="0.2"/>
    <row r="720" s="131" customFormat="1" x14ac:dyDescent="0.2"/>
    <row r="721" s="131" customFormat="1" x14ac:dyDescent="0.2"/>
    <row r="722" s="131" customFormat="1" x14ac:dyDescent="0.2"/>
    <row r="723" s="131" customFormat="1" x14ac:dyDescent="0.2"/>
    <row r="724" s="131" customFormat="1" x14ac:dyDescent="0.2"/>
    <row r="725" s="131" customFormat="1" x14ac:dyDescent="0.2"/>
    <row r="726" s="131" customFormat="1" x14ac:dyDescent="0.2"/>
    <row r="727" s="131" customFormat="1" x14ac:dyDescent="0.2"/>
    <row r="728" s="131" customFormat="1" x14ac:dyDescent="0.2"/>
    <row r="729" s="131" customFormat="1" x14ac:dyDescent="0.2"/>
    <row r="730" s="131" customFormat="1" x14ac:dyDescent="0.2"/>
    <row r="731" s="131" customFormat="1" x14ac:dyDescent="0.2"/>
    <row r="732" s="131" customFormat="1" x14ac:dyDescent="0.2"/>
    <row r="733" s="131" customFormat="1" x14ac:dyDescent="0.2"/>
    <row r="734" s="131" customFormat="1" x14ac:dyDescent="0.2"/>
    <row r="735" s="131" customFormat="1" x14ac:dyDescent="0.2"/>
    <row r="736" s="131" customFormat="1" x14ac:dyDescent="0.2"/>
    <row r="737" s="131" customFormat="1" x14ac:dyDescent="0.2"/>
    <row r="738" s="131" customFormat="1" x14ac:dyDescent="0.2"/>
    <row r="739" s="131" customFormat="1" x14ac:dyDescent="0.2"/>
    <row r="740" s="131" customFormat="1" x14ac:dyDescent="0.2"/>
    <row r="741" s="131" customFormat="1" x14ac:dyDescent="0.2"/>
    <row r="742" s="131" customFormat="1" x14ac:dyDescent="0.2"/>
    <row r="743" s="131" customFormat="1" x14ac:dyDescent="0.2"/>
    <row r="744" s="131" customFormat="1" x14ac:dyDescent="0.2"/>
    <row r="745" s="131" customFormat="1" x14ac:dyDescent="0.2"/>
    <row r="746" s="131" customFormat="1" x14ac:dyDescent="0.2"/>
    <row r="747" s="131" customFormat="1" x14ac:dyDescent="0.2"/>
    <row r="748" s="131" customFormat="1" x14ac:dyDescent="0.2"/>
    <row r="749" s="131" customFormat="1" x14ac:dyDescent="0.2"/>
    <row r="750" s="131" customFormat="1" x14ac:dyDescent="0.2"/>
    <row r="751" s="131" customFormat="1" x14ac:dyDescent="0.2"/>
    <row r="752" s="131" customFormat="1" x14ac:dyDescent="0.2"/>
    <row r="753" s="131" customFormat="1" x14ac:dyDescent="0.2"/>
    <row r="754" s="131" customFormat="1" x14ac:dyDescent="0.2"/>
    <row r="755" s="131" customFormat="1" x14ac:dyDescent="0.2"/>
    <row r="756" s="131" customFormat="1" x14ac:dyDescent="0.2"/>
    <row r="757" s="131" customFormat="1" x14ac:dyDescent="0.2"/>
    <row r="758" s="131" customFormat="1" x14ac:dyDescent="0.2"/>
    <row r="759" s="131" customFormat="1" x14ac:dyDescent="0.2"/>
    <row r="760" s="131" customFormat="1" x14ac:dyDescent="0.2"/>
    <row r="761" s="131" customFormat="1" x14ac:dyDescent="0.2"/>
    <row r="762" s="131" customFormat="1" x14ac:dyDescent="0.2"/>
    <row r="763" s="131" customFormat="1" x14ac:dyDescent="0.2"/>
    <row r="764" s="131" customFormat="1" x14ac:dyDescent="0.2"/>
    <row r="765" s="131" customFormat="1" x14ac:dyDescent="0.2"/>
    <row r="766" s="131" customFormat="1" x14ac:dyDescent="0.2"/>
    <row r="767" s="131" customFormat="1" x14ac:dyDescent="0.2"/>
    <row r="768" s="131" customFormat="1" x14ac:dyDescent="0.2"/>
    <row r="769" s="131" customFormat="1" x14ac:dyDescent="0.2"/>
    <row r="770" s="131" customFormat="1" x14ac:dyDescent="0.2"/>
    <row r="771" s="131" customFormat="1" x14ac:dyDescent="0.2"/>
    <row r="772" s="131" customFormat="1" x14ac:dyDescent="0.2"/>
    <row r="773" s="131" customFormat="1" x14ac:dyDescent="0.2"/>
    <row r="774" s="131" customFormat="1" x14ac:dyDescent="0.2"/>
    <row r="775" s="131" customFormat="1" x14ac:dyDescent="0.2"/>
    <row r="776" s="131" customFormat="1" x14ac:dyDescent="0.2"/>
    <row r="777" s="131" customFormat="1" x14ac:dyDescent="0.2"/>
    <row r="778" s="131" customFormat="1" x14ac:dyDescent="0.2"/>
    <row r="779" s="131" customFormat="1" x14ac:dyDescent="0.2"/>
    <row r="780" s="131" customFormat="1" x14ac:dyDescent="0.2"/>
    <row r="781" s="131" customFormat="1" x14ac:dyDescent="0.2"/>
    <row r="782" s="131" customFormat="1" x14ac:dyDescent="0.2"/>
    <row r="783" s="131" customFormat="1" x14ac:dyDescent="0.2"/>
    <row r="784" s="131" customFormat="1" x14ac:dyDescent="0.2"/>
    <row r="785" s="131" customFormat="1" x14ac:dyDescent="0.2"/>
    <row r="786" s="131" customFormat="1" x14ac:dyDescent="0.2"/>
    <row r="787" s="131" customFormat="1" x14ac:dyDescent="0.2"/>
    <row r="788" s="131" customFormat="1" x14ac:dyDescent="0.2"/>
    <row r="789" s="131" customFormat="1" x14ac:dyDescent="0.2"/>
    <row r="790" s="131" customFormat="1" x14ac:dyDescent="0.2"/>
    <row r="791" s="131" customFormat="1" x14ac:dyDescent="0.2"/>
    <row r="792" s="131" customFormat="1" x14ac:dyDescent="0.2"/>
    <row r="793" s="131" customFormat="1" x14ac:dyDescent="0.2"/>
    <row r="794" s="131" customFormat="1" x14ac:dyDescent="0.2"/>
    <row r="795" s="131" customFormat="1" x14ac:dyDescent="0.2"/>
    <row r="796" s="131" customFormat="1" x14ac:dyDescent="0.2"/>
    <row r="797" s="131" customFormat="1" x14ac:dyDescent="0.2"/>
    <row r="798" s="131" customFormat="1" x14ac:dyDescent="0.2"/>
    <row r="799" s="131" customFormat="1" x14ac:dyDescent="0.2"/>
    <row r="800" s="131" customFormat="1" x14ac:dyDescent="0.2"/>
    <row r="801" s="131" customFormat="1" x14ac:dyDescent="0.2"/>
    <row r="802" s="131" customFormat="1" x14ac:dyDescent="0.2"/>
    <row r="803" s="131" customFormat="1" x14ac:dyDescent="0.2"/>
    <row r="804" s="131" customFormat="1" x14ac:dyDescent="0.2"/>
    <row r="805" s="131" customFormat="1" x14ac:dyDescent="0.2"/>
    <row r="806" s="131" customFormat="1" x14ac:dyDescent="0.2"/>
    <row r="807" s="131" customFormat="1" x14ac:dyDescent="0.2"/>
    <row r="808" s="131" customFormat="1" x14ac:dyDescent="0.2"/>
    <row r="809" s="131" customFormat="1" x14ac:dyDescent="0.2"/>
    <row r="810" s="131" customFormat="1" x14ac:dyDescent="0.2"/>
    <row r="811" s="131" customFormat="1" x14ac:dyDescent="0.2"/>
    <row r="812" s="131" customFormat="1" x14ac:dyDescent="0.2"/>
    <row r="813" s="131" customFormat="1" x14ac:dyDescent="0.2"/>
    <row r="814" s="131" customFormat="1" x14ac:dyDescent="0.2"/>
    <row r="815" s="131" customFormat="1" x14ac:dyDescent="0.2"/>
    <row r="816" s="131" customFormat="1" x14ac:dyDescent="0.2"/>
    <row r="817" s="131" customFormat="1" x14ac:dyDescent="0.2"/>
    <row r="818" s="131" customFormat="1" x14ac:dyDescent="0.2"/>
    <row r="819" s="131" customFormat="1" x14ac:dyDescent="0.2"/>
    <row r="820" s="131" customFormat="1" x14ac:dyDescent="0.2"/>
    <row r="821" s="131" customFormat="1" x14ac:dyDescent="0.2"/>
    <row r="822" s="131" customFormat="1" x14ac:dyDescent="0.2"/>
    <row r="823" s="131"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48"/>
      <c r="B1" s="449"/>
      <c r="C1" s="450"/>
      <c r="D1" s="441" t="s">
        <v>88</v>
      </c>
      <c r="E1" s="442"/>
      <c r="F1" s="442"/>
      <c r="G1" s="442"/>
      <c r="H1" s="442"/>
      <c r="I1" s="442"/>
      <c r="J1" s="442"/>
      <c r="K1" s="442"/>
      <c r="L1" s="442"/>
      <c r="M1" s="442"/>
      <c r="N1" s="442"/>
      <c r="O1" s="442"/>
      <c r="P1" s="442"/>
      <c r="Q1" s="442"/>
      <c r="R1" s="442"/>
      <c r="S1" s="442"/>
      <c r="T1" s="442"/>
      <c r="U1" s="442"/>
      <c r="V1" s="442"/>
      <c r="W1" s="442"/>
      <c r="X1" s="442"/>
      <c r="Y1" s="442"/>
      <c r="Z1" s="442"/>
      <c r="AA1" s="442"/>
      <c r="AB1" s="442"/>
      <c r="AC1" s="443"/>
      <c r="AD1" s="451" t="s">
        <v>120</v>
      </c>
      <c r="AE1" s="452"/>
      <c r="AF1" s="452"/>
      <c r="AG1" s="453"/>
    </row>
    <row r="2" spans="1:33" ht="45.75" customHeight="1" x14ac:dyDescent="0.2">
      <c r="A2" s="454" t="s">
        <v>89</v>
      </c>
      <c r="B2" s="455"/>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56" t="s">
        <v>4</v>
      </c>
      <c r="B3" s="456"/>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46" t="s">
        <v>135</v>
      </c>
      <c r="B4" s="447"/>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46" t="s">
        <v>136</v>
      </c>
      <c r="B5" s="447"/>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46" t="s">
        <v>137</v>
      </c>
      <c r="B6" s="447"/>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56" t="s">
        <v>3</v>
      </c>
      <c r="B7" s="456"/>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56" t="s">
        <v>121</v>
      </c>
      <c r="B8" s="456"/>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56" t="s">
        <v>187</v>
      </c>
      <c r="B9" s="456"/>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56" t="s">
        <v>188</v>
      </c>
      <c r="B10" s="456"/>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56" t="s">
        <v>122</v>
      </c>
      <c r="B11" s="456"/>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56" t="s">
        <v>123</v>
      </c>
      <c r="B12" s="456"/>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56" t="s">
        <v>124</v>
      </c>
      <c r="B13" s="456"/>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46" t="s">
        <v>125</v>
      </c>
      <c r="B14" s="447"/>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46" t="s">
        <v>119</v>
      </c>
      <c r="B15" s="447"/>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56" t="s">
        <v>189</v>
      </c>
      <c r="B16" s="456"/>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56" t="s">
        <v>190</v>
      </c>
      <c r="B17" s="456"/>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57"/>
      <c r="B18" s="458"/>
      <c r="C18" s="458"/>
      <c r="D18" s="458"/>
      <c r="E18" s="458"/>
      <c r="F18" s="458"/>
      <c r="G18" s="458"/>
      <c r="H18" s="458"/>
      <c r="I18" s="458"/>
      <c r="J18" s="458"/>
      <c r="K18" s="458"/>
      <c r="L18" s="458"/>
      <c r="M18" s="458"/>
      <c r="N18" s="458"/>
      <c r="O18" s="458"/>
      <c r="P18" s="458"/>
      <c r="Q18" s="458"/>
      <c r="R18" s="458"/>
      <c r="S18" s="458"/>
      <c r="T18" s="458"/>
      <c r="U18" s="458"/>
      <c r="V18" s="458"/>
      <c r="W18" s="458"/>
      <c r="X18" s="458"/>
      <c r="Y18" s="458"/>
      <c r="Z18" s="458"/>
      <c r="AA18" s="458"/>
      <c r="AB18" s="458"/>
      <c r="AC18" s="43"/>
      <c r="AD18" s="44"/>
      <c r="AE18" s="44"/>
      <c r="AF18" s="44"/>
      <c r="AG18" s="64">
        <f>SUM(AG3:AG17)</f>
        <v>0</v>
      </c>
    </row>
    <row r="19" spans="1:33" ht="21.75" customHeight="1" x14ac:dyDescent="0.2">
      <c r="A19" s="459"/>
      <c r="B19" s="460"/>
      <c r="C19" s="460"/>
      <c r="D19" s="460"/>
      <c r="E19" s="460"/>
      <c r="F19" s="460"/>
      <c r="G19" s="460"/>
      <c r="H19" s="460"/>
      <c r="I19" s="460"/>
      <c r="J19" s="460"/>
      <c r="K19" s="460"/>
      <c r="L19" s="460"/>
      <c r="M19" s="460"/>
      <c r="N19" s="460"/>
      <c r="O19" s="460"/>
      <c r="P19" s="460"/>
      <c r="Q19" s="460"/>
      <c r="R19" s="460"/>
      <c r="S19" s="460"/>
      <c r="T19" s="460"/>
      <c r="U19" s="460"/>
      <c r="V19" s="460"/>
      <c r="W19" s="460"/>
      <c r="X19" s="460"/>
      <c r="Y19" s="460"/>
      <c r="Z19" s="460"/>
      <c r="AA19" s="460"/>
      <c r="AB19" s="460"/>
      <c r="AC19" s="461" t="s">
        <v>2</v>
      </c>
      <c r="AD19" s="462"/>
      <c r="AE19" s="463">
        <v>0</v>
      </c>
      <c r="AF19" s="463"/>
      <c r="AG19" s="464"/>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1"/>
      <c r="B1" s="155" t="s">
        <v>140</v>
      </c>
      <c r="C1" s="155"/>
      <c r="D1" s="155"/>
      <c r="E1" s="155"/>
      <c r="F1" s="155"/>
      <c r="G1" s="155"/>
      <c r="H1" s="156" t="s">
        <v>139</v>
      </c>
      <c r="I1" s="156"/>
    </row>
    <row r="2" spans="1:9" ht="27" customHeight="1" x14ac:dyDescent="0.2">
      <c r="A2" s="157" t="s">
        <v>141</v>
      </c>
      <c r="B2" s="157"/>
      <c r="C2" s="157"/>
      <c r="D2" s="157"/>
      <c r="E2" s="157"/>
      <c r="F2" s="157"/>
      <c r="G2" s="157"/>
      <c r="H2" s="157"/>
      <c r="I2" s="157"/>
    </row>
    <row r="3" spans="1:9" x14ac:dyDescent="0.2">
      <c r="A3" s="132"/>
      <c r="B3" s="132"/>
      <c r="C3" s="132"/>
      <c r="D3" s="132"/>
      <c r="E3" s="132"/>
      <c r="F3" s="132"/>
      <c r="G3" s="132"/>
      <c r="H3" s="132"/>
      <c r="I3" s="132"/>
    </row>
    <row r="4" spans="1:9" ht="12.75" customHeight="1" x14ac:dyDescent="0.2">
      <c r="A4" s="468" t="s">
        <v>149</v>
      </c>
      <c r="B4" s="469"/>
      <c r="C4" s="469"/>
      <c r="D4" s="469"/>
      <c r="E4" s="469"/>
      <c r="F4" s="469"/>
      <c r="G4" s="469"/>
      <c r="H4" s="469"/>
      <c r="I4" s="469"/>
    </row>
    <row r="5" spans="1:9" x14ac:dyDescent="0.2">
      <c r="A5" s="469"/>
      <c r="B5" s="469"/>
      <c r="C5" s="469"/>
      <c r="D5" s="469"/>
      <c r="E5" s="469"/>
      <c r="F5" s="469"/>
      <c r="G5" s="469"/>
      <c r="H5" s="469"/>
      <c r="I5" s="469"/>
    </row>
    <row r="6" spans="1:9" x14ac:dyDescent="0.2">
      <c r="A6" s="132"/>
      <c r="B6" s="132"/>
      <c r="C6" s="132"/>
      <c r="D6" s="132"/>
      <c r="E6" s="132"/>
      <c r="F6" s="132"/>
      <c r="G6" s="132"/>
      <c r="H6" s="132"/>
      <c r="I6" s="132"/>
    </row>
    <row r="7" spans="1:9" x14ac:dyDescent="0.2">
      <c r="A7" s="132"/>
      <c r="B7" s="132"/>
      <c r="C7" s="132"/>
      <c r="D7" s="132"/>
      <c r="E7" s="132"/>
      <c r="F7" s="132"/>
      <c r="G7" s="132"/>
      <c r="H7" s="132"/>
      <c r="I7" s="132"/>
    </row>
    <row r="8" spans="1:9" ht="23.25" customHeight="1" x14ac:dyDescent="0.2">
      <c r="A8" s="132"/>
      <c r="B8" s="132"/>
      <c r="C8" s="132"/>
      <c r="D8" s="132"/>
      <c r="E8" s="124" t="s">
        <v>143</v>
      </c>
      <c r="F8" s="123" t="s">
        <v>145</v>
      </c>
      <c r="G8" s="125"/>
      <c r="H8" s="125"/>
      <c r="I8" s="125"/>
    </row>
    <row r="9" spans="1:9" ht="13.5" customHeight="1" x14ac:dyDescent="0.2">
      <c r="A9" s="389" t="s">
        <v>138</v>
      </c>
      <c r="B9" s="390"/>
      <c r="C9" s="390"/>
      <c r="D9" s="391"/>
      <c r="E9" s="345"/>
      <c r="F9" s="467">
        <f>(E9+E11+E13)/3</f>
        <v>0</v>
      </c>
      <c r="G9" s="466"/>
      <c r="H9" s="466"/>
      <c r="I9" s="122"/>
    </row>
    <row r="10" spans="1:9" ht="13.5" customHeight="1" x14ac:dyDescent="0.2">
      <c r="A10" s="395"/>
      <c r="B10" s="396"/>
      <c r="C10" s="396"/>
      <c r="D10" s="397"/>
      <c r="E10" s="345"/>
      <c r="F10" s="467"/>
      <c r="G10" s="466"/>
      <c r="H10" s="466"/>
      <c r="I10" s="122"/>
    </row>
    <row r="11" spans="1:9" ht="13.5" customHeight="1" x14ac:dyDescent="0.2">
      <c r="A11" s="389" t="s">
        <v>147</v>
      </c>
      <c r="B11" s="390"/>
      <c r="C11" s="390"/>
      <c r="D11" s="391"/>
      <c r="E11" s="345"/>
      <c r="F11" s="467"/>
      <c r="G11" s="466"/>
      <c r="H11" s="466"/>
      <c r="I11" s="122"/>
    </row>
    <row r="12" spans="1:9" ht="13.5" customHeight="1" x14ac:dyDescent="0.2">
      <c r="A12" s="395"/>
      <c r="B12" s="396"/>
      <c r="C12" s="396"/>
      <c r="D12" s="397"/>
      <c r="E12" s="345"/>
      <c r="F12" s="467"/>
      <c r="G12" s="466"/>
      <c r="H12" s="466"/>
      <c r="I12" s="122"/>
    </row>
    <row r="13" spans="1:9" ht="13.5" customHeight="1" x14ac:dyDescent="0.2">
      <c r="A13" s="389" t="s">
        <v>142</v>
      </c>
      <c r="B13" s="390"/>
      <c r="C13" s="390"/>
      <c r="D13" s="391"/>
      <c r="E13" s="368"/>
      <c r="F13" s="467"/>
      <c r="G13" s="125"/>
      <c r="H13" s="125"/>
      <c r="I13" s="122"/>
    </row>
    <row r="14" spans="1:9" ht="13.5" customHeight="1" x14ac:dyDescent="0.2">
      <c r="A14" s="395"/>
      <c r="B14" s="396"/>
      <c r="C14" s="396"/>
      <c r="D14" s="397"/>
      <c r="E14" s="370"/>
      <c r="F14" s="467"/>
      <c r="G14" s="125"/>
      <c r="H14" s="125"/>
      <c r="I14" s="122"/>
    </row>
    <row r="15" spans="1:9" ht="13.5" customHeight="1" x14ac:dyDescent="0.2">
      <c r="A15" s="139"/>
      <c r="B15" s="139"/>
      <c r="C15" s="139"/>
      <c r="D15" s="139"/>
      <c r="E15" s="133"/>
      <c r="F15" s="133"/>
      <c r="G15" s="133"/>
      <c r="H15" s="133"/>
      <c r="I15" s="132"/>
    </row>
    <row r="16" spans="1:9" x14ac:dyDescent="0.2">
      <c r="A16" s="132"/>
      <c r="B16" s="132"/>
      <c r="C16" s="132"/>
      <c r="D16" s="132"/>
      <c r="E16" s="465" t="s">
        <v>146</v>
      </c>
      <c r="F16" s="465"/>
      <c r="G16" s="465"/>
      <c r="H16" s="465"/>
      <c r="I16" s="465"/>
    </row>
    <row r="17" spans="1:9" x14ac:dyDescent="0.2">
      <c r="A17" s="132"/>
      <c r="B17" s="132"/>
      <c r="C17" s="132"/>
      <c r="D17" s="132"/>
      <c r="E17" s="140"/>
      <c r="F17" s="140"/>
      <c r="G17" s="140"/>
      <c r="H17" s="140"/>
      <c r="I17" s="140"/>
    </row>
    <row r="18" spans="1:9" x14ac:dyDescent="0.2">
      <c r="A18" s="132"/>
      <c r="B18" s="132"/>
      <c r="C18" s="132"/>
      <c r="D18" s="132"/>
      <c r="E18" s="140"/>
      <c r="F18" s="140"/>
      <c r="G18" s="140"/>
      <c r="H18" s="140"/>
      <c r="I18" s="140"/>
    </row>
    <row r="19" spans="1:9" x14ac:dyDescent="0.2">
      <c r="A19" s="470" t="s">
        <v>138</v>
      </c>
      <c r="B19" s="470"/>
      <c r="C19" s="470"/>
      <c r="D19" s="470" t="s">
        <v>150</v>
      </c>
      <c r="E19" s="470"/>
      <c r="F19" s="470"/>
      <c r="G19" s="470"/>
      <c r="H19" s="470"/>
      <c r="I19" s="470"/>
    </row>
    <row r="20" spans="1:9" x14ac:dyDescent="0.2">
      <c r="A20" s="132"/>
      <c r="B20" s="132"/>
      <c r="C20" s="132"/>
      <c r="D20" s="470" t="s">
        <v>151</v>
      </c>
      <c r="E20" s="470"/>
      <c r="F20" s="470"/>
      <c r="G20" s="470"/>
      <c r="H20" s="470"/>
      <c r="I20" s="470"/>
    </row>
    <row r="21" spans="1:9" x14ac:dyDescent="0.2">
      <c r="A21" s="132"/>
      <c r="B21" s="132"/>
      <c r="C21" s="132"/>
      <c r="D21" s="470" t="s">
        <v>152</v>
      </c>
      <c r="E21" s="470"/>
      <c r="F21" s="470"/>
      <c r="G21" s="470"/>
      <c r="H21" s="470"/>
      <c r="I21" s="470"/>
    </row>
    <row r="22" spans="1:9" x14ac:dyDescent="0.2">
      <c r="A22" s="132"/>
      <c r="B22" s="132"/>
      <c r="C22" s="132"/>
      <c r="D22" s="134"/>
      <c r="E22" s="134"/>
      <c r="F22" s="134"/>
      <c r="G22" s="134"/>
      <c r="H22" s="134"/>
      <c r="I22" s="134"/>
    </row>
    <row r="23" spans="1:9" x14ac:dyDescent="0.2">
      <c r="A23" s="470" t="s">
        <v>147</v>
      </c>
      <c r="B23" s="470"/>
      <c r="C23" s="470"/>
      <c r="D23" s="470" t="s">
        <v>153</v>
      </c>
      <c r="E23" s="470"/>
      <c r="F23" s="470"/>
      <c r="G23" s="470"/>
      <c r="H23" s="470"/>
      <c r="I23" s="470"/>
    </row>
    <row r="24" spans="1:9" x14ac:dyDescent="0.2">
      <c r="A24" s="134"/>
      <c r="B24" s="134"/>
      <c r="C24" s="134"/>
      <c r="D24" s="470" t="s">
        <v>154</v>
      </c>
      <c r="E24" s="470"/>
      <c r="F24" s="470"/>
      <c r="G24" s="470"/>
      <c r="H24" s="470"/>
      <c r="I24" s="470"/>
    </row>
    <row r="25" spans="1:9" x14ac:dyDescent="0.2">
      <c r="A25" s="134"/>
      <c r="B25" s="134"/>
      <c r="C25" s="134"/>
      <c r="D25" s="470" t="s">
        <v>155</v>
      </c>
      <c r="E25" s="470"/>
      <c r="F25" s="470"/>
      <c r="G25" s="470"/>
      <c r="H25" s="470"/>
      <c r="I25" s="470"/>
    </row>
    <row r="26" spans="1:9" x14ac:dyDescent="0.2">
      <c r="A26" s="134"/>
      <c r="B26" s="134"/>
      <c r="C26" s="134"/>
      <c r="D26" s="134"/>
      <c r="E26" s="134"/>
      <c r="F26" s="134"/>
      <c r="G26" s="134"/>
      <c r="H26" s="134"/>
      <c r="I26" s="134"/>
    </row>
    <row r="27" spans="1:9" x14ac:dyDescent="0.2">
      <c r="A27" s="470" t="s">
        <v>142</v>
      </c>
      <c r="B27" s="470"/>
      <c r="C27" s="470"/>
      <c r="D27" s="470" t="s">
        <v>156</v>
      </c>
      <c r="E27" s="470"/>
      <c r="F27" s="470"/>
      <c r="G27" s="470"/>
      <c r="H27" s="470"/>
      <c r="I27" s="470"/>
    </row>
    <row r="28" spans="1:9" x14ac:dyDescent="0.2">
      <c r="A28" s="132"/>
      <c r="B28" s="132"/>
      <c r="C28" s="132"/>
      <c r="D28" s="470" t="s">
        <v>157</v>
      </c>
      <c r="E28" s="470"/>
      <c r="F28" s="470"/>
      <c r="G28" s="470"/>
      <c r="H28" s="470"/>
      <c r="I28" s="470"/>
    </row>
    <row r="29" spans="1:9" x14ac:dyDescent="0.2">
      <c r="A29" s="132"/>
      <c r="B29" s="132"/>
      <c r="C29" s="141"/>
      <c r="D29" s="141"/>
      <c r="E29" s="141"/>
      <c r="F29" s="141"/>
      <c r="G29" s="132"/>
      <c r="H29" s="132"/>
      <c r="I29" s="132"/>
    </row>
    <row r="30" spans="1:9" x14ac:dyDescent="0.2">
      <c r="A30" s="142" t="s">
        <v>144</v>
      </c>
      <c r="B30" s="143"/>
      <c r="C30" s="132"/>
      <c r="D30" s="132"/>
      <c r="E30" s="132"/>
      <c r="F30" s="132"/>
      <c r="G30" s="132"/>
      <c r="H30" s="132"/>
      <c r="I30" s="132"/>
    </row>
    <row r="31" spans="1:9" x14ac:dyDescent="0.2">
      <c r="A31" s="132"/>
      <c r="B31" s="132"/>
      <c r="C31" s="132"/>
      <c r="D31" s="132"/>
      <c r="E31" s="132"/>
      <c r="F31" s="132"/>
      <c r="G31" s="132"/>
      <c r="H31" s="132"/>
      <c r="I31" s="132"/>
    </row>
    <row r="32" spans="1:9" x14ac:dyDescent="0.2">
      <c r="A32" s="345"/>
      <c r="B32" s="345"/>
      <c r="C32" s="345"/>
      <c r="D32" s="345"/>
      <c r="E32" s="345"/>
      <c r="F32" s="345"/>
      <c r="G32" s="345"/>
      <c r="H32" s="345"/>
      <c r="I32" s="345"/>
    </row>
    <row r="33" spans="1:9" x14ac:dyDescent="0.2">
      <c r="A33" s="345"/>
      <c r="B33" s="345"/>
      <c r="C33" s="345"/>
      <c r="D33" s="345"/>
      <c r="E33" s="345"/>
      <c r="F33" s="345"/>
      <c r="G33" s="345"/>
      <c r="H33" s="345"/>
      <c r="I33" s="345"/>
    </row>
    <row r="34" spans="1:9" x14ac:dyDescent="0.2">
      <c r="A34" s="345"/>
      <c r="B34" s="345"/>
      <c r="C34" s="345"/>
      <c r="D34" s="345"/>
      <c r="E34" s="345"/>
      <c r="F34" s="345"/>
      <c r="G34" s="345"/>
      <c r="H34" s="345"/>
      <c r="I34" s="345"/>
    </row>
    <row r="35" spans="1:9" x14ac:dyDescent="0.2">
      <c r="A35" s="345"/>
      <c r="B35" s="345"/>
      <c r="C35" s="345"/>
      <c r="D35" s="345"/>
      <c r="E35" s="345"/>
      <c r="F35" s="345"/>
      <c r="G35" s="345"/>
      <c r="H35" s="345"/>
      <c r="I35" s="345"/>
    </row>
    <row r="36" spans="1:9" x14ac:dyDescent="0.2">
      <c r="A36" s="345"/>
      <c r="B36" s="345"/>
      <c r="C36" s="345"/>
      <c r="D36" s="345"/>
      <c r="E36" s="345"/>
      <c r="F36" s="345"/>
      <c r="G36" s="345"/>
      <c r="H36" s="345"/>
      <c r="I36" s="345"/>
    </row>
    <row r="37" spans="1:9" x14ac:dyDescent="0.2">
      <c r="A37" s="345"/>
      <c r="B37" s="345"/>
      <c r="C37" s="345"/>
      <c r="D37" s="345"/>
      <c r="E37" s="345"/>
      <c r="F37" s="345"/>
      <c r="G37" s="345"/>
      <c r="H37" s="345"/>
      <c r="I37" s="345"/>
    </row>
    <row r="38" spans="1:9" x14ac:dyDescent="0.2">
      <c r="A38" s="345"/>
      <c r="B38" s="345"/>
      <c r="C38" s="345"/>
      <c r="D38" s="345"/>
      <c r="E38" s="345"/>
      <c r="F38" s="345"/>
      <c r="G38" s="345"/>
      <c r="H38" s="345"/>
      <c r="I38" s="345"/>
    </row>
    <row r="39" spans="1:9" x14ac:dyDescent="0.2">
      <c r="A39" s="345"/>
      <c r="B39" s="345"/>
      <c r="C39" s="345"/>
      <c r="D39" s="345"/>
      <c r="E39" s="345"/>
      <c r="F39" s="345"/>
      <c r="G39" s="345"/>
      <c r="H39" s="345"/>
      <c r="I39" s="345"/>
    </row>
    <row r="40" spans="1:9" x14ac:dyDescent="0.2">
      <c r="A40" s="345"/>
      <c r="B40" s="345"/>
      <c r="C40" s="345"/>
      <c r="D40" s="345"/>
      <c r="E40" s="345"/>
      <c r="F40" s="345"/>
      <c r="G40" s="345"/>
      <c r="H40" s="345"/>
      <c r="I40" s="345"/>
    </row>
    <row r="41" spans="1:9" x14ac:dyDescent="0.2">
      <c r="A41" s="345"/>
      <c r="B41" s="345"/>
      <c r="C41" s="345"/>
      <c r="D41" s="345"/>
      <c r="E41" s="345"/>
      <c r="F41" s="345"/>
      <c r="G41" s="345"/>
      <c r="H41" s="345"/>
      <c r="I41" s="345"/>
    </row>
    <row r="42" spans="1:9" x14ac:dyDescent="0.2">
      <c r="A42" s="345"/>
      <c r="B42" s="345"/>
      <c r="C42" s="345"/>
      <c r="D42" s="345"/>
      <c r="E42" s="345"/>
      <c r="F42" s="345"/>
      <c r="G42" s="345"/>
      <c r="H42" s="345"/>
      <c r="I42" s="345"/>
    </row>
    <row r="43" spans="1:9" x14ac:dyDescent="0.2">
      <c r="A43" s="345"/>
      <c r="B43" s="345"/>
      <c r="C43" s="345"/>
      <c r="D43" s="345"/>
      <c r="E43" s="345"/>
      <c r="F43" s="345"/>
      <c r="G43" s="345"/>
      <c r="H43" s="345"/>
      <c r="I43" s="345"/>
    </row>
    <row r="44" spans="1:9" x14ac:dyDescent="0.2">
      <c r="A44" s="345"/>
      <c r="B44" s="345"/>
      <c r="C44" s="345"/>
      <c r="D44" s="345"/>
      <c r="E44" s="345"/>
      <c r="F44" s="345"/>
      <c r="G44" s="345"/>
      <c r="H44" s="345"/>
      <c r="I44" s="345"/>
    </row>
    <row r="45" spans="1:9" x14ac:dyDescent="0.2">
      <c r="A45" s="345"/>
      <c r="B45" s="345"/>
      <c r="C45" s="345"/>
      <c r="D45" s="345"/>
      <c r="E45" s="345"/>
      <c r="F45" s="345"/>
      <c r="G45" s="345"/>
      <c r="H45" s="345"/>
      <c r="I45" s="345"/>
    </row>
    <row r="46" spans="1:9" x14ac:dyDescent="0.2">
      <c r="A46" s="345"/>
      <c r="B46" s="345"/>
      <c r="C46" s="345"/>
      <c r="D46" s="345"/>
      <c r="E46" s="345"/>
      <c r="F46" s="345"/>
      <c r="G46" s="345"/>
      <c r="H46" s="345"/>
      <c r="I46" s="345"/>
    </row>
    <row r="47" spans="1:9" x14ac:dyDescent="0.2">
      <c r="A47" s="132"/>
      <c r="B47" s="132"/>
      <c r="C47" s="132"/>
      <c r="D47" s="132"/>
      <c r="E47" s="132"/>
      <c r="F47" s="132"/>
      <c r="G47" s="132"/>
      <c r="H47" s="132"/>
      <c r="I47" s="132"/>
    </row>
    <row r="48" spans="1:9" x14ac:dyDescent="0.2">
      <c r="A48" s="132"/>
      <c r="B48" s="132"/>
      <c r="C48" s="132"/>
      <c r="D48" s="132"/>
      <c r="E48" s="132"/>
      <c r="F48" s="132"/>
      <c r="G48" s="132"/>
      <c r="H48" s="132"/>
      <c r="I48" s="132"/>
    </row>
    <row r="49" spans="1:9" x14ac:dyDescent="0.2">
      <c r="A49" s="132"/>
      <c r="B49" s="132"/>
      <c r="C49" s="132"/>
      <c r="D49" s="132"/>
      <c r="E49" s="132"/>
      <c r="F49" s="132"/>
      <c r="G49" s="132"/>
      <c r="H49" s="132"/>
      <c r="I49" s="132"/>
    </row>
    <row r="50" spans="1:9" x14ac:dyDescent="0.2">
      <c r="A50" s="132"/>
      <c r="B50" s="132"/>
      <c r="C50" s="132"/>
      <c r="D50" s="132"/>
      <c r="E50" s="132"/>
      <c r="F50" s="132"/>
      <c r="G50" s="132"/>
      <c r="H50" s="132"/>
      <c r="I50" s="132"/>
    </row>
    <row r="51" spans="1:9" ht="20.25" x14ac:dyDescent="0.2">
      <c r="A51" s="471" t="s">
        <v>148</v>
      </c>
      <c r="B51" s="471"/>
      <c r="C51" s="471"/>
      <c r="D51" s="471"/>
      <c r="E51" s="471"/>
      <c r="F51" s="132"/>
      <c r="G51" s="132"/>
      <c r="H51" s="132"/>
      <c r="I51" s="132"/>
    </row>
    <row r="52" spans="1:9" x14ac:dyDescent="0.2">
      <c r="A52" s="132"/>
      <c r="B52" s="132"/>
      <c r="C52" s="132"/>
      <c r="D52" s="132"/>
      <c r="E52" s="132"/>
      <c r="F52" s="132"/>
      <c r="G52" s="132"/>
      <c r="H52" s="132"/>
      <c r="I52" s="132"/>
    </row>
    <row r="53" spans="1:9" x14ac:dyDescent="0.2">
      <c r="A53" s="132"/>
      <c r="B53" s="132"/>
      <c r="C53" s="132"/>
      <c r="D53" s="132"/>
      <c r="E53" s="132"/>
      <c r="F53" s="132"/>
      <c r="G53" s="132"/>
      <c r="H53" s="132"/>
      <c r="I53" s="132"/>
    </row>
    <row r="54" spans="1:9" x14ac:dyDescent="0.2">
      <c r="A54" s="132"/>
      <c r="B54" s="132"/>
      <c r="C54" s="132"/>
      <c r="D54" s="132"/>
      <c r="E54" s="132"/>
      <c r="F54" s="132"/>
      <c r="G54" s="132"/>
      <c r="H54" s="132"/>
      <c r="I54" s="132"/>
    </row>
    <row r="55" spans="1:9" x14ac:dyDescent="0.2">
      <c r="A55" s="132"/>
      <c r="B55" s="132"/>
      <c r="C55" s="132"/>
      <c r="D55" s="132"/>
      <c r="E55" s="132"/>
      <c r="F55" s="132"/>
      <c r="G55" s="132"/>
      <c r="H55" s="132"/>
      <c r="I55" s="132"/>
    </row>
    <row r="56" spans="1:9" x14ac:dyDescent="0.2">
      <c r="A56" s="132"/>
      <c r="B56" s="132"/>
      <c r="C56" s="132"/>
      <c r="D56" s="132"/>
      <c r="E56" s="132"/>
      <c r="F56" s="132"/>
      <c r="G56" s="132"/>
      <c r="H56" s="132"/>
      <c r="I56" s="132"/>
    </row>
    <row r="57" spans="1:9" x14ac:dyDescent="0.2">
      <c r="A57" s="132"/>
      <c r="B57" s="132"/>
      <c r="C57" s="132"/>
      <c r="D57" s="132"/>
      <c r="E57" s="132"/>
      <c r="F57" s="132"/>
      <c r="G57" s="132"/>
      <c r="H57" s="132"/>
      <c r="I57" s="132"/>
    </row>
    <row r="58" spans="1:9" x14ac:dyDescent="0.2">
      <c r="A58" s="132"/>
      <c r="B58" s="132"/>
      <c r="C58" s="132"/>
      <c r="D58" s="132"/>
      <c r="E58" s="132"/>
      <c r="F58" s="132"/>
      <c r="G58" s="132"/>
      <c r="H58" s="132"/>
      <c r="I58" s="132"/>
    </row>
    <row r="59" spans="1:9" x14ac:dyDescent="0.2">
      <c r="A59" s="132"/>
      <c r="B59" s="132"/>
      <c r="C59" s="132"/>
      <c r="D59" s="132"/>
      <c r="E59" s="132"/>
      <c r="F59" s="132"/>
      <c r="G59" s="132"/>
      <c r="H59" s="132"/>
      <c r="I59" s="132"/>
    </row>
    <row r="60" spans="1:9" x14ac:dyDescent="0.2">
      <c r="A60" s="132"/>
      <c r="B60" s="132"/>
      <c r="C60" s="132"/>
      <c r="D60" s="132"/>
      <c r="E60" s="132"/>
      <c r="F60" s="132"/>
      <c r="G60" s="132"/>
      <c r="H60" s="132"/>
      <c r="I60" s="132"/>
    </row>
    <row r="61" spans="1:9" x14ac:dyDescent="0.2">
      <c r="A61" s="132"/>
      <c r="B61" s="132"/>
      <c r="C61" s="132"/>
      <c r="D61" s="132"/>
      <c r="E61" s="132"/>
      <c r="F61" s="132"/>
      <c r="G61" s="132"/>
      <c r="H61" s="132"/>
      <c r="I61" s="132"/>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9" customWidth="1"/>
    <col min="2" max="2" width="6.42578125" style="144" customWidth="1"/>
    <col min="3" max="3" width="6.28515625" style="144" customWidth="1"/>
    <col min="4" max="4" width="6.85546875" style="144" customWidth="1"/>
    <col min="5" max="5" width="8.28515625" style="144" customWidth="1"/>
    <col min="6" max="6" width="7.140625" style="144" customWidth="1"/>
    <col min="7" max="12" width="5.85546875" style="144" customWidth="1"/>
    <col min="13" max="13" width="6" style="144" customWidth="1"/>
    <col min="14" max="14" width="6.140625" style="144" customWidth="1"/>
    <col min="15" max="15" width="5.28515625" style="144" customWidth="1"/>
    <col min="16" max="16" width="6.42578125" style="144" customWidth="1"/>
    <col min="17" max="17" width="7.85546875" style="144" customWidth="1"/>
    <col min="18" max="20" width="4.5703125" style="144" customWidth="1"/>
    <col min="21" max="21" width="2.42578125" style="144" customWidth="1"/>
    <col min="22" max="22" width="4.5703125" style="144" customWidth="1"/>
    <col min="23" max="189" width="11.42578125" style="146"/>
    <col min="190" max="190" width="12.28515625" style="146" customWidth="1"/>
    <col min="191" max="192" width="6.42578125" style="146" customWidth="1"/>
    <col min="193" max="193" width="10.140625" style="146" customWidth="1"/>
    <col min="194" max="194" width="8.28515625" style="146" customWidth="1"/>
    <col min="195" max="195" width="8.140625" style="146" customWidth="1"/>
    <col min="196" max="203" width="6.42578125" style="146" customWidth="1"/>
    <col min="204" max="204" width="5.28515625" style="146" customWidth="1"/>
    <col min="205" max="205" width="6.42578125" style="146" customWidth="1"/>
    <col min="206" max="206" width="10.7109375" style="146" customWidth="1"/>
    <col min="207" max="208" width="6.42578125" style="146" customWidth="1"/>
    <col min="209" max="209" width="6.5703125" style="146" customWidth="1"/>
    <col min="210" max="210" width="6.42578125" style="146" customWidth="1"/>
    <col min="211" max="211" width="8.5703125" style="146" customWidth="1"/>
    <col min="212" max="445" width="11.42578125" style="146"/>
    <col min="446" max="446" width="12.28515625" style="146" customWidth="1"/>
    <col min="447" max="448" width="6.42578125" style="146" customWidth="1"/>
    <col min="449" max="449" width="10.140625" style="146" customWidth="1"/>
    <col min="450" max="450" width="8.28515625" style="146" customWidth="1"/>
    <col min="451" max="451" width="8.140625" style="146" customWidth="1"/>
    <col min="452" max="459" width="6.42578125" style="146" customWidth="1"/>
    <col min="460" max="460" width="5.28515625" style="146" customWidth="1"/>
    <col min="461" max="461" width="6.42578125" style="146" customWidth="1"/>
    <col min="462" max="462" width="10.7109375" style="146" customWidth="1"/>
    <col min="463" max="464" width="6.42578125" style="146" customWidth="1"/>
    <col min="465" max="465" width="6.5703125" style="146" customWidth="1"/>
    <col min="466" max="466" width="6.42578125" style="146" customWidth="1"/>
    <col min="467" max="467" width="8.5703125" style="146" customWidth="1"/>
    <col min="468" max="701" width="11.42578125" style="146"/>
    <col min="702" max="702" width="12.28515625" style="146" customWidth="1"/>
    <col min="703" max="704" width="6.42578125" style="146" customWidth="1"/>
    <col min="705" max="705" width="10.140625" style="146" customWidth="1"/>
    <col min="706" max="706" width="8.28515625" style="146" customWidth="1"/>
    <col min="707" max="707" width="8.140625" style="146" customWidth="1"/>
    <col min="708" max="715" width="6.42578125" style="146" customWidth="1"/>
    <col min="716" max="716" width="5.28515625" style="146" customWidth="1"/>
    <col min="717" max="717" width="6.42578125" style="146" customWidth="1"/>
    <col min="718" max="718" width="10.7109375" style="146" customWidth="1"/>
    <col min="719" max="720" width="6.42578125" style="146" customWidth="1"/>
    <col min="721" max="721" width="6.5703125" style="146" customWidth="1"/>
    <col min="722" max="722" width="6.42578125" style="146" customWidth="1"/>
    <col min="723" max="723" width="8.5703125" style="146" customWidth="1"/>
    <col min="724" max="957" width="11.42578125" style="146"/>
    <col min="958" max="958" width="12.28515625" style="146" customWidth="1"/>
    <col min="959" max="960" width="6.42578125" style="146" customWidth="1"/>
    <col min="961" max="961" width="10.140625" style="146" customWidth="1"/>
    <col min="962" max="962" width="8.28515625" style="146" customWidth="1"/>
    <col min="963" max="963" width="8.140625" style="146" customWidth="1"/>
    <col min="964" max="971" width="6.42578125" style="146" customWidth="1"/>
    <col min="972" max="972" width="5.28515625" style="146" customWidth="1"/>
    <col min="973" max="973" width="6.42578125" style="146" customWidth="1"/>
    <col min="974" max="974" width="10.7109375" style="146" customWidth="1"/>
    <col min="975" max="976" width="6.42578125" style="146" customWidth="1"/>
    <col min="977" max="977" width="6.5703125" style="146" customWidth="1"/>
    <col min="978" max="978" width="6.42578125" style="146" customWidth="1"/>
    <col min="979" max="979" width="8.5703125" style="146" customWidth="1"/>
    <col min="980" max="1213" width="11.42578125" style="146"/>
    <col min="1214" max="1214" width="12.28515625" style="146" customWidth="1"/>
    <col min="1215" max="1216" width="6.42578125" style="146" customWidth="1"/>
    <col min="1217" max="1217" width="10.140625" style="146" customWidth="1"/>
    <col min="1218" max="1218" width="8.28515625" style="146" customWidth="1"/>
    <col min="1219" max="1219" width="8.140625" style="146" customWidth="1"/>
    <col min="1220" max="1227" width="6.42578125" style="146" customWidth="1"/>
    <col min="1228" max="1228" width="5.28515625" style="146" customWidth="1"/>
    <col min="1229" max="1229" width="6.42578125" style="146" customWidth="1"/>
    <col min="1230" max="1230" width="10.7109375" style="146" customWidth="1"/>
    <col min="1231" max="1232" width="6.42578125" style="146" customWidth="1"/>
    <col min="1233" max="1233" width="6.5703125" style="146" customWidth="1"/>
    <col min="1234" max="1234" width="6.42578125" style="146" customWidth="1"/>
    <col min="1235" max="1235" width="8.5703125" style="146" customWidth="1"/>
    <col min="1236" max="1469" width="11.42578125" style="146"/>
    <col min="1470" max="1470" width="12.28515625" style="146" customWidth="1"/>
    <col min="1471" max="1472" width="6.42578125" style="146" customWidth="1"/>
    <col min="1473" max="1473" width="10.140625" style="146" customWidth="1"/>
    <col min="1474" max="1474" width="8.28515625" style="146" customWidth="1"/>
    <col min="1475" max="1475" width="8.140625" style="146" customWidth="1"/>
    <col min="1476" max="1483" width="6.42578125" style="146" customWidth="1"/>
    <col min="1484" max="1484" width="5.28515625" style="146" customWidth="1"/>
    <col min="1485" max="1485" width="6.42578125" style="146" customWidth="1"/>
    <col min="1486" max="1486" width="10.7109375" style="146" customWidth="1"/>
    <col min="1487" max="1488" width="6.42578125" style="146" customWidth="1"/>
    <col min="1489" max="1489" width="6.5703125" style="146" customWidth="1"/>
    <col min="1490" max="1490" width="6.42578125" style="146" customWidth="1"/>
    <col min="1491" max="1491" width="8.5703125" style="146" customWidth="1"/>
    <col min="1492" max="1725" width="11.42578125" style="146"/>
    <col min="1726" max="1726" width="12.28515625" style="146" customWidth="1"/>
    <col min="1727" max="1728" width="6.42578125" style="146" customWidth="1"/>
    <col min="1729" max="1729" width="10.140625" style="146" customWidth="1"/>
    <col min="1730" max="1730" width="8.28515625" style="146" customWidth="1"/>
    <col min="1731" max="1731" width="8.140625" style="146" customWidth="1"/>
    <col min="1732" max="1739" width="6.42578125" style="146" customWidth="1"/>
    <col min="1740" max="1740" width="5.28515625" style="146" customWidth="1"/>
    <col min="1741" max="1741" width="6.42578125" style="146" customWidth="1"/>
    <col min="1742" max="1742" width="10.7109375" style="146" customWidth="1"/>
    <col min="1743" max="1744" width="6.42578125" style="146" customWidth="1"/>
    <col min="1745" max="1745" width="6.5703125" style="146" customWidth="1"/>
    <col min="1746" max="1746" width="6.42578125" style="146" customWidth="1"/>
    <col min="1747" max="1747" width="8.5703125" style="146" customWidth="1"/>
    <col min="1748" max="1981" width="11.42578125" style="146"/>
    <col min="1982" max="1982" width="12.28515625" style="146" customWidth="1"/>
    <col min="1983" max="1984" width="6.42578125" style="146" customWidth="1"/>
    <col min="1985" max="1985" width="10.140625" style="146" customWidth="1"/>
    <col min="1986" max="1986" width="8.28515625" style="146" customWidth="1"/>
    <col min="1987" max="1987" width="8.140625" style="146" customWidth="1"/>
    <col min="1988" max="1995" width="6.42578125" style="146" customWidth="1"/>
    <col min="1996" max="1996" width="5.28515625" style="146" customWidth="1"/>
    <col min="1997" max="1997" width="6.42578125" style="146" customWidth="1"/>
    <col min="1998" max="1998" width="10.7109375" style="146" customWidth="1"/>
    <col min="1999" max="2000" width="6.42578125" style="146" customWidth="1"/>
    <col min="2001" max="2001" width="6.5703125" style="146" customWidth="1"/>
    <col min="2002" max="2002" width="6.42578125" style="146" customWidth="1"/>
    <col min="2003" max="2003" width="8.5703125" style="146" customWidth="1"/>
    <col min="2004" max="2237" width="11.42578125" style="146"/>
    <col min="2238" max="2238" width="12.28515625" style="146" customWidth="1"/>
    <col min="2239" max="2240" width="6.42578125" style="146" customWidth="1"/>
    <col min="2241" max="2241" width="10.140625" style="146" customWidth="1"/>
    <col min="2242" max="2242" width="8.28515625" style="146" customWidth="1"/>
    <col min="2243" max="2243" width="8.140625" style="146" customWidth="1"/>
    <col min="2244" max="2251" width="6.42578125" style="146" customWidth="1"/>
    <col min="2252" max="2252" width="5.28515625" style="146" customWidth="1"/>
    <col min="2253" max="2253" width="6.42578125" style="146" customWidth="1"/>
    <col min="2254" max="2254" width="10.7109375" style="146" customWidth="1"/>
    <col min="2255" max="2256" width="6.42578125" style="146" customWidth="1"/>
    <col min="2257" max="2257" width="6.5703125" style="146" customWidth="1"/>
    <col min="2258" max="2258" width="6.42578125" style="146" customWidth="1"/>
    <col min="2259" max="2259" width="8.5703125" style="146" customWidth="1"/>
    <col min="2260" max="2493" width="11.42578125" style="146"/>
    <col min="2494" max="2494" width="12.28515625" style="146" customWidth="1"/>
    <col min="2495" max="2496" width="6.42578125" style="146" customWidth="1"/>
    <col min="2497" max="2497" width="10.140625" style="146" customWidth="1"/>
    <col min="2498" max="2498" width="8.28515625" style="146" customWidth="1"/>
    <col min="2499" max="2499" width="8.140625" style="146" customWidth="1"/>
    <col min="2500" max="2507" width="6.42578125" style="146" customWidth="1"/>
    <col min="2508" max="2508" width="5.28515625" style="146" customWidth="1"/>
    <col min="2509" max="2509" width="6.42578125" style="146" customWidth="1"/>
    <col min="2510" max="2510" width="10.7109375" style="146" customWidth="1"/>
    <col min="2511" max="2512" width="6.42578125" style="146" customWidth="1"/>
    <col min="2513" max="2513" width="6.5703125" style="146" customWidth="1"/>
    <col min="2514" max="2514" width="6.42578125" style="146" customWidth="1"/>
    <col min="2515" max="2515" width="8.5703125" style="146" customWidth="1"/>
    <col min="2516" max="2749" width="11.42578125" style="146"/>
    <col min="2750" max="2750" width="12.28515625" style="146" customWidth="1"/>
    <col min="2751" max="2752" width="6.42578125" style="146" customWidth="1"/>
    <col min="2753" max="2753" width="10.140625" style="146" customWidth="1"/>
    <col min="2754" max="2754" width="8.28515625" style="146" customWidth="1"/>
    <col min="2755" max="2755" width="8.140625" style="146" customWidth="1"/>
    <col min="2756" max="2763" width="6.42578125" style="146" customWidth="1"/>
    <col min="2764" max="2764" width="5.28515625" style="146" customWidth="1"/>
    <col min="2765" max="2765" width="6.42578125" style="146" customWidth="1"/>
    <col min="2766" max="2766" width="10.7109375" style="146" customWidth="1"/>
    <col min="2767" max="2768" width="6.42578125" style="146" customWidth="1"/>
    <col min="2769" max="2769" width="6.5703125" style="146" customWidth="1"/>
    <col min="2770" max="2770" width="6.42578125" style="146" customWidth="1"/>
    <col min="2771" max="2771" width="8.5703125" style="146" customWidth="1"/>
    <col min="2772" max="3005" width="11.42578125" style="146"/>
    <col min="3006" max="3006" width="12.28515625" style="146" customWidth="1"/>
    <col min="3007" max="3008" width="6.42578125" style="146" customWidth="1"/>
    <col min="3009" max="3009" width="10.140625" style="146" customWidth="1"/>
    <col min="3010" max="3010" width="8.28515625" style="146" customWidth="1"/>
    <col min="3011" max="3011" width="8.140625" style="146" customWidth="1"/>
    <col min="3012" max="3019" width="6.42578125" style="146" customWidth="1"/>
    <col min="3020" max="3020" width="5.28515625" style="146" customWidth="1"/>
    <col min="3021" max="3021" width="6.42578125" style="146" customWidth="1"/>
    <col min="3022" max="3022" width="10.7109375" style="146" customWidth="1"/>
    <col min="3023" max="3024" width="6.42578125" style="146" customWidth="1"/>
    <col min="3025" max="3025" width="6.5703125" style="146" customWidth="1"/>
    <col min="3026" max="3026" width="6.42578125" style="146" customWidth="1"/>
    <col min="3027" max="3027" width="8.5703125" style="146" customWidth="1"/>
    <col min="3028" max="3261" width="11.42578125" style="146"/>
    <col min="3262" max="3262" width="12.28515625" style="146" customWidth="1"/>
    <col min="3263" max="3264" width="6.42578125" style="146" customWidth="1"/>
    <col min="3265" max="3265" width="10.140625" style="146" customWidth="1"/>
    <col min="3266" max="3266" width="8.28515625" style="146" customWidth="1"/>
    <col min="3267" max="3267" width="8.140625" style="146" customWidth="1"/>
    <col min="3268" max="3275" width="6.42578125" style="146" customWidth="1"/>
    <col min="3276" max="3276" width="5.28515625" style="146" customWidth="1"/>
    <col min="3277" max="3277" width="6.42578125" style="146" customWidth="1"/>
    <col min="3278" max="3278" width="10.7109375" style="146" customWidth="1"/>
    <col min="3279" max="3280" width="6.42578125" style="146" customWidth="1"/>
    <col min="3281" max="3281" width="6.5703125" style="146" customWidth="1"/>
    <col min="3282" max="3282" width="6.42578125" style="146" customWidth="1"/>
    <col min="3283" max="3283" width="8.5703125" style="146" customWidth="1"/>
    <col min="3284" max="3517" width="11.42578125" style="146"/>
    <col min="3518" max="3518" width="12.28515625" style="146" customWidth="1"/>
    <col min="3519" max="3520" width="6.42578125" style="146" customWidth="1"/>
    <col min="3521" max="3521" width="10.140625" style="146" customWidth="1"/>
    <col min="3522" max="3522" width="8.28515625" style="146" customWidth="1"/>
    <col min="3523" max="3523" width="8.140625" style="146" customWidth="1"/>
    <col min="3524" max="3531" width="6.42578125" style="146" customWidth="1"/>
    <col min="3532" max="3532" width="5.28515625" style="146" customWidth="1"/>
    <col min="3533" max="3533" width="6.42578125" style="146" customWidth="1"/>
    <col min="3534" max="3534" width="10.7109375" style="146" customWidth="1"/>
    <col min="3535" max="3536" width="6.42578125" style="146" customWidth="1"/>
    <col min="3537" max="3537" width="6.5703125" style="146" customWidth="1"/>
    <col min="3538" max="3538" width="6.42578125" style="146" customWidth="1"/>
    <col min="3539" max="3539" width="8.5703125" style="146" customWidth="1"/>
    <col min="3540" max="3773" width="11.42578125" style="146"/>
    <col min="3774" max="3774" width="12.28515625" style="146" customWidth="1"/>
    <col min="3775" max="3776" width="6.42578125" style="146" customWidth="1"/>
    <col min="3777" max="3777" width="10.140625" style="146" customWidth="1"/>
    <col min="3778" max="3778" width="8.28515625" style="146" customWidth="1"/>
    <col min="3779" max="3779" width="8.140625" style="146" customWidth="1"/>
    <col min="3780" max="3787" width="6.42578125" style="146" customWidth="1"/>
    <col min="3788" max="3788" width="5.28515625" style="146" customWidth="1"/>
    <col min="3789" max="3789" width="6.42578125" style="146" customWidth="1"/>
    <col min="3790" max="3790" width="10.7109375" style="146" customWidth="1"/>
    <col min="3791" max="3792" width="6.42578125" style="146" customWidth="1"/>
    <col min="3793" max="3793" width="6.5703125" style="146" customWidth="1"/>
    <col min="3794" max="3794" width="6.42578125" style="146" customWidth="1"/>
    <col min="3795" max="3795" width="8.5703125" style="146" customWidth="1"/>
    <col min="3796" max="4029" width="11.42578125" style="146"/>
    <col min="4030" max="4030" width="12.28515625" style="146" customWidth="1"/>
    <col min="4031" max="4032" width="6.42578125" style="146" customWidth="1"/>
    <col min="4033" max="4033" width="10.140625" style="146" customWidth="1"/>
    <col min="4034" max="4034" width="8.28515625" style="146" customWidth="1"/>
    <col min="4035" max="4035" width="8.140625" style="146" customWidth="1"/>
    <col min="4036" max="4043" width="6.42578125" style="146" customWidth="1"/>
    <col min="4044" max="4044" width="5.28515625" style="146" customWidth="1"/>
    <col min="4045" max="4045" width="6.42578125" style="146" customWidth="1"/>
    <col min="4046" max="4046" width="10.7109375" style="146" customWidth="1"/>
    <col min="4047" max="4048" width="6.42578125" style="146" customWidth="1"/>
    <col min="4049" max="4049" width="6.5703125" style="146" customWidth="1"/>
    <col min="4050" max="4050" width="6.42578125" style="146" customWidth="1"/>
    <col min="4051" max="4051" width="8.5703125" style="146" customWidth="1"/>
    <col min="4052" max="4285" width="11.42578125" style="146"/>
    <col min="4286" max="4286" width="12.28515625" style="146" customWidth="1"/>
    <col min="4287" max="4288" width="6.42578125" style="146" customWidth="1"/>
    <col min="4289" max="4289" width="10.140625" style="146" customWidth="1"/>
    <col min="4290" max="4290" width="8.28515625" style="146" customWidth="1"/>
    <col min="4291" max="4291" width="8.140625" style="146" customWidth="1"/>
    <col min="4292" max="4299" width="6.42578125" style="146" customWidth="1"/>
    <col min="4300" max="4300" width="5.28515625" style="146" customWidth="1"/>
    <col min="4301" max="4301" width="6.42578125" style="146" customWidth="1"/>
    <col min="4302" max="4302" width="10.7109375" style="146" customWidth="1"/>
    <col min="4303" max="4304" width="6.42578125" style="146" customWidth="1"/>
    <col min="4305" max="4305" width="6.5703125" style="146" customWidth="1"/>
    <col min="4306" max="4306" width="6.42578125" style="146" customWidth="1"/>
    <col min="4307" max="4307" width="8.5703125" style="146" customWidth="1"/>
    <col min="4308" max="4541" width="11.42578125" style="146"/>
    <col min="4542" max="4542" width="12.28515625" style="146" customWidth="1"/>
    <col min="4543" max="4544" width="6.42578125" style="146" customWidth="1"/>
    <col min="4545" max="4545" width="10.140625" style="146" customWidth="1"/>
    <col min="4546" max="4546" width="8.28515625" style="146" customWidth="1"/>
    <col min="4547" max="4547" width="8.140625" style="146" customWidth="1"/>
    <col min="4548" max="4555" width="6.42578125" style="146" customWidth="1"/>
    <col min="4556" max="4556" width="5.28515625" style="146" customWidth="1"/>
    <col min="4557" max="4557" width="6.42578125" style="146" customWidth="1"/>
    <col min="4558" max="4558" width="10.7109375" style="146" customWidth="1"/>
    <col min="4559" max="4560" width="6.42578125" style="146" customWidth="1"/>
    <col min="4561" max="4561" width="6.5703125" style="146" customWidth="1"/>
    <col min="4562" max="4562" width="6.42578125" style="146" customWidth="1"/>
    <col min="4563" max="4563" width="8.5703125" style="146" customWidth="1"/>
    <col min="4564" max="4797" width="11.42578125" style="146"/>
    <col min="4798" max="4798" width="12.28515625" style="146" customWidth="1"/>
    <col min="4799" max="4800" width="6.42578125" style="146" customWidth="1"/>
    <col min="4801" max="4801" width="10.140625" style="146" customWidth="1"/>
    <col min="4802" max="4802" width="8.28515625" style="146" customWidth="1"/>
    <col min="4803" max="4803" width="8.140625" style="146" customWidth="1"/>
    <col min="4804" max="4811" width="6.42578125" style="146" customWidth="1"/>
    <col min="4812" max="4812" width="5.28515625" style="146" customWidth="1"/>
    <col min="4813" max="4813" width="6.42578125" style="146" customWidth="1"/>
    <col min="4814" max="4814" width="10.7109375" style="146" customWidth="1"/>
    <col min="4815" max="4816" width="6.42578125" style="146" customWidth="1"/>
    <col min="4817" max="4817" width="6.5703125" style="146" customWidth="1"/>
    <col min="4818" max="4818" width="6.42578125" style="146" customWidth="1"/>
    <col min="4819" max="4819" width="8.5703125" style="146" customWidth="1"/>
    <col min="4820" max="5053" width="11.42578125" style="146"/>
    <col min="5054" max="5054" width="12.28515625" style="146" customWidth="1"/>
    <col min="5055" max="5056" width="6.42578125" style="146" customWidth="1"/>
    <col min="5057" max="5057" width="10.140625" style="146" customWidth="1"/>
    <col min="5058" max="5058" width="8.28515625" style="146" customWidth="1"/>
    <col min="5059" max="5059" width="8.140625" style="146" customWidth="1"/>
    <col min="5060" max="5067" width="6.42578125" style="146" customWidth="1"/>
    <col min="5068" max="5068" width="5.28515625" style="146" customWidth="1"/>
    <col min="5069" max="5069" width="6.42578125" style="146" customWidth="1"/>
    <col min="5070" max="5070" width="10.7109375" style="146" customWidth="1"/>
    <col min="5071" max="5072" width="6.42578125" style="146" customWidth="1"/>
    <col min="5073" max="5073" width="6.5703125" style="146" customWidth="1"/>
    <col min="5074" max="5074" width="6.42578125" style="146" customWidth="1"/>
    <col min="5075" max="5075" width="8.5703125" style="146" customWidth="1"/>
    <col min="5076" max="5309" width="11.42578125" style="146"/>
    <col min="5310" max="5310" width="12.28515625" style="146" customWidth="1"/>
    <col min="5311" max="5312" width="6.42578125" style="146" customWidth="1"/>
    <col min="5313" max="5313" width="10.140625" style="146" customWidth="1"/>
    <col min="5314" max="5314" width="8.28515625" style="146" customWidth="1"/>
    <col min="5315" max="5315" width="8.140625" style="146" customWidth="1"/>
    <col min="5316" max="5323" width="6.42578125" style="146" customWidth="1"/>
    <col min="5324" max="5324" width="5.28515625" style="146" customWidth="1"/>
    <col min="5325" max="5325" width="6.42578125" style="146" customWidth="1"/>
    <col min="5326" max="5326" width="10.7109375" style="146" customWidth="1"/>
    <col min="5327" max="5328" width="6.42578125" style="146" customWidth="1"/>
    <col min="5329" max="5329" width="6.5703125" style="146" customWidth="1"/>
    <col min="5330" max="5330" width="6.42578125" style="146" customWidth="1"/>
    <col min="5331" max="5331" width="8.5703125" style="146" customWidth="1"/>
    <col min="5332" max="5565" width="11.42578125" style="146"/>
    <col min="5566" max="5566" width="12.28515625" style="146" customWidth="1"/>
    <col min="5567" max="5568" width="6.42578125" style="146" customWidth="1"/>
    <col min="5569" max="5569" width="10.140625" style="146" customWidth="1"/>
    <col min="5570" max="5570" width="8.28515625" style="146" customWidth="1"/>
    <col min="5571" max="5571" width="8.140625" style="146" customWidth="1"/>
    <col min="5572" max="5579" width="6.42578125" style="146" customWidth="1"/>
    <col min="5580" max="5580" width="5.28515625" style="146" customWidth="1"/>
    <col min="5581" max="5581" width="6.42578125" style="146" customWidth="1"/>
    <col min="5582" max="5582" width="10.7109375" style="146" customWidth="1"/>
    <col min="5583" max="5584" width="6.42578125" style="146" customWidth="1"/>
    <col min="5585" max="5585" width="6.5703125" style="146" customWidth="1"/>
    <col min="5586" max="5586" width="6.42578125" style="146" customWidth="1"/>
    <col min="5587" max="5587" width="8.5703125" style="146" customWidth="1"/>
    <col min="5588" max="5821" width="11.42578125" style="146"/>
    <col min="5822" max="5822" width="12.28515625" style="146" customWidth="1"/>
    <col min="5823" max="5824" width="6.42578125" style="146" customWidth="1"/>
    <col min="5825" max="5825" width="10.140625" style="146" customWidth="1"/>
    <col min="5826" max="5826" width="8.28515625" style="146" customWidth="1"/>
    <col min="5827" max="5827" width="8.140625" style="146" customWidth="1"/>
    <col min="5828" max="5835" width="6.42578125" style="146" customWidth="1"/>
    <col min="5836" max="5836" width="5.28515625" style="146" customWidth="1"/>
    <col min="5837" max="5837" width="6.42578125" style="146" customWidth="1"/>
    <col min="5838" max="5838" width="10.7109375" style="146" customWidth="1"/>
    <col min="5839" max="5840" width="6.42578125" style="146" customWidth="1"/>
    <col min="5841" max="5841" width="6.5703125" style="146" customWidth="1"/>
    <col min="5842" max="5842" width="6.42578125" style="146" customWidth="1"/>
    <col min="5843" max="5843" width="8.5703125" style="146" customWidth="1"/>
    <col min="5844" max="6077" width="11.42578125" style="146"/>
    <col min="6078" max="6078" width="12.28515625" style="146" customWidth="1"/>
    <col min="6079" max="6080" width="6.42578125" style="146" customWidth="1"/>
    <col min="6081" max="6081" width="10.140625" style="146" customWidth="1"/>
    <col min="6082" max="6082" width="8.28515625" style="146" customWidth="1"/>
    <col min="6083" max="6083" width="8.140625" style="146" customWidth="1"/>
    <col min="6084" max="6091" width="6.42578125" style="146" customWidth="1"/>
    <col min="6092" max="6092" width="5.28515625" style="146" customWidth="1"/>
    <col min="6093" max="6093" width="6.42578125" style="146" customWidth="1"/>
    <col min="6094" max="6094" width="10.7109375" style="146" customWidth="1"/>
    <col min="6095" max="6096" width="6.42578125" style="146" customWidth="1"/>
    <col min="6097" max="6097" width="6.5703125" style="146" customWidth="1"/>
    <col min="6098" max="6098" width="6.42578125" style="146" customWidth="1"/>
    <col min="6099" max="6099" width="8.5703125" style="146" customWidth="1"/>
    <col min="6100" max="6333" width="11.42578125" style="146"/>
    <col min="6334" max="6334" width="12.28515625" style="146" customWidth="1"/>
    <col min="6335" max="6336" width="6.42578125" style="146" customWidth="1"/>
    <col min="6337" max="6337" width="10.140625" style="146" customWidth="1"/>
    <col min="6338" max="6338" width="8.28515625" style="146" customWidth="1"/>
    <col min="6339" max="6339" width="8.140625" style="146" customWidth="1"/>
    <col min="6340" max="6347" width="6.42578125" style="146" customWidth="1"/>
    <col min="6348" max="6348" width="5.28515625" style="146" customWidth="1"/>
    <col min="6349" max="6349" width="6.42578125" style="146" customWidth="1"/>
    <col min="6350" max="6350" width="10.7109375" style="146" customWidth="1"/>
    <col min="6351" max="6352" width="6.42578125" style="146" customWidth="1"/>
    <col min="6353" max="6353" width="6.5703125" style="146" customWidth="1"/>
    <col min="6354" max="6354" width="6.42578125" style="146" customWidth="1"/>
    <col min="6355" max="6355" width="8.5703125" style="146" customWidth="1"/>
    <col min="6356" max="6589" width="11.42578125" style="146"/>
    <col min="6590" max="6590" width="12.28515625" style="146" customWidth="1"/>
    <col min="6591" max="6592" width="6.42578125" style="146" customWidth="1"/>
    <col min="6593" max="6593" width="10.140625" style="146" customWidth="1"/>
    <col min="6594" max="6594" width="8.28515625" style="146" customWidth="1"/>
    <col min="6595" max="6595" width="8.140625" style="146" customWidth="1"/>
    <col min="6596" max="6603" width="6.42578125" style="146" customWidth="1"/>
    <col min="6604" max="6604" width="5.28515625" style="146" customWidth="1"/>
    <col min="6605" max="6605" width="6.42578125" style="146" customWidth="1"/>
    <col min="6606" max="6606" width="10.7109375" style="146" customWidth="1"/>
    <col min="6607" max="6608" width="6.42578125" style="146" customWidth="1"/>
    <col min="6609" max="6609" width="6.5703125" style="146" customWidth="1"/>
    <col min="6610" max="6610" width="6.42578125" style="146" customWidth="1"/>
    <col min="6611" max="6611" width="8.5703125" style="146" customWidth="1"/>
    <col min="6612" max="6845" width="11.42578125" style="146"/>
    <col min="6846" max="6846" width="12.28515625" style="146" customWidth="1"/>
    <col min="6847" max="6848" width="6.42578125" style="146" customWidth="1"/>
    <col min="6849" max="6849" width="10.140625" style="146" customWidth="1"/>
    <col min="6850" max="6850" width="8.28515625" style="146" customWidth="1"/>
    <col min="6851" max="6851" width="8.140625" style="146" customWidth="1"/>
    <col min="6852" max="6859" width="6.42578125" style="146" customWidth="1"/>
    <col min="6860" max="6860" width="5.28515625" style="146" customWidth="1"/>
    <col min="6861" max="6861" width="6.42578125" style="146" customWidth="1"/>
    <col min="6862" max="6862" width="10.7109375" style="146" customWidth="1"/>
    <col min="6863" max="6864" width="6.42578125" style="146" customWidth="1"/>
    <col min="6865" max="6865" width="6.5703125" style="146" customWidth="1"/>
    <col min="6866" max="6866" width="6.42578125" style="146" customWidth="1"/>
    <col min="6867" max="6867" width="8.5703125" style="146" customWidth="1"/>
    <col min="6868" max="7101" width="11.42578125" style="146"/>
    <col min="7102" max="7102" width="12.28515625" style="146" customWidth="1"/>
    <col min="7103" max="7104" width="6.42578125" style="146" customWidth="1"/>
    <col min="7105" max="7105" width="10.140625" style="146" customWidth="1"/>
    <col min="7106" max="7106" width="8.28515625" style="146" customWidth="1"/>
    <col min="7107" max="7107" width="8.140625" style="146" customWidth="1"/>
    <col min="7108" max="7115" width="6.42578125" style="146" customWidth="1"/>
    <col min="7116" max="7116" width="5.28515625" style="146" customWidth="1"/>
    <col min="7117" max="7117" width="6.42578125" style="146" customWidth="1"/>
    <col min="7118" max="7118" width="10.7109375" style="146" customWidth="1"/>
    <col min="7119" max="7120" width="6.42578125" style="146" customWidth="1"/>
    <col min="7121" max="7121" width="6.5703125" style="146" customWidth="1"/>
    <col min="7122" max="7122" width="6.42578125" style="146" customWidth="1"/>
    <col min="7123" max="7123" width="8.5703125" style="146" customWidth="1"/>
    <col min="7124" max="7357" width="11.42578125" style="146"/>
    <col min="7358" max="7358" width="12.28515625" style="146" customWidth="1"/>
    <col min="7359" max="7360" width="6.42578125" style="146" customWidth="1"/>
    <col min="7361" max="7361" width="10.140625" style="146" customWidth="1"/>
    <col min="7362" max="7362" width="8.28515625" style="146" customWidth="1"/>
    <col min="7363" max="7363" width="8.140625" style="146" customWidth="1"/>
    <col min="7364" max="7371" width="6.42578125" style="146" customWidth="1"/>
    <col min="7372" max="7372" width="5.28515625" style="146" customWidth="1"/>
    <col min="7373" max="7373" width="6.42578125" style="146" customWidth="1"/>
    <col min="7374" max="7374" width="10.7109375" style="146" customWidth="1"/>
    <col min="7375" max="7376" width="6.42578125" style="146" customWidth="1"/>
    <col min="7377" max="7377" width="6.5703125" style="146" customWidth="1"/>
    <col min="7378" max="7378" width="6.42578125" style="146" customWidth="1"/>
    <col min="7379" max="7379" width="8.5703125" style="146" customWidth="1"/>
    <col min="7380" max="7613" width="11.42578125" style="146"/>
    <col min="7614" max="7614" width="12.28515625" style="146" customWidth="1"/>
    <col min="7615" max="7616" width="6.42578125" style="146" customWidth="1"/>
    <col min="7617" max="7617" width="10.140625" style="146" customWidth="1"/>
    <col min="7618" max="7618" width="8.28515625" style="146" customWidth="1"/>
    <col min="7619" max="7619" width="8.140625" style="146" customWidth="1"/>
    <col min="7620" max="7627" width="6.42578125" style="146" customWidth="1"/>
    <col min="7628" max="7628" width="5.28515625" style="146" customWidth="1"/>
    <col min="7629" max="7629" width="6.42578125" style="146" customWidth="1"/>
    <col min="7630" max="7630" width="10.7109375" style="146" customWidth="1"/>
    <col min="7631" max="7632" width="6.42578125" style="146" customWidth="1"/>
    <col min="7633" max="7633" width="6.5703125" style="146" customWidth="1"/>
    <col min="7634" max="7634" width="6.42578125" style="146" customWidth="1"/>
    <col min="7635" max="7635" width="8.5703125" style="146" customWidth="1"/>
    <col min="7636" max="7869" width="11.42578125" style="146"/>
    <col min="7870" max="7870" width="12.28515625" style="146" customWidth="1"/>
    <col min="7871" max="7872" width="6.42578125" style="146" customWidth="1"/>
    <col min="7873" max="7873" width="10.140625" style="146" customWidth="1"/>
    <col min="7874" max="7874" width="8.28515625" style="146" customWidth="1"/>
    <col min="7875" max="7875" width="8.140625" style="146" customWidth="1"/>
    <col min="7876" max="7883" width="6.42578125" style="146" customWidth="1"/>
    <col min="7884" max="7884" width="5.28515625" style="146" customWidth="1"/>
    <col min="7885" max="7885" width="6.42578125" style="146" customWidth="1"/>
    <col min="7886" max="7886" width="10.7109375" style="146" customWidth="1"/>
    <col min="7887" max="7888" width="6.42578125" style="146" customWidth="1"/>
    <col min="7889" max="7889" width="6.5703125" style="146" customWidth="1"/>
    <col min="7890" max="7890" width="6.42578125" style="146" customWidth="1"/>
    <col min="7891" max="7891" width="8.5703125" style="146" customWidth="1"/>
    <col min="7892" max="8125" width="11.42578125" style="146"/>
    <col min="8126" max="8126" width="12.28515625" style="146" customWidth="1"/>
    <col min="8127" max="8128" width="6.42578125" style="146" customWidth="1"/>
    <col min="8129" max="8129" width="10.140625" style="146" customWidth="1"/>
    <col min="8130" max="8130" width="8.28515625" style="146" customWidth="1"/>
    <col min="8131" max="8131" width="8.140625" style="146" customWidth="1"/>
    <col min="8132" max="8139" width="6.42578125" style="146" customWidth="1"/>
    <col min="8140" max="8140" width="5.28515625" style="146" customWidth="1"/>
    <col min="8141" max="8141" width="6.42578125" style="146" customWidth="1"/>
    <col min="8142" max="8142" width="10.7109375" style="146" customWidth="1"/>
    <col min="8143" max="8144" width="6.42578125" style="146" customWidth="1"/>
    <col min="8145" max="8145" width="6.5703125" style="146" customWidth="1"/>
    <col min="8146" max="8146" width="6.42578125" style="146" customWidth="1"/>
    <col min="8147" max="8147" width="8.5703125" style="146" customWidth="1"/>
    <col min="8148" max="8381" width="11.42578125" style="146"/>
    <col min="8382" max="8382" width="12.28515625" style="146" customWidth="1"/>
    <col min="8383" max="8384" width="6.42578125" style="146" customWidth="1"/>
    <col min="8385" max="8385" width="10.140625" style="146" customWidth="1"/>
    <col min="8386" max="8386" width="8.28515625" style="146" customWidth="1"/>
    <col min="8387" max="8387" width="8.140625" style="146" customWidth="1"/>
    <col min="8388" max="8395" width="6.42578125" style="146" customWidth="1"/>
    <col min="8396" max="8396" width="5.28515625" style="146" customWidth="1"/>
    <col min="8397" max="8397" width="6.42578125" style="146" customWidth="1"/>
    <col min="8398" max="8398" width="10.7109375" style="146" customWidth="1"/>
    <col min="8399" max="8400" width="6.42578125" style="146" customWidth="1"/>
    <col min="8401" max="8401" width="6.5703125" style="146" customWidth="1"/>
    <col min="8402" max="8402" width="6.42578125" style="146" customWidth="1"/>
    <col min="8403" max="8403" width="8.5703125" style="146" customWidth="1"/>
    <col min="8404" max="8637" width="11.42578125" style="146"/>
    <col min="8638" max="8638" width="12.28515625" style="146" customWidth="1"/>
    <col min="8639" max="8640" width="6.42578125" style="146" customWidth="1"/>
    <col min="8641" max="8641" width="10.140625" style="146" customWidth="1"/>
    <col min="8642" max="8642" width="8.28515625" style="146" customWidth="1"/>
    <col min="8643" max="8643" width="8.140625" style="146" customWidth="1"/>
    <col min="8644" max="8651" width="6.42578125" style="146" customWidth="1"/>
    <col min="8652" max="8652" width="5.28515625" style="146" customWidth="1"/>
    <col min="8653" max="8653" width="6.42578125" style="146" customWidth="1"/>
    <col min="8654" max="8654" width="10.7109375" style="146" customWidth="1"/>
    <col min="8655" max="8656" width="6.42578125" style="146" customWidth="1"/>
    <col min="8657" max="8657" width="6.5703125" style="146" customWidth="1"/>
    <col min="8658" max="8658" width="6.42578125" style="146" customWidth="1"/>
    <col min="8659" max="8659" width="8.5703125" style="146" customWidth="1"/>
    <col min="8660" max="8893" width="11.42578125" style="146"/>
    <col min="8894" max="8894" width="12.28515625" style="146" customWidth="1"/>
    <col min="8895" max="8896" width="6.42578125" style="146" customWidth="1"/>
    <col min="8897" max="8897" width="10.140625" style="146" customWidth="1"/>
    <col min="8898" max="8898" width="8.28515625" style="146" customWidth="1"/>
    <col min="8899" max="8899" width="8.140625" style="146" customWidth="1"/>
    <col min="8900" max="8907" width="6.42578125" style="146" customWidth="1"/>
    <col min="8908" max="8908" width="5.28515625" style="146" customWidth="1"/>
    <col min="8909" max="8909" width="6.42578125" style="146" customWidth="1"/>
    <col min="8910" max="8910" width="10.7109375" style="146" customWidth="1"/>
    <col min="8911" max="8912" width="6.42578125" style="146" customWidth="1"/>
    <col min="8913" max="8913" width="6.5703125" style="146" customWidth="1"/>
    <col min="8914" max="8914" width="6.42578125" style="146" customWidth="1"/>
    <col min="8915" max="8915" width="8.5703125" style="146" customWidth="1"/>
    <col min="8916" max="9149" width="11.42578125" style="146"/>
    <col min="9150" max="9150" width="12.28515625" style="146" customWidth="1"/>
    <col min="9151" max="9152" width="6.42578125" style="146" customWidth="1"/>
    <col min="9153" max="9153" width="10.140625" style="146" customWidth="1"/>
    <col min="9154" max="9154" width="8.28515625" style="146" customWidth="1"/>
    <col min="9155" max="9155" width="8.140625" style="146" customWidth="1"/>
    <col min="9156" max="9163" width="6.42578125" style="146" customWidth="1"/>
    <col min="9164" max="9164" width="5.28515625" style="146" customWidth="1"/>
    <col min="9165" max="9165" width="6.42578125" style="146" customWidth="1"/>
    <col min="9166" max="9166" width="10.7109375" style="146" customWidth="1"/>
    <col min="9167" max="9168" width="6.42578125" style="146" customWidth="1"/>
    <col min="9169" max="9169" width="6.5703125" style="146" customWidth="1"/>
    <col min="9170" max="9170" width="6.42578125" style="146" customWidth="1"/>
    <col min="9171" max="9171" width="8.5703125" style="146" customWidth="1"/>
    <col min="9172" max="9405" width="11.42578125" style="146"/>
    <col min="9406" max="9406" width="12.28515625" style="146" customWidth="1"/>
    <col min="9407" max="9408" width="6.42578125" style="146" customWidth="1"/>
    <col min="9409" max="9409" width="10.140625" style="146" customWidth="1"/>
    <col min="9410" max="9410" width="8.28515625" style="146" customWidth="1"/>
    <col min="9411" max="9411" width="8.140625" style="146" customWidth="1"/>
    <col min="9412" max="9419" width="6.42578125" style="146" customWidth="1"/>
    <col min="9420" max="9420" width="5.28515625" style="146" customWidth="1"/>
    <col min="9421" max="9421" width="6.42578125" style="146" customWidth="1"/>
    <col min="9422" max="9422" width="10.7109375" style="146" customWidth="1"/>
    <col min="9423" max="9424" width="6.42578125" style="146" customWidth="1"/>
    <col min="9425" max="9425" width="6.5703125" style="146" customWidth="1"/>
    <col min="9426" max="9426" width="6.42578125" style="146" customWidth="1"/>
    <col min="9427" max="9427" width="8.5703125" style="146" customWidth="1"/>
    <col min="9428" max="9661" width="11.42578125" style="146"/>
    <col min="9662" max="9662" width="12.28515625" style="146" customWidth="1"/>
    <col min="9663" max="9664" width="6.42578125" style="146" customWidth="1"/>
    <col min="9665" max="9665" width="10.140625" style="146" customWidth="1"/>
    <col min="9666" max="9666" width="8.28515625" style="146" customWidth="1"/>
    <col min="9667" max="9667" width="8.140625" style="146" customWidth="1"/>
    <col min="9668" max="9675" width="6.42578125" style="146" customWidth="1"/>
    <col min="9676" max="9676" width="5.28515625" style="146" customWidth="1"/>
    <col min="9677" max="9677" width="6.42578125" style="146" customWidth="1"/>
    <col min="9678" max="9678" width="10.7109375" style="146" customWidth="1"/>
    <col min="9679" max="9680" width="6.42578125" style="146" customWidth="1"/>
    <col min="9681" max="9681" width="6.5703125" style="146" customWidth="1"/>
    <col min="9682" max="9682" width="6.42578125" style="146" customWidth="1"/>
    <col min="9683" max="9683" width="8.5703125" style="146" customWidth="1"/>
    <col min="9684" max="9917" width="11.42578125" style="146"/>
    <col min="9918" max="9918" width="12.28515625" style="146" customWidth="1"/>
    <col min="9919" max="9920" width="6.42578125" style="146" customWidth="1"/>
    <col min="9921" max="9921" width="10.140625" style="146" customWidth="1"/>
    <col min="9922" max="9922" width="8.28515625" style="146" customWidth="1"/>
    <col min="9923" max="9923" width="8.140625" style="146" customWidth="1"/>
    <col min="9924" max="9931" width="6.42578125" style="146" customWidth="1"/>
    <col min="9932" max="9932" width="5.28515625" style="146" customWidth="1"/>
    <col min="9933" max="9933" width="6.42578125" style="146" customWidth="1"/>
    <col min="9934" max="9934" width="10.7109375" style="146" customWidth="1"/>
    <col min="9935" max="9936" width="6.42578125" style="146" customWidth="1"/>
    <col min="9937" max="9937" width="6.5703125" style="146" customWidth="1"/>
    <col min="9938" max="9938" width="6.42578125" style="146" customWidth="1"/>
    <col min="9939" max="9939" width="8.5703125" style="146" customWidth="1"/>
    <col min="9940" max="10173" width="11.42578125" style="146"/>
    <col min="10174" max="10174" width="12.28515625" style="146" customWidth="1"/>
    <col min="10175" max="10176" width="6.42578125" style="146" customWidth="1"/>
    <col min="10177" max="10177" width="10.140625" style="146" customWidth="1"/>
    <col min="10178" max="10178" width="8.28515625" style="146" customWidth="1"/>
    <col min="10179" max="10179" width="8.140625" style="146" customWidth="1"/>
    <col min="10180" max="10187" width="6.42578125" style="146" customWidth="1"/>
    <col min="10188" max="10188" width="5.28515625" style="146" customWidth="1"/>
    <col min="10189" max="10189" width="6.42578125" style="146" customWidth="1"/>
    <col min="10190" max="10190" width="10.7109375" style="146" customWidth="1"/>
    <col min="10191" max="10192" width="6.42578125" style="146" customWidth="1"/>
    <col min="10193" max="10193" width="6.5703125" style="146" customWidth="1"/>
    <col min="10194" max="10194" width="6.42578125" style="146" customWidth="1"/>
    <col min="10195" max="10195" width="8.5703125" style="146" customWidth="1"/>
    <col min="10196" max="10429" width="11.42578125" style="146"/>
    <col min="10430" max="10430" width="12.28515625" style="146" customWidth="1"/>
    <col min="10431" max="10432" width="6.42578125" style="146" customWidth="1"/>
    <col min="10433" max="10433" width="10.140625" style="146" customWidth="1"/>
    <col min="10434" max="10434" width="8.28515625" style="146" customWidth="1"/>
    <col min="10435" max="10435" width="8.140625" style="146" customWidth="1"/>
    <col min="10436" max="10443" width="6.42578125" style="146" customWidth="1"/>
    <col min="10444" max="10444" width="5.28515625" style="146" customWidth="1"/>
    <col min="10445" max="10445" width="6.42578125" style="146" customWidth="1"/>
    <col min="10446" max="10446" width="10.7109375" style="146" customWidth="1"/>
    <col min="10447" max="10448" width="6.42578125" style="146" customWidth="1"/>
    <col min="10449" max="10449" width="6.5703125" style="146" customWidth="1"/>
    <col min="10450" max="10450" width="6.42578125" style="146" customWidth="1"/>
    <col min="10451" max="10451" width="8.5703125" style="146" customWidth="1"/>
    <col min="10452" max="10685" width="11.42578125" style="146"/>
    <col min="10686" max="10686" width="12.28515625" style="146" customWidth="1"/>
    <col min="10687" max="10688" width="6.42578125" style="146" customWidth="1"/>
    <col min="10689" max="10689" width="10.140625" style="146" customWidth="1"/>
    <col min="10690" max="10690" width="8.28515625" style="146" customWidth="1"/>
    <col min="10691" max="10691" width="8.140625" style="146" customWidth="1"/>
    <col min="10692" max="10699" width="6.42578125" style="146" customWidth="1"/>
    <col min="10700" max="10700" width="5.28515625" style="146" customWidth="1"/>
    <col min="10701" max="10701" width="6.42578125" style="146" customWidth="1"/>
    <col min="10702" max="10702" width="10.7109375" style="146" customWidth="1"/>
    <col min="10703" max="10704" width="6.42578125" style="146" customWidth="1"/>
    <col min="10705" max="10705" width="6.5703125" style="146" customWidth="1"/>
    <col min="10706" max="10706" width="6.42578125" style="146" customWidth="1"/>
    <col min="10707" max="10707" width="8.5703125" style="146" customWidth="1"/>
    <col min="10708" max="10941" width="11.42578125" style="146"/>
    <col min="10942" max="10942" width="12.28515625" style="146" customWidth="1"/>
    <col min="10943" max="10944" width="6.42578125" style="146" customWidth="1"/>
    <col min="10945" max="10945" width="10.140625" style="146" customWidth="1"/>
    <col min="10946" max="10946" width="8.28515625" style="146" customWidth="1"/>
    <col min="10947" max="10947" width="8.140625" style="146" customWidth="1"/>
    <col min="10948" max="10955" width="6.42578125" style="146" customWidth="1"/>
    <col min="10956" max="10956" width="5.28515625" style="146" customWidth="1"/>
    <col min="10957" max="10957" width="6.42578125" style="146" customWidth="1"/>
    <col min="10958" max="10958" width="10.7109375" style="146" customWidth="1"/>
    <col min="10959" max="10960" width="6.42578125" style="146" customWidth="1"/>
    <col min="10961" max="10961" width="6.5703125" style="146" customWidth="1"/>
    <col min="10962" max="10962" width="6.42578125" style="146" customWidth="1"/>
    <col min="10963" max="10963" width="8.5703125" style="146" customWidth="1"/>
    <col min="10964" max="11197" width="11.42578125" style="146"/>
    <col min="11198" max="11198" width="12.28515625" style="146" customWidth="1"/>
    <col min="11199" max="11200" width="6.42578125" style="146" customWidth="1"/>
    <col min="11201" max="11201" width="10.140625" style="146" customWidth="1"/>
    <col min="11202" max="11202" width="8.28515625" style="146" customWidth="1"/>
    <col min="11203" max="11203" width="8.140625" style="146" customWidth="1"/>
    <col min="11204" max="11211" width="6.42578125" style="146" customWidth="1"/>
    <col min="11212" max="11212" width="5.28515625" style="146" customWidth="1"/>
    <col min="11213" max="11213" width="6.42578125" style="146" customWidth="1"/>
    <col min="11214" max="11214" width="10.7109375" style="146" customWidth="1"/>
    <col min="11215" max="11216" width="6.42578125" style="146" customWidth="1"/>
    <col min="11217" max="11217" width="6.5703125" style="146" customWidth="1"/>
    <col min="11218" max="11218" width="6.42578125" style="146" customWidth="1"/>
    <col min="11219" max="11219" width="8.5703125" style="146" customWidth="1"/>
    <col min="11220" max="11453" width="11.42578125" style="146"/>
    <col min="11454" max="11454" width="12.28515625" style="146" customWidth="1"/>
    <col min="11455" max="11456" width="6.42578125" style="146" customWidth="1"/>
    <col min="11457" max="11457" width="10.140625" style="146" customWidth="1"/>
    <col min="11458" max="11458" width="8.28515625" style="146" customWidth="1"/>
    <col min="11459" max="11459" width="8.140625" style="146" customWidth="1"/>
    <col min="11460" max="11467" width="6.42578125" style="146" customWidth="1"/>
    <col min="11468" max="11468" width="5.28515625" style="146" customWidth="1"/>
    <col min="11469" max="11469" width="6.42578125" style="146" customWidth="1"/>
    <col min="11470" max="11470" width="10.7109375" style="146" customWidth="1"/>
    <col min="11471" max="11472" width="6.42578125" style="146" customWidth="1"/>
    <col min="11473" max="11473" width="6.5703125" style="146" customWidth="1"/>
    <col min="11474" max="11474" width="6.42578125" style="146" customWidth="1"/>
    <col min="11475" max="11475" width="8.5703125" style="146" customWidth="1"/>
    <col min="11476" max="11709" width="11.42578125" style="146"/>
    <col min="11710" max="11710" width="12.28515625" style="146" customWidth="1"/>
    <col min="11711" max="11712" width="6.42578125" style="146" customWidth="1"/>
    <col min="11713" max="11713" width="10.140625" style="146" customWidth="1"/>
    <col min="11714" max="11714" width="8.28515625" style="146" customWidth="1"/>
    <col min="11715" max="11715" width="8.140625" style="146" customWidth="1"/>
    <col min="11716" max="11723" width="6.42578125" style="146" customWidth="1"/>
    <col min="11724" max="11724" width="5.28515625" style="146" customWidth="1"/>
    <col min="11725" max="11725" width="6.42578125" style="146" customWidth="1"/>
    <col min="11726" max="11726" width="10.7109375" style="146" customWidth="1"/>
    <col min="11727" max="11728" width="6.42578125" style="146" customWidth="1"/>
    <col min="11729" max="11729" width="6.5703125" style="146" customWidth="1"/>
    <col min="11730" max="11730" width="6.42578125" style="146" customWidth="1"/>
    <col min="11731" max="11731" width="8.5703125" style="146" customWidth="1"/>
    <col min="11732" max="11965" width="11.42578125" style="146"/>
    <col min="11966" max="11966" width="12.28515625" style="146" customWidth="1"/>
    <col min="11967" max="11968" width="6.42578125" style="146" customWidth="1"/>
    <col min="11969" max="11969" width="10.140625" style="146" customWidth="1"/>
    <col min="11970" max="11970" width="8.28515625" style="146" customWidth="1"/>
    <col min="11971" max="11971" width="8.140625" style="146" customWidth="1"/>
    <col min="11972" max="11979" width="6.42578125" style="146" customWidth="1"/>
    <col min="11980" max="11980" width="5.28515625" style="146" customWidth="1"/>
    <col min="11981" max="11981" width="6.42578125" style="146" customWidth="1"/>
    <col min="11982" max="11982" width="10.7109375" style="146" customWidth="1"/>
    <col min="11983" max="11984" width="6.42578125" style="146" customWidth="1"/>
    <col min="11985" max="11985" width="6.5703125" style="146" customWidth="1"/>
    <col min="11986" max="11986" width="6.42578125" style="146" customWidth="1"/>
    <col min="11987" max="11987" width="8.5703125" style="146" customWidth="1"/>
    <col min="11988" max="12221" width="11.42578125" style="146"/>
    <col min="12222" max="12222" width="12.28515625" style="146" customWidth="1"/>
    <col min="12223" max="12224" width="6.42578125" style="146" customWidth="1"/>
    <col min="12225" max="12225" width="10.140625" style="146" customWidth="1"/>
    <col min="12226" max="12226" width="8.28515625" style="146" customWidth="1"/>
    <col min="12227" max="12227" width="8.140625" style="146" customWidth="1"/>
    <col min="12228" max="12235" width="6.42578125" style="146" customWidth="1"/>
    <col min="12236" max="12236" width="5.28515625" style="146" customWidth="1"/>
    <col min="12237" max="12237" width="6.42578125" style="146" customWidth="1"/>
    <col min="12238" max="12238" width="10.7109375" style="146" customWidth="1"/>
    <col min="12239" max="12240" width="6.42578125" style="146" customWidth="1"/>
    <col min="12241" max="12241" width="6.5703125" style="146" customWidth="1"/>
    <col min="12242" max="12242" width="6.42578125" style="146" customWidth="1"/>
    <col min="12243" max="12243" width="8.5703125" style="146" customWidth="1"/>
    <col min="12244" max="12477" width="11.42578125" style="146"/>
    <col min="12478" max="12478" width="12.28515625" style="146" customWidth="1"/>
    <col min="12479" max="12480" width="6.42578125" style="146" customWidth="1"/>
    <col min="12481" max="12481" width="10.140625" style="146" customWidth="1"/>
    <col min="12482" max="12482" width="8.28515625" style="146" customWidth="1"/>
    <col min="12483" max="12483" width="8.140625" style="146" customWidth="1"/>
    <col min="12484" max="12491" width="6.42578125" style="146" customWidth="1"/>
    <col min="12492" max="12492" width="5.28515625" style="146" customWidth="1"/>
    <col min="12493" max="12493" width="6.42578125" style="146" customWidth="1"/>
    <col min="12494" max="12494" width="10.7109375" style="146" customWidth="1"/>
    <col min="12495" max="12496" width="6.42578125" style="146" customWidth="1"/>
    <col min="12497" max="12497" width="6.5703125" style="146" customWidth="1"/>
    <col min="12498" max="12498" width="6.42578125" style="146" customWidth="1"/>
    <col min="12499" max="12499" width="8.5703125" style="146" customWidth="1"/>
    <col min="12500" max="12733" width="11.42578125" style="146"/>
    <col min="12734" max="12734" width="12.28515625" style="146" customWidth="1"/>
    <col min="12735" max="12736" width="6.42578125" style="146" customWidth="1"/>
    <col min="12737" max="12737" width="10.140625" style="146" customWidth="1"/>
    <col min="12738" max="12738" width="8.28515625" style="146" customWidth="1"/>
    <col min="12739" max="12739" width="8.140625" style="146" customWidth="1"/>
    <col min="12740" max="12747" width="6.42578125" style="146" customWidth="1"/>
    <col min="12748" max="12748" width="5.28515625" style="146" customWidth="1"/>
    <col min="12749" max="12749" width="6.42578125" style="146" customWidth="1"/>
    <col min="12750" max="12750" width="10.7109375" style="146" customWidth="1"/>
    <col min="12751" max="12752" width="6.42578125" style="146" customWidth="1"/>
    <col min="12753" max="12753" width="6.5703125" style="146" customWidth="1"/>
    <col min="12754" max="12754" width="6.42578125" style="146" customWidth="1"/>
    <col min="12755" max="12755" width="8.5703125" style="146" customWidth="1"/>
    <col min="12756" max="12989" width="11.42578125" style="146"/>
    <col min="12990" max="12990" width="12.28515625" style="146" customWidth="1"/>
    <col min="12991" max="12992" width="6.42578125" style="146" customWidth="1"/>
    <col min="12993" max="12993" width="10.140625" style="146" customWidth="1"/>
    <col min="12994" max="12994" width="8.28515625" style="146" customWidth="1"/>
    <col min="12995" max="12995" width="8.140625" style="146" customWidth="1"/>
    <col min="12996" max="13003" width="6.42578125" style="146" customWidth="1"/>
    <col min="13004" max="13004" width="5.28515625" style="146" customWidth="1"/>
    <col min="13005" max="13005" width="6.42578125" style="146" customWidth="1"/>
    <col min="13006" max="13006" width="10.7109375" style="146" customWidth="1"/>
    <col min="13007" max="13008" width="6.42578125" style="146" customWidth="1"/>
    <col min="13009" max="13009" width="6.5703125" style="146" customWidth="1"/>
    <col min="13010" max="13010" width="6.42578125" style="146" customWidth="1"/>
    <col min="13011" max="13011" width="8.5703125" style="146" customWidth="1"/>
    <col min="13012" max="13245" width="11.42578125" style="146"/>
    <col min="13246" max="13246" width="12.28515625" style="146" customWidth="1"/>
    <col min="13247" max="13248" width="6.42578125" style="146" customWidth="1"/>
    <col min="13249" max="13249" width="10.140625" style="146" customWidth="1"/>
    <col min="13250" max="13250" width="8.28515625" style="146" customWidth="1"/>
    <col min="13251" max="13251" width="8.140625" style="146" customWidth="1"/>
    <col min="13252" max="13259" width="6.42578125" style="146" customWidth="1"/>
    <col min="13260" max="13260" width="5.28515625" style="146" customWidth="1"/>
    <col min="13261" max="13261" width="6.42578125" style="146" customWidth="1"/>
    <col min="13262" max="13262" width="10.7109375" style="146" customWidth="1"/>
    <col min="13263" max="13264" width="6.42578125" style="146" customWidth="1"/>
    <col min="13265" max="13265" width="6.5703125" style="146" customWidth="1"/>
    <col min="13266" max="13266" width="6.42578125" style="146" customWidth="1"/>
    <col min="13267" max="13267" width="8.5703125" style="146" customWidth="1"/>
    <col min="13268" max="13501" width="11.42578125" style="146"/>
    <col min="13502" max="13502" width="12.28515625" style="146" customWidth="1"/>
    <col min="13503" max="13504" width="6.42578125" style="146" customWidth="1"/>
    <col min="13505" max="13505" width="10.140625" style="146" customWidth="1"/>
    <col min="13506" max="13506" width="8.28515625" style="146" customWidth="1"/>
    <col min="13507" max="13507" width="8.140625" style="146" customWidth="1"/>
    <col min="13508" max="13515" width="6.42578125" style="146" customWidth="1"/>
    <col min="13516" max="13516" width="5.28515625" style="146" customWidth="1"/>
    <col min="13517" max="13517" width="6.42578125" style="146" customWidth="1"/>
    <col min="13518" max="13518" width="10.7109375" style="146" customWidth="1"/>
    <col min="13519" max="13520" width="6.42578125" style="146" customWidth="1"/>
    <col min="13521" max="13521" width="6.5703125" style="146" customWidth="1"/>
    <col min="13522" max="13522" width="6.42578125" style="146" customWidth="1"/>
    <col min="13523" max="13523" width="8.5703125" style="146" customWidth="1"/>
    <col min="13524" max="13757" width="11.42578125" style="146"/>
    <col min="13758" max="13758" width="12.28515625" style="146" customWidth="1"/>
    <col min="13759" max="13760" width="6.42578125" style="146" customWidth="1"/>
    <col min="13761" max="13761" width="10.140625" style="146" customWidth="1"/>
    <col min="13762" max="13762" width="8.28515625" style="146" customWidth="1"/>
    <col min="13763" max="13763" width="8.140625" style="146" customWidth="1"/>
    <col min="13764" max="13771" width="6.42578125" style="146" customWidth="1"/>
    <col min="13772" max="13772" width="5.28515625" style="146" customWidth="1"/>
    <col min="13773" max="13773" width="6.42578125" style="146" customWidth="1"/>
    <col min="13774" max="13774" width="10.7109375" style="146" customWidth="1"/>
    <col min="13775" max="13776" width="6.42578125" style="146" customWidth="1"/>
    <col min="13777" max="13777" width="6.5703125" style="146" customWidth="1"/>
    <col min="13778" max="13778" width="6.42578125" style="146" customWidth="1"/>
    <col min="13779" max="13779" width="8.5703125" style="146" customWidth="1"/>
    <col min="13780" max="14013" width="11.42578125" style="146"/>
    <col min="14014" max="14014" width="12.28515625" style="146" customWidth="1"/>
    <col min="14015" max="14016" width="6.42578125" style="146" customWidth="1"/>
    <col min="14017" max="14017" width="10.140625" style="146" customWidth="1"/>
    <col min="14018" max="14018" width="8.28515625" style="146" customWidth="1"/>
    <col min="14019" max="14019" width="8.140625" style="146" customWidth="1"/>
    <col min="14020" max="14027" width="6.42578125" style="146" customWidth="1"/>
    <col min="14028" max="14028" width="5.28515625" style="146" customWidth="1"/>
    <col min="14029" max="14029" width="6.42578125" style="146" customWidth="1"/>
    <col min="14030" max="14030" width="10.7109375" style="146" customWidth="1"/>
    <col min="14031" max="14032" width="6.42578125" style="146" customWidth="1"/>
    <col min="14033" max="14033" width="6.5703125" style="146" customWidth="1"/>
    <col min="14034" max="14034" width="6.42578125" style="146" customWidth="1"/>
    <col min="14035" max="14035" width="8.5703125" style="146" customWidth="1"/>
    <col min="14036" max="14269" width="11.42578125" style="146"/>
    <col min="14270" max="14270" width="12.28515625" style="146" customWidth="1"/>
    <col min="14271" max="14272" width="6.42578125" style="146" customWidth="1"/>
    <col min="14273" max="14273" width="10.140625" style="146" customWidth="1"/>
    <col min="14274" max="14274" width="8.28515625" style="146" customWidth="1"/>
    <col min="14275" max="14275" width="8.140625" style="146" customWidth="1"/>
    <col min="14276" max="14283" width="6.42578125" style="146" customWidth="1"/>
    <col min="14284" max="14284" width="5.28515625" style="146" customWidth="1"/>
    <col min="14285" max="14285" width="6.42578125" style="146" customWidth="1"/>
    <col min="14286" max="14286" width="10.7109375" style="146" customWidth="1"/>
    <col min="14287" max="14288" width="6.42578125" style="146" customWidth="1"/>
    <col min="14289" max="14289" width="6.5703125" style="146" customWidth="1"/>
    <col min="14290" max="14290" width="6.42578125" style="146" customWidth="1"/>
    <col min="14291" max="14291" width="8.5703125" style="146" customWidth="1"/>
    <col min="14292" max="14525" width="11.42578125" style="146"/>
    <col min="14526" max="14526" width="12.28515625" style="146" customWidth="1"/>
    <col min="14527" max="14528" width="6.42578125" style="146" customWidth="1"/>
    <col min="14529" max="14529" width="10.140625" style="146" customWidth="1"/>
    <col min="14530" max="14530" width="8.28515625" style="146" customWidth="1"/>
    <col min="14531" max="14531" width="8.140625" style="146" customWidth="1"/>
    <col min="14532" max="14539" width="6.42578125" style="146" customWidth="1"/>
    <col min="14540" max="14540" width="5.28515625" style="146" customWidth="1"/>
    <col min="14541" max="14541" width="6.42578125" style="146" customWidth="1"/>
    <col min="14542" max="14542" width="10.7109375" style="146" customWidth="1"/>
    <col min="14543" max="14544" width="6.42578125" style="146" customWidth="1"/>
    <col min="14545" max="14545" width="6.5703125" style="146" customWidth="1"/>
    <col min="14546" max="14546" width="6.42578125" style="146" customWidth="1"/>
    <col min="14547" max="14547" width="8.5703125" style="146" customWidth="1"/>
    <col min="14548" max="14781" width="11.42578125" style="146"/>
    <col min="14782" max="14782" width="12.28515625" style="146" customWidth="1"/>
    <col min="14783" max="14784" width="6.42578125" style="146" customWidth="1"/>
    <col min="14785" max="14785" width="10.140625" style="146" customWidth="1"/>
    <col min="14786" max="14786" width="8.28515625" style="146" customWidth="1"/>
    <col min="14787" max="14787" width="8.140625" style="146" customWidth="1"/>
    <col min="14788" max="14795" width="6.42578125" style="146" customWidth="1"/>
    <col min="14796" max="14796" width="5.28515625" style="146" customWidth="1"/>
    <col min="14797" max="14797" width="6.42578125" style="146" customWidth="1"/>
    <col min="14798" max="14798" width="10.7109375" style="146" customWidth="1"/>
    <col min="14799" max="14800" width="6.42578125" style="146" customWidth="1"/>
    <col min="14801" max="14801" width="6.5703125" style="146" customWidth="1"/>
    <col min="14802" max="14802" width="6.42578125" style="146" customWidth="1"/>
    <col min="14803" max="14803" width="8.5703125" style="146" customWidth="1"/>
    <col min="14804" max="15037" width="11.42578125" style="146"/>
    <col min="15038" max="15038" width="12.28515625" style="146" customWidth="1"/>
    <col min="15039" max="15040" width="6.42578125" style="146" customWidth="1"/>
    <col min="15041" max="15041" width="10.140625" style="146" customWidth="1"/>
    <col min="15042" max="15042" width="8.28515625" style="146" customWidth="1"/>
    <col min="15043" max="15043" width="8.140625" style="146" customWidth="1"/>
    <col min="15044" max="15051" width="6.42578125" style="146" customWidth="1"/>
    <col min="15052" max="15052" width="5.28515625" style="146" customWidth="1"/>
    <col min="15053" max="15053" width="6.42578125" style="146" customWidth="1"/>
    <col min="15054" max="15054" width="10.7109375" style="146" customWidth="1"/>
    <col min="15055" max="15056" width="6.42578125" style="146" customWidth="1"/>
    <col min="15057" max="15057" width="6.5703125" style="146" customWidth="1"/>
    <col min="15058" max="15058" width="6.42578125" style="146" customWidth="1"/>
    <col min="15059" max="15059" width="8.5703125" style="146" customWidth="1"/>
    <col min="15060" max="15293" width="11.42578125" style="146"/>
    <col min="15294" max="15294" width="12.28515625" style="146" customWidth="1"/>
    <col min="15295" max="15296" width="6.42578125" style="146" customWidth="1"/>
    <col min="15297" max="15297" width="10.140625" style="146" customWidth="1"/>
    <col min="15298" max="15298" width="8.28515625" style="146" customWidth="1"/>
    <col min="15299" max="15299" width="8.140625" style="146" customWidth="1"/>
    <col min="15300" max="15307" width="6.42578125" style="146" customWidth="1"/>
    <col min="15308" max="15308" width="5.28515625" style="146" customWidth="1"/>
    <col min="15309" max="15309" width="6.42578125" style="146" customWidth="1"/>
    <col min="15310" max="15310" width="10.7109375" style="146" customWidth="1"/>
    <col min="15311" max="15312" width="6.42578125" style="146" customWidth="1"/>
    <col min="15313" max="15313" width="6.5703125" style="146" customWidth="1"/>
    <col min="15314" max="15314" width="6.42578125" style="146" customWidth="1"/>
    <col min="15315" max="15315" width="8.5703125" style="146" customWidth="1"/>
    <col min="15316" max="15549" width="11.42578125" style="146"/>
    <col min="15550" max="15550" width="12.28515625" style="146" customWidth="1"/>
    <col min="15551" max="15552" width="6.42578125" style="146" customWidth="1"/>
    <col min="15553" max="15553" width="10.140625" style="146" customWidth="1"/>
    <col min="15554" max="15554" width="8.28515625" style="146" customWidth="1"/>
    <col min="15555" max="15555" width="8.140625" style="146" customWidth="1"/>
    <col min="15556" max="15563" width="6.42578125" style="146" customWidth="1"/>
    <col min="15564" max="15564" width="5.28515625" style="146" customWidth="1"/>
    <col min="15565" max="15565" width="6.42578125" style="146" customWidth="1"/>
    <col min="15566" max="15566" width="10.7109375" style="146" customWidth="1"/>
    <col min="15567" max="15568" width="6.42578125" style="146" customWidth="1"/>
    <col min="15569" max="15569" width="6.5703125" style="146" customWidth="1"/>
    <col min="15570" max="15570" width="6.42578125" style="146" customWidth="1"/>
    <col min="15571" max="15571" width="8.5703125" style="146" customWidth="1"/>
    <col min="15572" max="15805" width="11.42578125" style="146"/>
    <col min="15806" max="15806" width="12.28515625" style="146" customWidth="1"/>
    <col min="15807" max="15808" width="6.42578125" style="146" customWidth="1"/>
    <col min="15809" max="15809" width="10.140625" style="146" customWidth="1"/>
    <col min="15810" max="15810" width="8.28515625" style="146" customWidth="1"/>
    <col min="15811" max="15811" width="8.140625" style="146" customWidth="1"/>
    <col min="15812" max="15819" width="6.42578125" style="146" customWidth="1"/>
    <col min="15820" max="15820" width="5.28515625" style="146" customWidth="1"/>
    <col min="15821" max="15821" width="6.42578125" style="146" customWidth="1"/>
    <col min="15822" max="15822" width="10.7109375" style="146" customWidth="1"/>
    <col min="15823" max="15824" width="6.42578125" style="146" customWidth="1"/>
    <col min="15825" max="15825" width="6.5703125" style="146" customWidth="1"/>
    <col min="15826" max="15826" width="6.42578125" style="146" customWidth="1"/>
    <col min="15827" max="15827" width="8.5703125" style="146" customWidth="1"/>
    <col min="15828" max="16061" width="11.42578125" style="146"/>
    <col min="16062" max="16062" width="12.28515625" style="146" customWidth="1"/>
    <col min="16063" max="16064" width="6.42578125" style="146" customWidth="1"/>
    <col min="16065" max="16065" width="10.140625" style="146" customWidth="1"/>
    <col min="16066" max="16066" width="8.28515625" style="146" customWidth="1"/>
    <col min="16067" max="16067" width="8.140625" style="146" customWidth="1"/>
    <col min="16068" max="16075" width="6.42578125" style="146" customWidth="1"/>
    <col min="16076" max="16076" width="5.28515625" style="146" customWidth="1"/>
    <col min="16077" max="16077" width="6.42578125" style="146" customWidth="1"/>
    <col min="16078" max="16078" width="10.7109375" style="146" customWidth="1"/>
    <col min="16079" max="16080" width="6.42578125" style="146" customWidth="1"/>
    <col min="16081" max="16081" width="6.5703125" style="146" customWidth="1"/>
    <col min="16082" max="16082" width="6.42578125" style="146" customWidth="1"/>
    <col min="16083" max="16083" width="8.5703125" style="146" customWidth="1"/>
    <col min="16084" max="16384" width="11.42578125" style="146"/>
  </cols>
  <sheetData>
    <row r="1" spans="1:24" s="144" customFormat="1" ht="36" customHeight="1" x14ac:dyDescent="0.2">
      <c r="A1" s="473"/>
      <c r="B1" s="473"/>
      <c r="C1" s="473"/>
      <c r="D1" s="473"/>
      <c r="E1" s="473"/>
      <c r="F1" s="478" t="s">
        <v>158</v>
      </c>
      <c r="G1" s="478"/>
      <c r="H1" s="478"/>
      <c r="I1" s="478"/>
      <c r="J1" s="478"/>
      <c r="K1" s="478"/>
      <c r="L1" s="478"/>
      <c r="M1" s="478"/>
      <c r="N1" s="478"/>
      <c r="O1" s="479" t="s">
        <v>159</v>
      </c>
      <c r="P1" s="480"/>
      <c r="Q1" s="480"/>
      <c r="R1" s="481"/>
      <c r="S1" s="481"/>
      <c r="T1" s="481"/>
      <c r="U1" s="481"/>
      <c r="V1" s="481"/>
    </row>
    <row r="2" spans="1:24" s="144" customFormat="1" ht="36" customHeight="1" x14ac:dyDescent="0.2">
      <c r="A2" s="473"/>
      <c r="B2" s="473"/>
      <c r="C2" s="473"/>
      <c r="D2" s="473"/>
      <c r="E2" s="473"/>
      <c r="F2" s="478"/>
      <c r="G2" s="478"/>
      <c r="H2" s="478"/>
      <c r="I2" s="478"/>
      <c r="J2" s="478"/>
      <c r="K2" s="478"/>
      <c r="L2" s="478"/>
      <c r="M2" s="478"/>
      <c r="N2" s="478"/>
      <c r="O2" s="479" t="s">
        <v>160</v>
      </c>
      <c r="P2" s="480"/>
      <c r="Q2" s="480"/>
      <c r="R2" s="482"/>
      <c r="S2" s="481"/>
      <c r="T2" s="481"/>
      <c r="U2" s="481"/>
      <c r="V2" s="481"/>
    </row>
    <row r="3" spans="1:24" s="144" customFormat="1" ht="27" customHeight="1" x14ac:dyDescent="0.2">
      <c r="A3" s="479" t="s">
        <v>161</v>
      </c>
      <c r="B3" s="480"/>
      <c r="C3" s="480"/>
      <c r="D3" s="483"/>
      <c r="E3" s="484"/>
      <c r="F3" s="484"/>
      <c r="G3" s="484"/>
      <c r="H3" s="484"/>
      <c r="I3" s="484"/>
      <c r="J3" s="484"/>
      <c r="K3" s="484"/>
      <c r="L3" s="484"/>
      <c r="M3" s="484"/>
      <c r="N3" s="484"/>
      <c r="O3" s="484"/>
      <c r="P3" s="484"/>
      <c r="Q3" s="484"/>
      <c r="R3" s="484"/>
      <c r="S3" s="484"/>
      <c r="T3" s="484"/>
      <c r="U3" s="484"/>
      <c r="V3" s="484"/>
    </row>
    <row r="4" spans="1:24" s="144" customFormat="1" ht="27" customHeight="1" x14ac:dyDescent="0.2">
      <c r="A4" s="479" t="s">
        <v>162</v>
      </c>
      <c r="B4" s="480"/>
      <c r="C4" s="480"/>
      <c r="D4" s="483"/>
      <c r="E4" s="485"/>
      <c r="F4" s="485"/>
      <c r="G4" s="485"/>
      <c r="H4" s="485"/>
      <c r="I4" s="485"/>
      <c r="J4" s="485"/>
      <c r="K4" s="485"/>
      <c r="L4" s="485"/>
      <c r="M4" s="485"/>
      <c r="N4" s="485"/>
      <c r="O4" s="485"/>
      <c r="P4" s="485"/>
      <c r="Q4" s="485"/>
      <c r="R4" s="485"/>
      <c r="S4" s="485"/>
      <c r="T4" s="485"/>
      <c r="U4" s="485"/>
      <c r="V4" s="485"/>
    </row>
    <row r="5" spans="1:24" s="144" customFormat="1" ht="27" customHeight="1" x14ac:dyDescent="0.2">
      <c r="A5" s="479" t="s">
        <v>163</v>
      </c>
      <c r="B5" s="480"/>
      <c r="C5" s="480"/>
      <c r="D5" s="483"/>
      <c r="E5" s="485"/>
      <c r="F5" s="485"/>
      <c r="G5" s="485"/>
      <c r="H5" s="485"/>
      <c r="I5" s="485"/>
      <c r="J5" s="485"/>
      <c r="K5" s="485"/>
      <c r="L5" s="485"/>
      <c r="M5" s="485"/>
      <c r="N5" s="485"/>
      <c r="O5" s="485"/>
      <c r="P5" s="485"/>
      <c r="Q5" s="485"/>
      <c r="R5" s="485"/>
      <c r="S5" s="485"/>
      <c r="T5" s="485"/>
      <c r="U5" s="485"/>
      <c r="V5" s="485"/>
    </row>
    <row r="6" spans="1:24" s="145" customFormat="1" ht="38.25" customHeight="1" x14ac:dyDescent="0.2">
      <c r="A6" s="150" t="s">
        <v>164</v>
      </c>
      <c r="B6" s="475" t="s">
        <v>165</v>
      </c>
      <c r="C6" s="476"/>
      <c r="D6" s="476"/>
      <c r="E6" s="476"/>
      <c r="F6" s="476"/>
      <c r="G6" s="476"/>
      <c r="H6" s="476"/>
      <c r="I6" s="476"/>
      <c r="J6" s="476"/>
      <c r="K6" s="476"/>
      <c r="L6" s="476"/>
      <c r="M6" s="477"/>
      <c r="N6" s="475" t="s">
        <v>166</v>
      </c>
      <c r="O6" s="476"/>
      <c r="P6" s="476"/>
      <c r="Q6" s="477"/>
      <c r="R6" s="475" t="s">
        <v>167</v>
      </c>
      <c r="S6" s="476"/>
      <c r="T6" s="476"/>
      <c r="U6" s="476"/>
      <c r="V6" s="477"/>
      <c r="X6" s="146"/>
    </row>
    <row r="7" spans="1:24" s="148" customFormat="1" ht="30" customHeight="1" x14ac:dyDescent="0.2">
      <c r="A7" s="147">
        <v>1</v>
      </c>
      <c r="B7" s="472"/>
      <c r="C7" s="472"/>
      <c r="D7" s="472"/>
      <c r="E7" s="472"/>
      <c r="F7" s="472"/>
      <c r="G7" s="472"/>
      <c r="H7" s="472"/>
      <c r="I7" s="472"/>
      <c r="J7" s="472"/>
      <c r="K7" s="472"/>
      <c r="L7" s="472"/>
      <c r="M7" s="472"/>
      <c r="N7" s="473"/>
      <c r="O7" s="473"/>
      <c r="P7" s="473"/>
      <c r="Q7" s="473"/>
      <c r="R7" s="474"/>
      <c r="S7" s="473"/>
      <c r="T7" s="473"/>
      <c r="U7" s="473"/>
      <c r="V7" s="473"/>
    </row>
    <row r="8" spans="1:24" s="148" customFormat="1" ht="30" customHeight="1" x14ac:dyDescent="0.2">
      <c r="A8" s="147">
        <v>2</v>
      </c>
      <c r="B8" s="472"/>
      <c r="C8" s="472"/>
      <c r="D8" s="472"/>
      <c r="E8" s="472"/>
      <c r="F8" s="472"/>
      <c r="G8" s="472"/>
      <c r="H8" s="472"/>
      <c r="I8" s="472"/>
      <c r="J8" s="472"/>
      <c r="K8" s="472"/>
      <c r="L8" s="472"/>
      <c r="M8" s="472"/>
      <c r="N8" s="473"/>
      <c r="O8" s="473"/>
      <c r="P8" s="473"/>
      <c r="Q8" s="473"/>
      <c r="R8" s="474"/>
      <c r="S8" s="473"/>
      <c r="T8" s="473"/>
      <c r="U8" s="473"/>
      <c r="V8" s="473"/>
    </row>
    <row r="9" spans="1:24" s="148" customFormat="1" ht="30" customHeight="1" x14ac:dyDescent="0.2">
      <c r="A9" s="147">
        <v>3</v>
      </c>
      <c r="B9" s="472"/>
      <c r="C9" s="472"/>
      <c r="D9" s="472"/>
      <c r="E9" s="472"/>
      <c r="F9" s="472"/>
      <c r="G9" s="472"/>
      <c r="H9" s="472"/>
      <c r="I9" s="472"/>
      <c r="J9" s="472"/>
      <c r="K9" s="472"/>
      <c r="L9" s="472"/>
      <c r="M9" s="472"/>
      <c r="N9" s="473"/>
      <c r="O9" s="473"/>
      <c r="P9" s="473"/>
      <c r="Q9" s="473"/>
      <c r="R9" s="473"/>
      <c r="S9" s="473"/>
      <c r="T9" s="473"/>
      <c r="U9" s="473"/>
      <c r="V9" s="473"/>
    </row>
    <row r="10" spans="1:24" s="148" customFormat="1" ht="30" customHeight="1" x14ac:dyDescent="0.2">
      <c r="A10" s="147">
        <v>4</v>
      </c>
      <c r="B10" s="472"/>
      <c r="C10" s="472"/>
      <c r="D10" s="472"/>
      <c r="E10" s="472"/>
      <c r="F10" s="472"/>
      <c r="G10" s="472"/>
      <c r="H10" s="472"/>
      <c r="I10" s="472"/>
      <c r="J10" s="472"/>
      <c r="K10" s="472"/>
      <c r="L10" s="472"/>
      <c r="M10" s="472"/>
      <c r="N10" s="473"/>
      <c r="O10" s="473"/>
      <c r="P10" s="473"/>
      <c r="Q10" s="473"/>
      <c r="R10" s="473"/>
      <c r="S10" s="473"/>
      <c r="T10" s="473"/>
      <c r="U10" s="473"/>
      <c r="V10" s="473"/>
    </row>
    <row r="11" spans="1:24" s="148" customFormat="1" ht="30" customHeight="1" x14ac:dyDescent="0.2">
      <c r="A11" s="147">
        <v>5</v>
      </c>
      <c r="B11" s="472"/>
      <c r="C11" s="472"/>
      <c r="D11" s="472"/>
      <c r="E11" s="472"/>
      <c r="F11" s="472"/>
      <c r="G11" s="472"/>
      <c r="H11" s="472"/>
      <c r="I11" s="472"/>
      <c r="J11" s="472"/>
      <c r="K11" s="472"/>
      <c r="L11" s="472"/>
      <c r="M11" s="472"/>
      <c r="N11" s="473"/>
      <c r="O11" s="473"/>
      <c r="P11" s="473"/>
      <c r="Q11" s="473"/>
      <c r="R11" s="473"/>
      <c r="S11" s="473"/>
      <c r="T11" s="473"/>
      <c r="U11" s="473"/>
      <c r="V11" s="473"/>
    </row>
    <row r="12" spans="1:24" s="148" customFormat="1" ht="30" customHeight="1" x14ac:dyDescent="0.2">
      <c r="A12" s="147">
        <v>6</v>
      </c>
      <c r="B12" s="472"/>
      <c r="C12" s="472"/>
      <c r="D12" s="472"/>
      <c r="E12" s="472"/>
      <c r="F12" s="472"/>
      <c r="G12" s="472"/>
      <c r="H12" s="472"/>
      <c r="I12" s="472"/>
      <c r="J12" s="472"/>
      <c r="K12" s="472"/>
      <c r="L12" s="472"/>
      <c r="M12" s="472"/>
      <c r="N12" s="473"/>
      <c r="O12" s="473"/>
      <c r="P12" s="473"/>
      <c r="Q12" s="473"/>
      <c r="R12" s="473"/>
      <c r="S12" s="473"/>
      <c r="T12" s="473"/>
      <c r="U12" s="473"/>
      <c r="V12" s="473"/>
    </row>
    <row r="13" spans="1:24" s="148" customFormat="1" ht="30" customHeight="1" x14ac:dyDescent="0.2">
      <c r="A13" s="147">
        <v>7</v>
      </c>
      <c r="B13" s="472"/>
      <c r="C13" s="472"/>
      <c r="D13" s="472"/>
      <c r="E13" s="472"/>
      <c r="F13" s="472"/>
      <c r="G13" s="472"/>
      <c r="H13" s="472"/>
      <c r="I13" s="472"/>
      <c r="J13" s="472"/>
      <c r="K13" s="472"/>
      <c r="L13" s="472"/>
      <c r="M13" s="472"/>
      <c r="N13" s="473"/>
      <c r="O13" s="473"/>
      <c r="P13" s="473"/>
      <c r="Q13" s="473"/>
      <c r="R13" s="473"/>
      <c r="S13" s="473"/>
      <c r="T13" s="473"/>
      <c r="U13" s="473"/>
      <c r="V13" s="473"/>
    </row>
    <row r="14" spans="1:24" s="148" customFormat="1" ht="30" customHeight="1" x14ac:dyDescent="0.2">
      <c r="A14" s="147">
        <v>8</v>
      </c>
      <c r="B14" s="472"/>
      <c r="C14" s="472"/>
      <c r="D14" s="472"/>
      <c r="E14" s="472"/>
      <c r="F14" s="472"/>
      <c r="G14" s="472"/>
      <c r="H14" s="472"/>
      <c r="I14" s="472"/>
      <c r="J14" s="472"/>
      <c r="K14" s="472"/>
      <c r="L14" s="472"/>
      <c r="M14" s="472"/>
      <c r="N14" s="473"/>
      <c r="O14" s="473"/>
      <c r="P14" s="473"/>
      <c r="Q14" s="473"/>
      <c r="R14" s="473"/>
      <c r="S14" s="473"/>
      <c r="T14" s="473"/>
      <c r="U14" s="473"/>
      <c r="V14" s="473"/>
    </row>
    <row r="15" spans="1:24" s="148" customFormat="1" ht="30" customHeight="1" x14ac:dyDescent="0.2">
      <c r="A15" s="147">
        <v>9</v>
      </c>
      <c r="B15" s="472"/>
      <c r="C15" s="472"/>
      <c r="D15" s="472"/>
      <c r="E15" s="472"/>
      <c r="F15" s="472"/>
      <c r="G15" s="472"/>
      <c r="H15" s="472"/>
      <c r="I15" s="472"/>
      <c r="J15" s="472"/>
      <c r="K15" s="472"/>
      <c r="L15" s="472"/>
      <c r="M15" s="472"/>
      <c r="N15" s="473"/>
      <c r="O15" s="473"/>
      <c r="P15" s="473"/>
      <c r="Q15" s="473"/>
      <c r="R15" s="473"/>
      <c r="S15" s="473"/>
      <c r="T15" s="473"/>
      <c r="U15" s="473"/>
      <c r="V15" s="473"/>
    </row>
    <row r="16" spans="1:24" s="148" customFormat="1" ht="30" customHeight="1" x14ac:dyDescent="0.2">
      <c r="A16" s="147">
        <v>10</v>
      </c>
      <c r="B16" s="472"/>
      <c r="C16" s="472"/>
      <c r="D16" s="472"/>
      <c r="E16" s="472"/>
      <c r="F16" s="472"/>
      <c r="G16" s="472"/>
      <c r="H16" s="472"/>
      <c r="I16" s="472"/>
      <c r="J16" s="472"/>
      <c r="K16" s="472"/>
      <c r="L16" s="472"/>
      <c r="M16" s="472"/>
      <c r="N16" s="473"/>
      <c r="O16" s="473"/>
      <c r="P16" s="473"/>
      <c r="Q16" s="473"/>
      <c r="R16" s="473"/>
      <c r="S16" s="473"/>
      <c r="T16" s="473"/>
      <c r="U16" s="473"/>
      <c r="V16" s="473"/>
    </row>
  </sheetData>
  <mergeCells count="46">
    <mergeCell ref="A3:D3"/>
    <mergeCell ref="E3:V3"/>
    <mergeCell ref="A4:D4"/>
    <mergeCell ref="E4:V4"/>
    <mergeCell ref="A5:D5"/>
    <mergeCell ref="E5:V5"/>
    <mergeCell ref="A1:C2"/>
    <mergeCell ref="D1:E2"/>
    <mergeCell ref="F1:N2"/>
    <mergeCell ref="O1:Q1"/>
    <mergeCell ref="R1:V1"/>
    <mergeCell ref="O2:Q2"/>
    <mergeCell ref="R2:V2"/>
    <mergeCell ref="N6:Q6"/>
    <mergeCell ref="R6:V6"/>
    <mergeCell ref="B7:M7"/>
    <mergeCell ref="N7:Q7"/>
    <mergeCell ref="R7:V7"/>
    <mergeCell ref="B6:M6"/>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B14" sqref="B14:M14"/>
    </sheetView>
  </sheetViews>
  <sheetFormatPr baseColWidth="10" defaultRowHeight="12.75" x14ac:dyDescent="0.2"/>
  <cols>
    <col min="1" max="1" width="10.7109375" style="131" customWidth="1"/>
    <col min="2" max="2" width="7.28515625" style="131" customWidth="1"/>
    <col min="3" max="3" width="5.5703125" style="131" customWidth="1"/>
    <col min="4" max="4" width="5" style="131" customWidth="1"/>
    <col min="5" max="12" width="5.5703125" style="131" customWidth="1"/>
    <col min="13" max="13" width="6.85546875" style="131" customWidth="1"/>
    <col min="14" max="14" width="5.140625" style="131" customWidth="1"/>
    <col min="15" max="15" width="5.28515625" style="131" customWidth="1"/>
    <col min="16" max="16" width="6.42578125" style="131" customWidth="1"/>
    <col min="17" max="17" width="8.7109375" style="131" customWidth="1"/>
    <col min="18" max="18" width="5.42578125" style="131" customWidth="1"/>
    <col min="19" max="19" width="6.28515625" style="131" customWidth="1"/>
    <col min="20" max="20" width="6.42578125" style="131" customWidth="1"/>
    <col min="21" max="21" width="5.140625" style="131" customWidth="1"/>
    <col min="22" max="22" width="4.7109375" style="131" customWidth="1"/>
    <col min="23" max="16384" width="11.42578125" style="131"/>
  </cols>
  <sheetData>
    <row r="1" spans="1:22" ht="24" customHeight="1" x14ac:dyDescent="0.2">
      <c r="A1" s="486"/>
      <c r="B1" s="486"/>
      <c r="C1" s="486"/>
      <c r="D1" s="486"/>
      <c r="E1" s="486"/>
      <c r="F1" s="487" t="s">
        <v>168</v>
      </c>
      <c r="G1" s="487"/>
      <c r="H1" s="487"/>
      <c r="I1" s="487"/>
      <c r="J1" s="487"/>
      <c r="K1" s="487"/>
      <c r="L1" s="487"/>
      <c r="M1" s="487"/>
      <c r="N1" s="487"/>
      <c r="O1" s="488" t="s">
        <v>169</v>
      </c>
      <c r="P1" s="488"/>
      <c r="Q1" s="488"/>
      <c r="R1" s="489"/>
      <c r="S1" s="489"/>
      <c r="T1" s="489"/>
      <c r="U1" s="489"/>
      <c r="V1" s="489"/>
    </row>
    <row r="2" spans="1:22" ht="15.75" customHeight="1" x14ac:dyDescent="0.2">
      <c r="A2" s="486"/>
      <c r="B2" s="486"/>
      <c r="C2" s="486"/>
      <c r="D2" s="486"/>
      <c r="E2" s="486"/>
      <c r="F2" s="487"/>
      <c r="G2" s="487"/>
      <c r="H2" s="487"/>
      <c r="I2" s="487"/>
      <c r="J2" s="487"/>
      <c r="K2" s="487"/>
      <c r="L2" s="487"/>
      <c r="M2" s="487"/>
      <c r="N2" s="487"/>
      <c r="O2" s="488" t="s">
        <v>170</v>
      </c>
      <c r="P2" s="488"/>
      <c r="Q2" s="488"/>
      <c r="R2" s="490"/>
      <c r="S2" s="489"/>
      <c r="T2" s="489"/>
      <c r="U2" s="489"/>
      <c r="V2" s="489"/>
    </row>
    <row r="3" spans="1:22" ht="36" customHeight="1" x14ac:dyDescent="0.2">
      <c r="A3" s="486"/>
      <c r="B3" s="486"/>
      <c r="C3" s="486"/>
      <c r="D3" s="486"/>
      <c r="E3" s="486"/>
      <c r="F3" s="487"/>
      <c r="G3" s="487"/>
      <c r="H3" s="487"/>
      <c r="I3" s="487"/>
      <c r="J3" s="487"/>
      <c r="K3" s="487"/>
      <c r="L3" s="487"/>
      <c r="M3" s="487"/>
      <c r="N3" s="487"/>
      <c r="O3" s="488" t="s">
        <v>171</v>
      </c>
      <c r="P3" s="488"/>
      <c r="Q3" s="488"/>
      <c r="R3" s="491" t="s">
        <v>172</v>
      </c>
      <c r="S3" s="491"/>
      <c r="T3" s="491"/>
      <c r="U3" s="491"/>
      <c r="V3" s="491"/>
    </row>
    <row r="4" spans="1:22" ht="29.25" customHeight="1" x14ac:dyDescent="0.2">
      <c r="A4" s="486"/>
      <c r="B4" s="486"/>
      <c r="C4" s="486"/>
      <c r="D4" s="486"/>
      <c r="E4" s="486"/>
      <c r="F4" s="487"/>
      <c r="G4" s="487"/>
      <c r="H4" s="487"/>
      <c r="I4" s="487"/>
      <c r="J4" s="487"/>
      <c r="K4" s="487"/>
      <c r="L4" s="487"/>
      <c r="M4" s="487"/>
      <c r="N4" s="487"/>
      <c r="O4" s="488" t="s">
        <v>173</v>
      </c>
      <c r="P4" s="488"/>
      <c r="Q4" s="488"/>
      <c r="R4" s="490"/>
      <c r="S4" s="489"/>
      <c r="T4" s="489"/>
      <c r="U4" s="489"/>
      <c r="V4" s="489"/>
    </row>
    <row r="5" spans="1:22" ht="42.75" customHeight="1" x14ac:dyDescent="0.2">
      <c r="A5" s="500" t="s">
        <v>174</v>
      </c>
      <c r="B5" s="501"/>
      <c r="C5" s="501"/>
      <c r="D5" s="502"/>
      <c r="E5" s="492" t="s">
        <v>175</v>
      </c>
      <c r="F5" s="492"/>
      <c r="G5" s="493" t="s">
        <v>176</v>
      </c>
      <c r="H5" s="494"/>
      <c r="I5" s="494"/>
      <c r="J5" s="494"/>
      <c r="K5" s="494"/>
      <c r="L5" s="494"/>
      <c r="M5" s="494"/>
      <c r="N5" s="494"/>
      <c r="O5" s="494"/>
      <c r="P5" s="494"/>
      <c r="Q5" s="494"/>
      <c r="R5" s="494"/>
      <c r="S5" s="492" t="s">
        <v>177</v>
      </c>
      <c r="T5" s="492"/>
      <c r="U5" s="495" t="s">
        <v>178</v>
      </c>
      <c r="V5" s="496"/>
    </row>
    <row r="6" spans="1:22" ht="22.5" customHeight="1" x14ac:dyDescent="0.2">
      <c r="A6" s="497"/>
      <c r="B6" s="497"/>
      <c r="C6" s="497"/>
      <c r="D6" s="497"/>
      <c r="E6" s="498"/>
      <c r="F6" s="497"/>
      <c r="G6" s="494"/>
      <c r="H6" s="494"/>
      <c r="I6" s="494"/>
      <c r="J6" s="494"/>
      <c r="K6" s="494"/>
      <c r="L6" s="494"/>
      <c r="M6" s="494"/>
      <c r="N6" s="494"/>
      <c r="O6" s="494"/>
      <c r="P6" s="494"/>
      <c r="Q6" s="494"/>
      <c r="R6" s="494"/>
      <c r="S6" s="499"/>
      <c r="T6" s="499"/>
      <c r="U6" s="486"/>
      <c r="V6" s="486"/>
    </row>
    <row r="7" spans="1:22" ht="33" customHeight="1" x14ac:dyDescent="0.2">
      <c r="A7" s="503" t="s">
        <v>179</v>
      </c>
      <c r="B7" s="504"/>
      <c r="C7" s="504"/>
      <c r="D7" s="504"/>
      <c r="E7" s="504"/>
      <c r="F7" s="504"/>
      <c r="G7" s="504"/>
      <c r="H7" s="488" t="s">
        <v>180</v>
      </c>
      <c r="I7" s="488"/>
      <c r="J7" s="488"/>
      <c r="K7" s="488"/>
      <c r="L7" s="488"/>
      <c r="M7" s="488"/>
      <c r="N7" s="488"/>
      <c r="O7" s="488"/>
      <c r="P7" s="488"/>
      <c r="Q7" s="488"/>
      <c r="R7" s="505" t="s">
        <v>181</v>
      </c>
      <c r="S7" s="505"/>
      <c r="T7" s="505"/>
      <c r="U7" s="505"/>
      <c r="V7" s="505"/>
    </row>
    <row r="8" spans="1:22" ht="21" customHeight="1" x14ac:dyDescent="0.2">
      <c r="A8" s="506" t="s">
        <v>182</v>
      </c>
      <c r="B8" s="506"/>
      <c r="C8" s="506"/>
      <c r="D8" s="506"/>
      <c r="E8" s="506" t="s">
        <v>183</v>
      </c>
      <c r="F8" s="506"/>
      <c r="G8" s="506"/>
      <c r="H8" s="506"/>
      <c r="I8" s="506" t="s">
        <v>184</v>
      </c>
      <c r="J8" s="506"/>
      <c r="K8" s="506"/>
      <c r="L8" s="506"/>
      <c r="M8" s="506"/>
      <c r="N8" s="506" t="s">
        <v>183</v>
      </c>
      <c r="O8" s="506"/>
      <c r="P8" s="506"/>
      <c r="Q8" s="506"/>
      <c r="R8" s="506" t="s">
        <v>185</v>
      </c>
      <c r="S8" s="506"/>
      <c r="T8" s="506"/>
      <c r="U8" s="506"/>
      <c r="V8" s="506"/>
    </row>
    <row r="9" spans="1:22" ht="37.5" customHeight="1" x14ac:dyDescent="0.2">
      <c r="A9" s="136" t="s">
        <v>164</v>
      </c>
      <c r="B9" s="507" t="s">
        <v>186</v>
      </c>
      <c r="C9" s="508"/>
      <c r="D9" s="508"/>
      <c r="E9" s="508"/>
      <c r="F9" s="508"/>
      <c r="G9" s="508"/>
      <c r="H9" s="508"/>
      <c r="I9" s="508"/>
      <c r="J9" s="508"/>
      <c r="K9" s="508"/>
      <c r="L9" s="508"/>
      <c r="M9" s="509"/>
      <c r="N9" s="510" t="s">
        <v>166</v>
      </c>
      <c r="O9" s="511"/>
      <c r="P9" s="511"/>
      <c r="Q9" s="512"/>
      <c r="R9" s="510" t="s">
        <v>167</v>
      </c>
      <c r="S9" s="511"/>
      <c r="T9" s="511"/>
      <c r="U9" s="511"/>
      <c r="V9" s="512"/>
    </row>
    <row r="10" spans="1:22" ht="24" customHeight="1" x14ac:dyDescent="0.2">
      <c r="A10" s="135">
        <v>1</v>
      </c>
      <c r="B10" s="513"/>
      <c r="C10" s="513"/>
      <c r="D10" s="513"/>
      <c r="E10" s="513"/>
      <c r="F10" s="513"/>
      <c r="G10" s="513"/>
      <c r="H10" s="513"/>
      <c r="I10" s="513"/>
      <c r="J10" s="513"/>
      <c r="K10" s="513"/>
      <c r="L10" s="513"/>
      <c r="M10" s="513"/>
      <c r="N10" s="486"/>
      <c r="O10" s="486"/>
      <c r="P10" s="486"/>
      <c r="Q10" s="486"/>
      <c r="R10" s="514"/>
      <c r="S10" s="486"/>
      <c r="T10" s="486"/>
      <c r="U10" s="486"/>
      <c r="V10" s="486"/>
    </row>
    <row r="11" spans="1:22" ht="24" customHeight="1" x14ac:dyDescent="0.2">
      <c r="A11" s="135">
        <v>2</v>
      </c>
      <c r="B11" s="513"/>
      <c r="C11" s="513"/>
      <c r="D11" s="513"/>
      <c r="E11" s="513"/>
      <c r="F11" s="513"/>
      <c r="G11" s="513"/>
      <c r="H11" s="513"/>
      <c r="I11" s="513"/>
      <c r="J11" s="513"/>
      <c r="K11" s="513"/>
      <c r="L11" s="513"/>
      <c r="M11" s="513"/>
      <c r="N11" s="486"/>
      <c r="O11" s="486"/>
      <c r="P11" s="486"/>
      <c r="Q11" s="486"/>
      <c r="R11" s="514"/>
      <c r="S11" s="486"/>
      <c r="T11" s="486"/>
      <c r="U11" s="486"/>
      <c r="V11" s="486"/>
    </row>
    <row r="12" spans="1:22" ht="24" customHeight="1" x14ac:dyDescent="0.2">
      <c r="A12" s="135">
        <v>3</v>
      </c>
      <c r="B12" s="513"/>
      <c r="C12" s="513"/>
      <c r="D12" s="513"/>
      <c r="E12" s="513"/>
      <c r="F12" s="513"/>
      <c r="G12" s="513"/>
      <c r="H12" s="513"/>
      <c r="I12" s="513"/>
      <c r="J12" s="513"/>
      <c r="K12" s="513"/>
      <c r="L12" s="513"/>
      <c r="M12" s="513"/>
      <c r="N12" s="486"/>
      <c r="O12" s="486"/>
      <c r="P12" s="486"/>
      <c r="Q12" s="486"/>
      <c r="R12" s="486"/>
      <c r="S12" s="486"/>
      <c r="T12" s="486"/>
      <c r="U12" s="486"/>
      <c r="V12" s="486"/>
    </row>
    <row r="13" spans="1:22" ht="24" customHeight="1" x14ac:dyDescent="0.2">
      <c r="A13" s="135">
        <v>4</v>
      </c>
      <c r="B13" s="513"/>
      <c r="C13" s="513"/>
      <c r="D13" s="513"/>
      <c r="E13" s="513"/>
      <c r="F13" s="513"/>
      <c r="G13" s="513"/>
      <c r="H13" s="513"/>
      <c r="I13" s="513"/>
      <c r="J13" s="513"/>
      <c r="K13" s="513"/>
      <c r="L13" s="513"/>
      <c r="M13" s="513"/>
      <c r="N13" s="486"/>
      <c r="O13" s="486"/>
      <c r="P13" s="486"/>
      <c r="Q13" s="486"/>
      <c r="R13" s="486"/>
      <c r="S13" s="486"/>
      <c r="T13" s="486"/>
      <c r="U13" s="486"/>
      <c r="V13" s="486"/>
    </row>
    <row r="14" spans="1:22" ht="24" customHeight="1" x14ac:dyDescent="0.2">
      <c r="A14" s="135">
        <v>5</v>
      </c>
      <c r="B14" s="513"/>
      <c r="C14" s="513"/>
      <c r="D14" s="513"/>
      <c r="E14" s="513"/>
      <c r="F14" s="513"/>
      <c r="G14" s="513"/>
      <c r="H14" s="513"/>
      <c r="I14" s="513"/>
      <c r="J14" s="513"/>
      <c r="K14" s="513"/>
      <c r="L14" s="513"/>
      <c r="M14" s="513"/>
      <c r="N14" s="486"/>
      <c r="O14" s="486"/>
      <c r="P14" s="486"/>
      <c r="Q14" s="486"/>
      <c r="R14" s="486"/>
      <c r="S14" s="486"/>
      <c r="T14" s="486"/>
      <c r="U14" s="486"/>
      <c r="V14" s="486"/>
    </row>
    <row r="15" spans="1:22" ht="24" customHeight="1" x14ac:dyDescent="0.2">
      <c r="A15" s="135">
        <v>6</v>
      </c>
      <c r="B15" s="513"/>
      <c r="C15" s="513"/>
      <c r="D15" s="513"/>
      <c r="E15" s="513"/>
      <c r="F15" s="513"/>
      <c r="G15" s="513"/>
      <c r="H15" s="513"/>
      <c r="I15" s="513"/>
      <c r="J15" s="513"/>
      <c r="K15" s="513"/>
      <c r="L15" s="513"/>
      <c r="M15" s="513"/>
      <c r="N15" s="486"/>
      <c r="O15" s="486"/>
      <c r="P15" s="486"/>
      <c r="Q15" s="486"/>
      <c r="R15" s="486"/>
      <c r="S15" s="486"/>
      <c r="T15" s="486"/>
      <c r="U15" s="486"/>
      <c r="V15" s="486"/>
    </row>
    <row r="16" spans="1:22" ht="24" customHeight="1" x14ac:dyDescent="0.2">
      <c r="A16" s="135">
        <v>7</v>
      </c>
      <c r="B16" s="513"/>
      <c r="C16" s="513"/>
      <c r="D16" s="513"/>
      <c r="E16" s="513"/>
      <c r="F16" s="513"/>
      <c r="G16" s="513"/>
      <c r="H16" s="513"/>
      <c r="I16" s="513"/>
      <c r="J16" s="513"/>
      <c r="K16" s="513"/>
      <c r="L16" s="513"/>
      <c r="M16" s="513"/>
      <c r="N16" s="486"/>
      <c r="O16" s="486"/>
      <c r="P16" s="486"/>
      <c r="Q16" s="486"/>
      <c r="R16" s="486"/>
      <c r="S16" s="486"/>
      <c r="T16" s="486"/>
      <c r="U16" s="486"/>
      <c r="V16" s="486"/>
    </row>
    <row r="17" spans="1:22" ht="24" customHeight="1" x14ac:dyDescent="0.2">
      <c r="A17" s="135">
        <v>8</v>
      </c>
      <c r="B17" s="513"/>
      <c r="C17" s="513"/>
      <c r="D17" s="513"/>
      <c r="E17" s="513"/>
      <c r="F17" s="513"/>
      <c r="G17" s="513"/>
      <c r="H17" s="513"/>
      <c r="I17" s="513"/>
      <c r="J17" s="513"/>
      <c r="K17" s="513"/>
      <c r="L17" s="513"/>
      <c r="M17" s="513"/>
      <c r="N17" s="486"/>
      <c r="O17" s="486"/>
      <c r="P17" s="486"/>
      <c r="Q17" s="486"/>
      <c r="R17" s="486"/>
      <c r="S17" s="486"/>
      <c r="T17" s="486"/>
      <c r="U17" s="486"/>
      <c r="V17" s="486"/>
    </row>
    <row r="18" spans="1:22" ht="24" customHeight="1" x14ac:dyDescent="0.2">
      <c r="A18" s="135">
        <v>9</v>
      </c>
      <c r="B18" s="513"/>
      <c r="C18" s="513"/>
      <c r="D18" s="513"/>
      <c r="E18" s="513"/>
      <c r="F18" s="513"/>
      <c r="G18" s="513"/>
      <c r="H18" s="513"/>
      <c r="I18" s="513"/>
      <c r="J18" s="513"/>
      <c r="K18" s="513"/>
      <c r="L18" s="513"/>
      <c r="M18" s="513"/>
      <c r="N18" s="486"/>
      <c r="O18" s="486"/>
      <c r="P18" s="486"/>
      <c r="Q18" s="486"/>
      <c r="R18" s="486"/>
      <c r="S18" s="486"/>
      <c r="T18" s="486"/>
      <c r="U18" s="486"/>
      <c r="V18" s="486"/>
    </row>
    <row r="19" spans="1:22" ht="24" customHeight="1" x14ac:dyDescent="0.2">
      <c r="A19" s="135">
        <v>10</v>
      </c>
      <c r="B19" s="513"/>
      <c r="C19" s="513"/>
      <c r="D19" s="513"/>
      <c r="E19" s="513"/>
      <c r="F19" s="513"/>
      <c r="G19" s="513"/>
      <c r="H19" s="513"/>
      <c r="I19" s="513"/>
      <c r="J19" s="513"/>
      <c r="K19" s="513"/>
      <c r="L19" s="513"/>
      <c r="M19" s="513"/>
      <c r="N19" s="486"/>
      <c r="O19" s="486"/>
      <c r="P19" s="486"/>
      <c r="Q19" s="486"/>
      <c r="R19" s="486"/>
      <c r="S19" s="486"/>
      <c r="T19" s="486"/>
      <c r="U19" s="486"/>
      <c r="V19" s="486"/>
    </row>
  </sheetData>
  <mergeCells count="60">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E5:F5"/>
    <mergeCell ref="G5:R6"/>
    <mergeCell ref="S5:T5"/>
    <mergeCell ref="U5:V5"/>
    <mergeCell ref="A6:D6"/>
    <mergeCell ref="E6:F6"/>
    <mergeCell ref="S6:T6"/>
    <mergeCell ref="U6:V6"/>
    <mergeCell ref="A5:D5"/>
    <mergeCell ref="A1:E4"/>
    <mergeCell ref="F1:N4"/>
    <mergeCell ref="O1:Q1"/>
    <mergeCell ref="R1:V1"/>
    <mergeCell ref="O2:Q2"/>
    <mergeCell ref="R2:V2"/>
    <mergeCell ref="O3:Q3"/>
    <mergeCell ref="R3:V3"/>
    <mergeCell ref="O4:Q4"/>
    <mergeCell ref="R4:V4"/>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Validación</vt:lpstr>
      <vt:lpstr>Orden de Pedido</vt:lpstr>
      <vt:lpstr>Hoja1</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lpstr>Validación!Área_de_impresión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Xabier Molero Martín</cp:lastModifiedBy>
  <cp:lastPrinted>2015-12-11T17:57:54Z</cp:lastPrinted>
  <dcterms:created xsi:type="dcterms:W3CDTF">2007-01-22T12:13:31Z</dcterms:created>
  <dcterms:modified xsi:type="dcterms:W3CDTF">2015-12-13T11:36:36Z</dcterms:modified>
</cp:coreProperties>
</file>