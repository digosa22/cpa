
<file path=[Content_Types].xml><?xml version="1.0" encoding="utf-8"?>
<Types xmlns="http://schemas.openxmlformats.org/package/2006/content-types">
  <Default ContentType="application/vnd.openxmlformats-officedocument.spreadsheetml.printerSettings" Extension="bin"/>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spreadsheetml.comments+xml" PartName="/xl/comments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lastEdited="5" lowestEdited="5" rupBuild="9302"/>
  <workbookPr defaultThemeVersion="124226"/>
  <bookViews>
    <workbookView xWindow="0" yWindow="285" windowWidth="12510" windowHeight="7230" tabRatio="735" activeTab="1"/>
  </bookViews>
  <sheets>
    <sheet name="Validación" sheetId="20" r:id="rId1"/>
    <sheet name="Orden de Pedido" sheetId="19" r:id="rId2"/>
    <sheet name="Instrucción de trabajo" sheetId="22" r:id="rId3"/>
    <sheet name="Información" sheetId="10" r:id="rId4"/>
    <sheet name="Grafico" sheetId="15" r:id="rId5"/>
    <sheet name="Recuento final" sheetId="23" r:id="rId6"/>
    <sheet name="Estimación de horas y costes" sheetId="14" r:id="rId7"/>
    <sheet name="Valoración del servicio" sheetId="24" r:id="rId8"/>
    <sheet name="personal formado" sheetId="25" r:id="rId9"/>
  </sheets>
  <definedNames>
    <definedName name="_xlnm.Print_Area" localSheetId="2">'Instrucción de trabajo'!$A$1:$I$106</definedName>
    <definedName name="_xlnm.Print_Area" localSheetId="1">'Orden de Pedido'!$A$1:$H$42</definedName>
    <definedName name="_xlnm.Print_Area" localSheetId="0">Validación!$A$1:$I$54</definedName>
    <definedName name="HTML_CodePage" hidden="1">1252</definedName>
    <definedName name="HTML_Control" localSheetId="3" hidden="1">{"'Verr-enseig-ex'!$M$22:$M$23"}</definedName>
    <definedName name="HTML_Control" localSheetId="2"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_xlnm.Print_Titles" localSheetId="2">'Instrucción de trabajo'!$11:$15</definedName>
  </definedNames>
  <calcPr calcId="144525"/>
</workbook>
</file>

<file path=xl/calcChain.xml><?xml version="1.0" encoding="utf-8"?>
<calcChain xmlns="http://schemas.openxmlformats.org/spreadsheetml/2006/main">
  <c r="B14" i="22" l="1"/>
  <c r="G54" i="20"/>
  <c r="G53" i="20"/>
  <c r="G52" i="20"/>
  <c r="A14" i="20"/>
  <c r="H28" i="19"/>
  <c r="G28" i="19"/>
  <c r="AH8" i="14"/>
  <c r="AH7" i="14"/>
  <c r="AH6" i="14"/>
  <c r="AH5" i="14"/>
  <c r="AH4" i="14"/>
  <c r="AH3" i="14"/>
  <c r="AH12" i="14"/>
  <c r="AH13" i="14"/>
  <c r="AH14" i="14"/>
  <c r="AH11" i="14"/>
  <c r="F9" i="24"/>
  <c r="C12" i="22"/>
  <c r="C7" i="22"/>
  <c r="H3" i="22"/>
  <c r="C5" i="22"/>
  <c r="C11" i="22" s="1"/>
  <c r="C4" i="22"/>
  <c r="E3" i="22"/>
  <c r="C3" i="22"/>
  <c r="C2" i="22"/>
  <c r="B5" i="20"/>
  <c r="B4" i="20"/>
  <c r="B3" i="20"/>
  <c r="B9" i="20"/>
  <c r="B10" i="20"/>
  <c r="B11" i="20"/>
  <c r="B12" i="20"/>
  <c r="B7" i="20"/>
  <c r="B6" i="20"/>
  <c r="G3" i="23"/>
  <c r="F3" i="23"/>
  <c r="E3" i="23"/>
  <c r="H3" i="23" s="1"/>
  <c r="AH10" i="14"/>
  <c r="AH9" i="14"/>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N15" i="10"/>
  <c r="AM12" i="10"/>
  <c r="AM13" i="10" s="1"/>
  <c r="AM18" i="10"/>
  <c r="AL12" i="10"/>
  <c r="AL13" i="10" s="1"/>
  <c r="AK12" i="10"/>
  <c r="AK13" i="10" s="1"/>
  <c r="AJ12" i="10"/>
  <c r="AJ18" i="10" s="1"/>
  <c r="AI12" i="10"/>
  <c r="AI18" i="10" s="1"/>
  <c r="AH12" i="10"/>
  <c r="AH13" i="10" s="1"/>
  <c r="AH18" i="10"/>
  <c r="AG12" i="10"/>
  <c r="AG13" i="10" s="1"/>
  <c r="AF12" i="10"/>
  <c r="AF18" i="10" s="1"/>
  <c r="AE12" i="10"/>
  <c r="AE13" i="10" s="1"/>
  <c r="AE18" i="10"/>
  <c r="AD12" i="10"/>
  <c r="AD13" i="10" s="1"/>
  <c r="AC12" i="10"/>
  <c r="AC13" i="10" s="1"/>
  <c r="AB12" i="10"/>
  <c r="AB13" i="10" s="1"/>
  <c r="AA12" i="10"/>
  <c r="AA18" i="10" s="1"/>
  <c r="Z12" i="10"/>
  <c r="Z13" i="10" s="1"/>
  <c r="Z18" i="10"/>
  <c r="Y12" i="10"/>
  <c r="Y13" i="10" s="1"/>
  <c r="X12" i="10"/>
  <c r="X18" i="10" s="1"/>
  <c r="W12" i="10"/>
  <c r="W13" i="10" s="1"/>
  <c r="W18" i="10"/>
  <c r="V12" i="10"/>
  <c r="V13" i="10" s="1"/>
  <c r="U12" i="10"/>
  <c r="U13" i="10" s="1"/>
  <c r="T12" i="10"/>
  <c r="T18" i="10" s="1"/>
  <c r="S12" i="10"/>
  <c r="S18" i="10" s="1"/>
  <c r="R12" i="10"/>
  <c r="R13" i="10" s="1"/>
  <c r="R18" i="10"/>
  <c r="Q12" i="10"/>
  <c r="Q13" i="10" s="1"/>
  <c r="P12" i="10"/>
  <c r="P18" i="10" s="1"/>
  <c r="O12" i="10"/>
  <c r="N12" i="10"/>
  <c r="N18" i="10" s="1"/>
  <c r="M12" i="10"/>
  <c r="M10" i="10"/>
  <c r="M16" i="10"/>
  <c r="L12" i="10"/>
  <c r="L10" i="10" s="1"/>
  <c r="K12" i="10"/>
  <c r="K18" i="10" s="1"/>
  <c r="J12" i="10"/>
  <c r="I12" i="10"/>
  <c r="AN11" i="10"/>
  <c r="AM10" i="10"/>
  <c r="AM16" i="10" s="1"/>
  <c r="AL10" i="10"/>
  <c r="AL16" i="10"/>
  <c r="AJ10" i="10"/>
  <c r="AJ16" i="10" s="1"/>
  <c r="AI10" i="10"/>
  <c r="AI16" i="10" s="1"/>
  <c r="AH10" i="10"/>
  <c r="AH16" i="10" s="1"/>
  <c r="AF10" i="10"/>
  <c r="AF16" i="10" s="1"/>
  <c r="AE10" i="10"/>
  <c r="AE16" i="10"/>
  <c r="AD10" i="10"/>
  <c r="AD16" i="10" s="1"/>
  <c r="AB10" i="10"/>
  <c r="AB16" i="10" s="1"/>
  <c r="AA10" i="10"/>
  <c r="AA16" i="10" s="1"/>
  <c r="Z10" i="10"/>
  <c r="Z16" i="10" s="1"/>
  <c r="X10" i="10"/>
  <c r="X16" i="10" s="1"/>
  <c r="W10" i="10"/>
  <c r="W16" i="10" s="1"/>
  <c r="V10" i="10"/>
  <c r="V16" i="10"/>
  <c r="T10" i="10"/>
  <c r="T16" i="10" s="1"/>
  <c r="S10" i="10"/>
  <c r="S16" i="10" s="1"/>
  <c r="R10" i="10"/>
  <c r="R16" i="10" s="1"/>
  <c r="P10" i="10"/>
  <c r="P16" i="10" s="1"/>
  <c r="K10" i="10"/>
  <c r="K16" i="10"/>
  <c r="AN8" i="10"/>
  <c r="AN7" i="10"/>
  <c r="AN6" i="10"/>
  <c r="AN5" i="10"/>
  <c r="AN4" i="10"/>
  <c r="AN3" i="10"/>
  <c r="F41" i="19"/>
  <c r="C41" i="19"/>
  <c r="A41" i="19"/>
  <c r="Q18" i="10"/>
  <c r="U18" i="10"/>
  <c r="Y18" i="10"/>
  <c r="AC18" i="10"/>
  <c r="AG18" i="10"/>
  <c r="AK18" i="10"/>
  <c r="Q10" i="10"/>
  <c r="Q16" i="10" s="1"/>
  <c r="U10" i="10"/>
  <c r="U16" i="10" s="1"/>
  <c r="Y10" i="10"/>
  <c r="Y16" i="10" s="1"/>
  <c r="AC10" i="10"/>
  <c r="AC16" i="10" s="1"/>
  <c r="AG10" i="10"/>
  <c r="AG16" i="10" s="1"/>
  <c r="AK10" i="10"/>
  <c r="AK16" i="10" s="1"/>
  <c r="AE16" i="14"/>
  <c r="AH15" i="14"/>
  <c r="O10" i="10"/>
  <c r="O16" i="10"/>
  <c r="O18" i="10"/>
  <c r="N10" i="10"/>
  <c r="N16" i="10" s="1"/>
  <c r="K13" i="10"/>
  <c r="AN19" i="10"/>
  <c r="M18" i="10"/>
  <c r="M13" i="10"/>
  <c r="L18" i="10"/>
  <c r="J10" i="10"/>
  <c r="J16" i="10" s="1"/>
  <c r="J18" i="10"/>
  <c r="I10" i="10"/>
  <c r="I13" i="10" s="1"/>
  <c r="I18" i="10"/>
  <c r="AN12" i="10"/>
  <c r="N13" i="10"/>
  <c r="O13" i="10"/>
  <c r="J13" i="10"/>
  <c r="AN18" i="10"/>
  <c r="L16" i="10" l="1"/>
  <c r="L13" i="10"/>
  <c r="AB18" i="10"/>
  <c r="AJ13" i="10"/>
  <c r="AF13" i="10"/>
  <c r="X13" i="10"/>
  <c r="T13" i="10"/>
  <c r="P13" i="10"/>
  <c r="AI13" i="10"/>
  <c r="AA13" i="10"/>
  <c r="S13" i="10"/>
  <c r="I16" i="10"/>
  <c r="V18" i="10"/>
  <c r="AD18" i="10"/>
  <c r="AL18" i="10"/>
  <c r="AN10" i="10"/>
  <c r="AN16" i="10" l="1"/>
  <c r="AN13" i="10"/>
</calcChain>
</file>

<file path=xl/comments1.xml><?xml version="1.0" encoding="utf-8"?>
<comments xmlns="http://schemas.openxmlformats.org/spreadsheetml/2006/main">
  <authors>
    <author>Javier Burgos</author>
  </authors>
  <commentList>
    <comment ref="B23" authorId="0">
      <text>
        <r>
          <rPr>
            <b/>
            <sz val="9"/>
            <color indexed="81"/>
            <rFont val="Tahoma"/>
            <family val="2"/>
          </rPr>
          <t>Recordatorio:</t>
        </r>
        <r>
          <rPr>
            <sz val="9"/>
            <color indexed="81"/>
            <rFont val="Tahoma"/>
            <family val="2"/>
          </rPr>
          <t xml:space="preserve">
Definir los pasos a realizar, las herramientas necesarias (Calibre, lija…) y la forma de control (visual, manual…)</t>
        </r>
      </text>
    </comment>
  </commentList>
</comments>
</file>

<file path=xl/sharedStrings.xml><?xml version="1.0" encoding="utf-8"?>
<sst xmlns="http://schemas.openxmlformats.org/spreadsheetml/2006/main" count="266" uniqueCount="211">
  <si>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</si>
  <si>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</si>
  <si>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</si>
  <si>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</si>
  <si>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</si>
  <si>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</si>
  <si>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</si>
  <si>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</si>
  <si>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</si>
  <si>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</si>
  <si>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</si>
  <si>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</si>
  <si>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</si>
  <si>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</si>
  <si>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</si>
  <si>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</si>
  <si>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</si>
  <si>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</si>
  <si>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</si>
  <si>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</si>
  <si>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</si>
  <si>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</si>
  <si>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</si>
  <si>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</si>
  <si>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</si>
  <si>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</si>
  <si>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</si>
  <si>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</si>
  <si>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</si>
  <si>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</si>
  <si>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</si>
  <si>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</si>
  <si>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</si>
  <si>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</si>
  <si>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</si>
  <si>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</si>
  <si>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</si>
  <si>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</si>
  <si>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</si>
  <si>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</si>
  <si>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</si>
  <si>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</si>
  <si>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</si>
  <si>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 xml:space="preserve">2º  </t>
  </si>
  <si>
    <t>Responsable CPA:</t>
  </si>
  <si>
    <t>Fecha Fin:</t>
  </si>
  <si>
    <t xml:space="preserve">3º  </t>
  </si>
  <si>
    <t xml:space="preserve">4º  </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</si>
  <si>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</si>
  <si>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</si>
  <si>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</si>
  <si>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</si>
  <si>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</si>
  <si>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</si>
  <si>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</si>
  <si>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</si>
  <si>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</si>
  <si>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</si>
  <si>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</si>
  <si>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</si>
  <si>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</si>
  <si>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</si>
  <si>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</si>
  <si>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</si>
  <si>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</si>
  <si>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</si>
  <si>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</si>
  <si>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</si>
  <si>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</si>
  <si>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</si>
  <si>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</si>
  <si>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</si>
  <si>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</si>
  <si>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</si>
  <si>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</si>
  <si>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</si>
  <si>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</si>
  <si>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</si>
  <si>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</si>
  <si>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</si>
  <si>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</si>
  <si>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</si>
  <si>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</si>
  <si>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</si>
  <si>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</si>
  <si>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</si>
  <si>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</si>
  <si>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</si>
  <si>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</si>
  <si>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</si>
  <si>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</si>
  <si>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</si>
  <si>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</si>
  <si>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</si>
  <si>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</si>
  <si>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</si>
  <si>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</si>
  <si>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X</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</si>
  <si>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</si>
  <si>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</si>
  <si>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</si>
  <si>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</si>
  <si>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</si>
  <si>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</si>
  <si>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</si>
  <si>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</si>
  <si>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</si>
  <si>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</si>
  <si>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</si>
  <si>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</si>
  <si>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</si>
  <si>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</si>
  <si>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</si>
  <si>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</si>
  <si>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</si>
  <si>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</si>
  <si>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</si>
  <si>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</si>
  <si>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r>
      <rPr>
        <u/>
        <sz val="10"/>
        <rFont val="Arial"/>
        <family val="2"/>
      </rPr>
      <t>Pieza muestra</t>
    </r>
    <r>
      <rPr>
        <sz val="10"/>
        <rFont val="Arial"/>
      </rPr>
      <t xml:space="preserve"> OK y NOK (si la hay) en el puesto de trabajo</t>
    </r>
  </si>
  <si>
    <t>Comprobación del servicio prestado (Como)</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</si>
  <si>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</si>
  <si>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</si>
  <si>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</si>
  <si>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</si>
  <si>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</si>
  <si>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</si>
  <si>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</si>
  <si>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</si>
  <si>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</si>
  <si>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</si>
  <si>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</si>
  <si>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</si>
  <si>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</si>
  <si>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</si>
  <si>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</si>
  <si>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</si>
  <si>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</si>
  <si>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</si>
  <si>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</si>
  <si>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</si>
  <si>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</si>
  <si>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</si>
  <si>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</si>
  <si>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</si>
  <si>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Mercedes Benz España S.A.</t>
  </si>
  <si>
    <t>A79380465</t>
  </si>
  <si>
    <t>C/Las Arenas, nº1   C.P:01010 Vitoria-Gasteiz</t>
  </si>
  <si>
    <t>www.mercedes-benz.com</t>
  </si>
  <si>
    <t>Contabilidad financiera</t>
  </si>
  <si>
    <t xml:space="preserve">Contabilidad </t>
  </si>
  <si>
    <t xml:space="preserve">Hora Normal 17,98€/h y Hora sábados 25,17€/h  </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</si>
  <si>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</si>
  <si>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</si>
  <si>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</si>
  <si>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</si>
  <si>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</si>
  <si>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</si>
  <si>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</si>
  <si>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</si>
  <si>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</si>
  <si>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</si>
  <si>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</si>
  <si>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</si>
  <si>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</si>
  <si>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</si>
  <si>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</si>
  <si>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</si>
  <si>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</si>
  <si>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</si>
  <si>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</si>
  <si>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</si>
  <si>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</si>
  <si>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</si>
  <si>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</si>
  <si>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</si>
  <si>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</si>
  <si>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</si>
  <si>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</si>
  <si>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</si>
  <si>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</si>
  <si>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</si>
  <si>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 Plantilla para servicios de larga duración y siempre que el coordinador lo encuentre oportuno.</t>
  </si>
  <si>
    <t xml:space="preserve"> C:\CPA GENERAL\ISO 9001\PA-02 Formación y comunicación interna\Formatos</t>
  </si>
  <si>
    <t>numAccion</t>
  </si>
  <si>
    <t>25/00/2015</t>
  </si>
  <si>
    <t>nombrePieza</t>
  </si>
  <si>
    <t>referencias</t>
  </si>
  <si>
    <t>numChasis1</t>
  </si>
  <si>
    <t>numChasis2</t>
  </si>
  <si>
    <t>numChasis3</t>
  </si>
  <si>
    <t>numChasis4</t>
  </si>
  <si>
    <t>responsableCPA</t>
  </si>
  <si>
    <t>personaRecomendador</t>
  </si>
  <si>
    <t>departamentoRecomendador</t>
  </si>
  <si>
    <t>telefonoRecomendador</t>
  </si>
  <si>
    <t>emailRecomendador</t>
  </si>
  <si>
    <t>Empresa cliente</t>
  </si>
  <si>
    <t>getDireccionCliente</t>
  </si>
  <si>
    <t>getCodigoPostalCliente</t>
  </si>
  <si>
    <t>getPaisCliente</t>
  </si>
  <si>
    <t>getPoblacionCliente</t>
  </si>
  <si>
    <t>getApartadoDeCorreosCliente</t>
  </si>
  <si>
    <t>getCodigoPostalCliente2</t>
  </si>
  <si>
    <t>getCodigoPostalEmpresaCliente</t>
  </si>
  <si>
    <t>getPersonaDeContactoCliente</t>
  </si>
  <si>
    <t>getDepartamentoCliente</t>
  </si>
  <si>
    <t>getTelefonoCliente</t>
  </si>
  <si>
    <t>getEmailCliente</t>
  </si>
  <si>
    <t>descripcionInstruccionDelServicio</t>
  </si>
  <si>
    <t>dsvgfvgds</t>
  </si>
  <si>
    <t>jthyjygyj</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</si>
</sst>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C0A]d\-mmm\-yy;@"/>
    <numFmt numFmtId="165" formatCode="0.0"/>
    <numFmt numFmtId="166" formatCode="[$-C0A]d\-mmm;@"/>
    <numFmt numFmtId="167" formatCode="dd\-mm\-yy;@"/>
    <numFmt numFmtId="168" formatCode="#,##0.00\ &quot;€&quot;"/>
  </numFmts>
  <fonts count="55"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u/>
      <sz val="9"/>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9"/>
      <color indexed="81"/>
      <name val="Tahoma"/>
      <family val="2"/>
    </font>
    <font>
      <sz val="9"/>
      <color indexed="81"/>
      <name val="Tahoma"/>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sz val="10"/>
      <color theme="3"/>
      <name val="Arial"/>
      <family val="2"/>
    </font>
    <font>
      <u/>
      <sz val="10"/>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s>
  <fills count="1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486">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3" fillId="6" borderId="1" xfId="0" applyNumberFormat="1" applyFont="1" applyFill="1" applyBorder="1" applyAlignment="1">
      <alignment horizontal="center" vertical="center" shrinkToFit="1"/>
    </xf>
    <xf numFmtId="0" fontId="34"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5" fillId="0" borderId="8" xfId="0" applyFont="1" applyBorder="1" applyAlignment="1">
      <alignmen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5" fillId="0" borderId="15" xfId="0" applyNumberFormat="1" applyFont="1" applyBorder="1" applyAlignment="1">
      <alignment horizontal="center" vertical="center" wrapText="1"/>
    </xf>
    <xf numFmtId="49" fontId="20"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0" xfId="0" applyAlignment="1">
      <alignment horizontal="center" vertical="center" wrapText="1"/>
    </xf>
    <xf numFmtId="0" fontId="0" fillId="0" borderId="1" xfId="0" applyBorder="1" applyAlignment="1">
      <alignment horizontal="center"/>
    </xf>
    <xf numFmtId="0" fontId="0" fillId="0" borderId="1" xfId="0" applyBorder="1" applyAlignment="1">
      <alignment horizontal="center" vertical="center" wrapText="1"/>
    </xf>
    <xf numFmtId="0" fontId="22" fillId="8" borderId="1" xfId="0" applyFont="1" applyFill="1" applyBorder="1" applyAlignment="1">
      <alignment horizontal="left" vertical="center"/>
    </xf>
    <xf numFmtId="0" fontId="22" fillId="0" borderId="0" xfId="0" applyFont="1"/>
    <xf numFmtId="0" fontId="22" fillId="0" borderId="0" xfId="0" applyFont="1" applyAlignment="1">
      <alignment horizontal="center" vertical="center" wrapText="1"/>
    </xf>
    <xf numFmtId="0" fontId="5" fillId="0" borderId="1" xfId="0" applyFont="1" applyBorder="1"/>
    <xf numFmtId="0" fontId="5" fillId="0" borderId="0" xfId="0" applyFont="1"/>
    <xf numFmtId="0" fontId="5" fillId="0" borderId="0" xfId="0" applyFont="1" applyFill="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6" fontId="10" fillId="9" borderId="1" xfId="0" applyNumberFormat="1" applyFont="1" applyFill="1" applyBorder="1" applyAlignment="1">
      <alignment horizontal="center" vertical="center" textRotation="90" wrapText="1"/>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6" fontId="2" fillId="9"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22" xfId="0"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9"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5" fillId="11" borderId="1" xfId="0" applyFont="1" applyFill="1" applyBorder="1" applyAlignment="1">
      <alignment horizontal="center"/>
    </xf>
    <xf numFmtId="0" fontId="36"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7" fillId="11" borderId="21" xfId="0" applyFont="1" applyFill="1" applyBorder="1" applyAlignment="1">
      <alignment horizontal="center"/>
    </xf>
    <xf numFmtId="0" fontId="38"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0" fillId="0" borderId="0" xfId="0" applyBorder="1" applyAlignment="1">
      <alignment horizontal="center" vertical="center"/>
    </xf>
    <xf numFmtId="0" fontId="5" fillId="0" borderId="0"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4" fillId="0" borderId="0" xfId="0" applyFont="1" applyAlignment="1">
      <alignment vertical="center"/>
    </xf>
    <xf numFmtId="0" fontId="5" fillId="8" borderId="1" xfId="0" applyFont="1" applyFill="1" applyBorder="1" applyAlignment="1">
      <alignment horizontal="center" vertical="center"/>
    </xf>
    <xf numFmtId="0" fontId="30" fillId="0" borderId="0" xfId="0" applyFont="1" applyAlignment="1">
      <alignment horizontal="left" vertical="center"/>
    </xf>
    <xf numFmtId="0" fontId="0" fillId="6" borderId="0" xfId="0" applyFill="1" applyBorder="1" applyAlignment="1">
      <alignment horizontal="center" vertical="center"/>
    </xf>
    <xf numFmtId="0" fontId="0" fillId="0" borderId="0" xfId="0" applyAlignment="1">
      <alignment horizontal="left" vertical="center"/>
    </xf>
    <xf numFmtId="0" fontId="5" fillId="0" borderId="0" xfId="0" applyFont="1" applyBorder="1" applyAlignment="1">
      <alignment vertical="center"/>
    </xf>
    <xf numFmtId="14" fontId="5" fillId="0" borderId="18" xfId="0" applyNumberFormat="1" applyFont="1" applyBorder="1" applyAlignment="1">
      <alignment horizontal="center" vertical="center" wrapText="1"/>
    </xf>
    <xf numFmtId="0" fontId="54" fillId="8" borderId="1" xfId="0" applyFont="1" applyFill="1" applyBorder="1" applyAlignment="1">
      <alignment horizontal="center" vertical="center"/>
    </xf>
    <xf numFmtId="0" fontId="54" fillId="0" borderId="0" xfId="0" applyFont="1" applyAlignment="1">
      <alignment horizontal="left" vertical="center"/>
    </xf>
    <xf numFmtId="0" fontId="13" fillId="8" borderId="1" xfId="0" applyFont="1" applyFill="1" applyBorder="1" applyAlignment="1">
      <alignment horizontal="center" vertical="center"/>
    </xf>
    <xf numFmtId="0" fontId="20" fillId="0" borderId="1" xfId="0" applyFont="1" applyBorder="1" applyAlignment="1">
      <alignment horizontal="center" vertical="center"/>
    </xf>
    <xf numFmtId="0" fontId="5" fillId="15" borderId="1" xfId="0" applyFont="1" applyFill="1" applyBorder="1" applyAlignment="1">
      <alignment horizontal="center" vertical="center"/>
    </xf>
    <xf numFmtId="49" fontId="39" fillId="0" borderId="16" xfId="0" applyNumberFormat="1" applyFont="1" applyFill="1" applyBorder="1" applyAlignment="1">
      <alignment horizontal="center" vertical="center"/>
    </xf>
    <xf numFmtId="0" fontId="39" fillId="0" borderId="35" xfId="0" applyNumberFormat="1" applyFont="1" applyFill="1" applyBorder="1" applyAlignment="1">
      <alignment horizontal="center" vertical="center"/>
    </xf>
    <xf numFmtId="0" fontId="39" fillId="0" borderId="21"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0" fontId="40" fillId="0" borderId="35" xfId="0" applyNumberFormat="1" applyFont="1" applyFill="1" applyBorder="1" applyAlignment="1">
      <alignment horizontal="center" vertical="center"/>
    </xf>
    <xf numFmtId="0" fontId="40" fillId="0" borderId="21" xfId="0" applyNumberFormat="1" applyFont="1" applyFill="1" applyBorder="1" applyAlignment="1">
      <alignment horizontal="center" vertical="center"/>
    </xf>
    <xf numFmtId="49" fontId="40" fillId="0" borderId="1" xfId="0" applyNumberFormat="1" applyFont="1" applyFill="1" applyBorder="1" applyAlignment="1">
      <alignment horizontal="center" vertical="center"/>
    </xf>
    <xf numFmtId="0" fontId="40" fillId="0" borderId="1" xfId="0" applyNumberFormat="1" applyFont="1" applyFill="1" applyBorder="1" applyAlignment="1">
      <alignment horizontal="center" vertical="center"/>
    </xf>
    <xf numFmtId="0" fontId="1" fillId="0" borderId="1" xfId="1" applyFont="1" applyFill="1" applyBorder="1" applyAlignment="1" applyProtection="1">
      <alignment horizontal="center" vertical="center"/>
    </xf>
    <xf numFmtId="0" fontId="41" fillId="0" borderId="1" xfId="0" applyFont="1" applyFill="1" applyBorder="1" applyAlignment="1">
      <alignment horizontal="center" vertical="center"/>
    </xf>
    <xf numFmtId="14" fontId="40" fillId="0" borderId="1" xfId="1" applyNumberFormat="1" applyFont="1" applyFill="1" applyBorder="1" applyAlignment="1" applyProtection="1">
      <alignment horizontal="center" vertical="center"/>
    </xf>
    <xf numFmtId="14" fontId="40" fillId="0" borderId="1" xfId="0" applyNumberFormat="1" applyFont="1" applyFill="1" applyBorder="1" applyAlignment="1">
      <alignment horizontal="center" vertical="center"/>
    </xf>
    <xf numFmtId="49" fontId="39" fillId="0" borderId="1" xfId="0" applyNumberFormat="1" applyFont="1" applyFill="1" applyBorder="1" applyAlignment="1">
      <alignment horizontal="center" vertical="center"/>
    </xf>
    <xf numFmtId="0" fontId="42" fillId="0" borderId="1" xfId="1" applyFont="1" applyFill="1" applyBorder="1" applyAlignment="1" applyProtection="1">
      <alignment horizontal="center" vertical="center"/>
    </xf>
    <xf numFmtId="0" fontId="40" fillId="0" borderId="1" xfId="0" applyFont="1" applyFill="1" applyBorder="1" applyAlignment="1">
      <alignment horizontal="center" vertical="center"/>
    </xf>
    <xf numFmtId="0" fontId="5" fillId="15" borderId="1" xfId="0"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43" fillId="0" borderId="1" xfId="0" applyFont="1" applyFill="1" applyBorder="1" applyAlignment="1">
      <alignment horizontal="center" vertical="center"/>
    </xf>
    <xf numFmtId="0" fontId="43" fillId="0" borderId="1" xfId="0" applyFont="1" applyFill="1" applyBorder="1" applyAlignment="1">
      <alignment horizontal="center" vertical="center" wrapText="1"/>
    </xf>
    <xf numFmtId="0" fontId="43" fillId="0" borderId="16" xfId="0" applyFont="1" applyFill="1" applyBorder="1" applyAlignment="1">
      <alignment horizontal="center" vertical="center"/>
    </xf>
    <xf numFmtId="0" fontId="43" fillId="0" borderId="35" xfId="0" applyFont="1" applyFill="1" applyBorder="1" applyAlignment="1">
      <alignment horizontal="center" vertical="center"/>
    </xf>
    <xf numFmtId="0" fontId="43" fillId="0" borderId="21" xfId="0" applyFont="1" applyFill="1" applyBorder="1" applyAlignment="1">
      <alignment horizontal="center" vertical="center"/>
    </xf>
    <xf numFmtId="0" fontId="43" fillId="0" borderId="12" xfId="0" applyFont="1" applyFill="1" applyBorder="1" applyAlignment="1">
      <alignment horizontal="center" vertical="center" wrapText="1"/>
    </xf>
    <xf numFmtId="0" fontId="43" fillId="0" borderId="17" xfId="0" applyFont="1" applyFill="1" applyBorder="1" applyAlignment="1">
      <alignment horizontal="center" vertical="center"/>
    </xf>
    <xf numFmtId="0" fontId="43" fillId="0" borderId="37" xfId="0" applyFont="1" applyFill="1" applyBorder="1" applyAlignment="1">
      <alignment horizontal="center" vertical="center"/>
    </xf>
    <xf numFmtId="0" fontId="42" fillId="0" borderId="1" xfId="1" applyFont="1" applyFill="1" applyBorder="1" applyAlignment="1" applyProtection="1">
      <alignment horizontal="center" vertical="center" wrapText="1"/>
    </xf>
    <xf numFmtId="0" fontId="43" fillId="0" borderId="1" xfId="1" applyFont="1" applyFill="1" applyBorder="1" applyAlignment="1" applyProtection="1">
      <alignment horizontal="center" vertical="center" wrapText="1"/>
    </xf>
    <xf numFmtId="0" fontId="44" fillId="0" borderId="16" xfId="0" applyFont="1" applyFill="1" applyBorder="1" applyAlignment="1">
      <alignment horizontal="center" vertical="center"/>
    </xf>
    <xf numFmtId="0" fontId="44" fillId="0" borderId="35" xfId="0" applyFont="1" applyFill="1" applyBorder="1" applyAlignment="1">
      <alignment horizontal="center" vertical="center"/>
    </xf>
    <xf numFmtId="0" fontId="44" fillId="0" borderId="21" xfId="0" applyFont="1" applyFill="1" applyBorder="1" applyAlignment="1">
      <alignment horizontal="center" vertical="center"/>
    </xf>
    <xf numFmtId="0" fontId="45" fillId="0" borderId="22" xfId="1" applyFont="1" applyFill="1" applyBorder="1" applyAlignment="1" applyProtection="1">
      <alignment horizontal="center" vertical="center"/>
    </xf>
    <xf numFmtId="0" fontId="20" fillId="6" borderId="12" xfId="0" applyFont="1" applyFill="1" applyBorder="1" applyAlignment="1">
      <alignment horizontal="left" vertical="center" wrapText="1"/>
    </xf>
    <xf numFmtId="0" fontId="20" fillId="6" borderId="17" xfId="0" applyFont="1" applyFill="1" applyBorder="1" applyAlignment="1">
      <alignment horizontal="left" vertical="center" wrapText="1"/>
    </xf>
    <xf numFmtId="0" fontId="20" fillId="6" borderId="37" xfId="0" applyFont="1" applyFill="1" applyBorder="1" applyAlignment="1">
      <alignment horizontal="left" vertical="center" wrapText="1"/>
    </xf>
    <xf numFmtId="0" fontId="20" fillId="6" borderId="38" xfId="0" applyFont="1" applyFill="1" applyBorder="1" applyAlignment="1">
      <alignment horizontal="left" vertical="center" wrapText="1"/>
    </xf>
    <xf numFmtId="0" fontId="20" fillId="6" borderId="0" xfId="0" applyFont="1" applyFill="1" applyBorder="1" applyAlignment="1">
      <alignment horizontal="left" vertical="center" wrapText="1"/>
    </xf>
    <xf numFmtId="0" fontId="20" fillId="6" borderId="13" xfId="0" applyFont="1" applyFill="1" applyBorder="1" applyAlignment="1">
      <alignment horizontal="left" vertical="center" wrapText="1"/>
    </xf>
    <xf numFmtId="0" fontId="20" fillId="6" borderId="9" xfId="0" applyFont="1" applyFill="1" applyBorder="1" applyAlignment="1">
      <alignment horizontal="left" vertical="center" wrapText="1"/>
    </xf>
    <xf numFmtId="0" fontId="20" fillId="6" borderId="14" xfId="0" applyFont="1" applyFill="1" applyBorder="1" applyAlignment="1">
      <alignment horizontal="left" vertical="center" wrapText="1"/>
    </xf>
    <xf numFmtId="0" fontId="20"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49" fontId="5" fillId="0" borderId="1" xfId="0" applyNumberFormat="1" applyFont="1" applyBorder="1" applyAlignment="1">
      <alignment horizontal="center" vertical="top" wrapText="1"/>
    </xf>
    <xf numFmtId="0" fontId="5" fillId="0" borderId="1" xfId="0" applyFont="1" applyBorder="1" applyAlignment="1">
      <alignment horizontal="center" vertical="top" wrapText="1"/>
    </xf>
    <xf numFmtId="0" fontId="5" fillId="0" borderId="28" xfId="0" applyFont="1" applyBorder="1" applyAlignment="1">
      <alignment horizontal="center" vertical="top" wrapText="1"/>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5" fillId="0" borderId="0" xfId="0" applyFont="1" applyAlignment="1">
      <alignment wrapText="1" shrinkToFit="1"/>
    </xf>
    <xf numFmtId="0" fontId="5" fillId="0" borderId="0" xfId="0" applyFont="1" applyAlignment="1">
      <alignment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49"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0" borderId="28" xfId="0" applyFont="1" applyBorder="1" applyAlignment="1">
      <alignment horizontal="center" vertical="center"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29" xfId="0" applyNumberFormat="1" applyFont="1" applyBorder="1" applyAlignment="1">
      <alignment horizontal="center" vertical="center" wrapText="1"/>
    </xf>
    <xf numFmtId="0" fontId="5" fillId="0" borderId="29" xfId="0" applyFont="1" applyBorder="1" applyAlignment="1">
      <alignment horizontal="center" vertical="center" wrapText="1"/>
    </xf>
    <xf numFmtId="0" fontId="5" fillId="0" borderId="30" xfId="0" applyFont="1" applyBorder="1" applyAlignment="1">
      <alignment horizontal="center" vertical="center" wrapText="1"/>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6"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7" fillId="0" borderId="61" xfId="0" applyNumberFormat="1" applyFont="1" applyFill="1" applyBorder="1" applyAlignment="1">
      <alignment horizontal="center" vertical="center"/>
    </xf>
    <xf numFmtId="0" fontId="47" fillId="0" borderId="62" xfId="0" applyNumberFormat="1" applyFont="1" applyFill="1" applyBorder="1" applyAlignment="1">
      <alignment horizontal="center" vertical="center"/>
    </xf>
    <xf numFmtId="0" fontId="47"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7" fillId="0" borderId="63" xfId="0" applyNumberFormat="1" applyFont="1" applyFill="1" applyBorder="1" applyAlignment="1">
      <alignment horizontal="center" vertical="center" wrapText="1"/>
    </xf>
    <xf numFmtId="14" fontId="47" fillId="0" borderId="64" xfId="0" applyNumberFormat="1" applyFont="1" applyFill="1" applyBorder="1" applyAlignment="1">
      <alignment horizontal="center" vertical="center" wrapText="1"/>
    </xf>
    <xf numFmtId="14" fontId="47"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9" fillId="0" borderId="11" xfId="1" applyFont="1" applyFill="1" applyBorder="1" applyAlignment="1" applyProtection="1">
      <alignment horizontal="center" vertical="center"/>
      <protection locked="0"/>
    </xf>
    <xf numFmtId="0" fontId="20" fillId="0" borderId="36" xfId="0" applyFont="1" applyFill="1" applyBorder="1" applyAlignment="1" applyProtection="1">
      <alignment horizontal="center" vertical="center"/>
      <protection locked="0"/>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4" fillId="0" borderId="1" xfId="0" applyFont="1" applyBorder="1" applyAlignment="1">
      <alignment horizontal="left" vertical="center"/>
    </xf>
    <xf numFmtId="0" fontId="5" fillId="0" borderId="1"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0" fillId="0" borderId="1" xfId="0" applyNumberFormat="1" applyBorder="1" applyAlignment="1">
      <alignment horizontal="center" vertical="center"/>
    </xf>
    <xf numFmtId="0" fontId="0" fillId="0" borderId="16" xfId="0" applyNumberFormat="1" applyBorder="1" applyAlignment="1">
      <alignment horizontal="center" vertical="center"/>
    </xf>
    <xf numFmtId="0" fontId="22" fillId="0" borderId="1" xfId="0" applyFont="1" applyFill="1" applyBorder="1" applyAlignment="1">
      <alignment horizontal="center" vertical="center"/>
    </xf>
    <xf numFmtId="49" fontId="22" fillId="0" borderId="1" xfId="0" applyNumberFormat="1" applyFont="1" applyBorder="1" applyAlignment="1">
      <alignment horizontal="center" vertical="center"/>
    </xf>
    <xf numFmtId="0" fontId="22" fillId="0" borderId="1" xfId="0" applyNumberFormat="1" applyFont="1" applyBorder="1" applyAlignment="1">
      <alignment horizontal="center" vertical="center"/>
    </xf>
    <xf numFmtId="49" fontId="4" fillId="0" borderId="1" xfId="0" applyNumberFormat="1" applyFont="1" applyFill="1" applyBorder="1" applyAlignment="1">
      <alignment horizontal="center" vertical="center"/>
    </xf>
    <xf numFmtId="0" fontId="4"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5" fillId="0" borderId="1" xfId="0" applyNumberFormat="1" applyFont="1" applyBorder="1" applyAlignment="1">
      <alignment horizontal="center" vertical="center"/>
    </xf>
    <xf numFmtId="0" fontId="7" fillId="8" borderId="1" xfId="0" applyFont="1" applyFill="1" applyBorder="1" applyAlignment="1">
      <alignment horizontal="center" vertical="center"/>
    </xf>
    <xf numFmtId="49" fontId="0" fillId="0" borderId="1" xfId="0" applyNumberForma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14" fontId="0" fillId="0" borderId="22" xfId="0" applyNumberFormat="1" applyBorder="1" applyAlignment="1">
      <alignment horizontal="center" vertical="center"/>
    </xf>
    <xf numFmtId="14" fontId="0" fillId="0" borderId="1" xfId="0" applyNumberFormat="1" applyBorder="1" applyAlignment="1">
      <alignment horizontal="center" vertical="center"/>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12" xfId="0" applyBorder="1" applyAlignment="1">
      <alignment horizontal="center" vertical="center"/>
    </xf>
    <xf numFmtId="0" fontId="0" fillId="0" borderId="37"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20" fillId="8" borderId="22" xfId="0" applyFont="1" applyFill="1" applyBorder="1" applyAlignment="1">
      <alignment horizontal="center" vertical="center" textRotation="180" wrapText="1"/>
    </xf>
    <xf numFmtId="0" fontId="20" fillId="8" borderId="71" xfId="0" applyFont="1" applyFill="1" applyBorder="1" applyAlignment="1">
      <alignment horizontal="center" vertical="center" textRotation="180" wrapText="1"/>
    </xf>
    <xf numFmtId="0" fontId="20" fillId="8" borderId="36" xfId="0" applyFont="1" applyFill="1" applyBorder="1" applyAlignment="1">
      <alignment horizontal="center" vertical="center" textRotation="180" wrapText="1"/>
    </xf>
    <xf numFmtId="0" fontId="0" fillId="0" borderId="36" xfId="0" applyBorder="1" applyAlignment="1">
      <alignment horizontal="center" vertical="center"/>
    </xf>
    <xf numFmtId="0" fontId="0" fillId="0" borderId="12"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9" xfId="0" applyBorder="1" applyAlignment="1">
      <alignment horizontal="center" vertical="center"/>
    </xf>
    <xf numFmtId="0" fontId="0" fillId="0" borderId="14" xfId="0"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28" fillId="8" borderId="73" xfId="0" applyFont="1" applyFill="1" applyBorder="1" applyAlignment="1">
      <alignment horizontal="center" vertical="center" textRotation="90" wrapText="1"/>
    </xf>
    <xf numFmtId="0" fontId="28" fillId="8" borderId="53" xfId="0" applyFont="1" applyFill="1" applyBorder="1" applyAlignment="1">
      <alignment horizontal="center" vertical="center" textRotation="90" wrapText="1"/>
    </xf>
    <xf numFmtId="49" fontId="11" fillId="8" borderId="22" xfId="0" applyNumberFormat="1" applyFont="1" applyFill="1" applyBorder="1" applyAlignment="1">
      <alignment horizontal="center" vertical="center"/>
    </xf>
    <xf numFmtId="0" fontId="21"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27" fillId="8" borderId="74" xfId="0" applyFont="1" applyFill="1" applyBorder="1" applyAlignment="1">
      <alignment horizontal="center" vertical="center" textRotation="90" wrapText="1"/>
    </xf>
    <xf numFmtId="0" fontId="27" fillId="8" borderId="75" xfId="0" applyFont="1" applyFill="1" applyBorder="1" applyAlignment="1">
      <alignment horizontal="center" vertical="center" textRotation="90" wrapText="1"/>
    </xf>
    <xf numFmtId="0" fontId="27" fillId="8" borderId="76" xfId="0" applyFont="1" applyFill="1" applyBorder="1" applyAlignment="1">
      <alignment horizontal="center" vertical="center" textRotation="90"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8" fillId="6" borderId="32" xfId="0" applyNumberFormat="1" applyFont="1" applyFill="1" applyBorder="1" applyAlignment="1">
      <alignment horizontal="center" vertical="center"/>
    </xf>
    <xf numFmtId="49" fontId="48" fillId="6" borderId="29" xfId="0" applyNumberFormat="1" applyFont="1" applyFill="1" applyBorder="1" applyAlignment="1">
      <alignment horizontal="center" vertical="center"/>
    </xf>
    <xf numFmtId="0" fontId="0" fillId="0" borderId="13" xfId="0" applyBorder="1" applyAlignment="1">
      <alignment horizontal="center" vertical="center"/>
    </xf>
    <xf numFmtId="0" fontId="0" fillId="0" borderId="11" xfId="0"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5" fillId="0" borderId="16" xfId="0" applyFont="1" applyBorder="1" applyAlignment="1">
      <alignment horizontal="center" vertical="center"/>
    </xf>
    <xf numFmtId="0" fontId="5" fillId="0" borderId="35" xfId="0" applyFont="1" applyBorder="1" applyAlignment="1">
      <alignment horizontal="center" vertical="center"/>
    </xf>
    <xf numFmtId="0" fontId="5"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3" fillId="0" borderId="9" xfId="0" applyFont="1" applyBorder="1" applyAlignment="1">
      <alignment horizontal="center" vertical="center" wrapText="1"/>
    </xf>
    <xf numFmtId="0" fontId="24" fillId="0" borderId="14" xfId="0" applyFont="1" applyBorder="1" applyAlignment="1">
      <alignment horizontal="center" vertical="center" wrapText="1"/>
    </xf>
    <xf numFmtId="168" fontId="49" fillId="0" borderId="14" xfId="0" applyNumberFormat="1" applyFont="1" applyBorder="1" applyAlignment="1">
      <alignment horizontal="center" vertical="center" wrapText="1"/>
    </xf>
    <xf numFmtId="168" fontId="49" fillId="0" borderId="11" xfId="0" applyNumberFormat="1" applyFont="1" applyBorder="1" applyAlignment="1">
      <alignment horizontal="center" vertical="center" wrapText="1"/>
    </xf>
    <xf numFmtId="0" fontId="5" fillId="0" borderId="0" xfId="0" applyFont="1" applyAlignment="1">
      <alignment horizontal="center" vertical="center" wrapText="1"/>
    </xf>
    <xf numFmtId="0" fontId="0" fillId="0" borderId="0" xfId="0" applyAlignment="1">
      <alignment horizontal="center" vertical="center"/>
    </xf>
    <xf numFmtId="0" fontId="30" fillId="0" borderId="0" xfId="0" applyFont="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0" fillId="0" borderId="0" xfId="0" applyAlignment="1">
      <alignment horizontal="left" vertical="center"/>
    </xf>
    <xf numFmtId="0" fontId="32" fillId="0" borderId="0" xfId="0" applyFont="1" applyAlignment="1">
      <alignment horizontal="left" vertical="center"/>
    </xf>
    <xf numFmtId="0" fontId="50" fillId="13" borderId="1" xfId="0" applyFont="1" applyFill="1" applyBorder="1" applyAlignment="1">
      <alignment horizontal="center" vertical="center" wrapText="1"/>
    </xf>
    <xf numFmtId="0" fontId="51" fillId="8" borderId="1" xfId="0" applyFont="1" applyFill="1" applyBorder="1" applyAlignment="1">
      <alignment horizontal="left" vertical="center" wrapText="1"/>
    </xf>
    <xf numFmtId="0" fontId="52" fillId="0" borderId="1" xfId="0" applyFont="1" applyBorder="1" applyAlignment="1">
      <alignment horizontal="center" vertical="center" wrapText="1"/>
    </xf>
    <xf numFmtId="14" fontId="52" fillId="0" borderId="1" xfId="0" applyNumberFormat="1" applyFont="1" applyBorder="1" applyAlignment="1">
      <alignment horizontal="center" vertical="center" wrapText="1"/>
    </xf>
    <xf numFmtId="0" fontId="51" fillId="8" borderId="16" xfId="0" applyFont="1" applyFill="1" applyBorder="1" applyAlignment="1">
      <alignment horizontal="left" vertical="center"/>
    </xf>
    <xf numFmtId="0" fontId="51" fillId="8" borderId="35" xfId="0" applyFont="1" applyFill="1" applyBorder="1" applyAlignment="1">
      <alignment horizontal="left" vertical="center"/>
    </xf>
    <xf numFmtId="0" fontId="51" fillId="8" borderId="21" xfId="0" applyFont="1" applyFill="1" applyBorder="1" applyAlignment="1">
      <alignment horizontal="left" vertical="center"/>
    </xf>
    <xf numFmtId="0" fontId="53" fillId="0" borderId="1" xfId="0" applyFont="1" applyBorder="1" applyAlignment="1">
      <alignment horizontal="center" vertical="center"/>
    </xf>
    <xf numFmtId="0" fontId="51" fillId="0" borderId="1" xfId="0" applyFont="1" applyBorder="1" applyAlignment="1">
      <alignment horizontal="center" vertical="center" wrapText="1"/>
    </xf>
    <xf numFmtId="0" fontId="54" fillId="8" borderId="1" xfId="0" applyFont="1" applyFill="1" applyBorder="1" applyAlignment="1">
      <alignment horizontal="center" vertical="center" wrapText="1"/>
    </xf>
    <xf numFmtId="0" fontId="54" fillId="8" borderId="1" xfId="0" applyFont="1" applyFill="1" applyBorder="1" applyAlignment="1">
      <alignment horizontal="center" vertical="center"/>
    </xf>
    <xf numFmtId="0" fontId="52" fillId="0" borderId="1" xfId="0" applyFont="1" applyBorder="1" applyAlignment="1">
      <alignment horizontal="center" vertical="center"/>
    </xf>
  </cellXfs>
  <cellStyles count="3">
    <cellStyle name="Hipervínculo" xfId="1" builtinId="8"/>
    <cellStyle name="Normal" xfId="0" builtinId="0"/>
    <cellStyle name="Normal 2" xfId="2"/>
  </cellStyles>
  <dxfs count="6">
    <dxf>
      <font>
        <condense val="0"/>
        <extend val="0"/>
        <color auto="1"/>
      </font>
      <fill>
        <patternFill>
          <bgColor indexed="10"/>
        </patternFill>
      </fill>
    </dxf>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Información!$I$11:$AM$11</c:f>
              <c:numCache>
                <c:formatCode>0</c:formatCode>
                <c:ptCount val="31"/>
              </c:numCache>
            </c:numRef>
          </c:val>
        </c:ser>
        <c:ser>
          <c:idx val="1"/>
          <c:order val="1"/>
          <c:tx>
            <c:v>piezas NOK</c:v>
          </c:tx>
          <c:spPr>
            <a:solidFill>
              <a:srgbClr val="FF0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Información!$I$12:$AM$12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2"/>
          <c:order val="2"/>
          <c:tx>
            <c:v>piezas RECUPERADAS</c:v>
          </c:tx>
          <c:spPr>
            <a:solidFill>
              <a:srgbClr val="FFC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Información!$I$15:$AM$15</c:f>
              <c:numCache>
                <c:formatCode>0</c:formatCode>
                <c:ptCount val="31"/>
              </c:numCache>
            </c:numRef>
          </c:val>
        </c:ser>
        <c:dLbls>
          <c:showLegendKey val="0"/>
          <c:showVal val="0"/>
          <c:showCatName val="0"/>
          <c:showSerName val="0"/>
          <c:showPercent val="0"/>
          <c:showBubbleSize val="0"/>
        </c:dLbls>
        <c:gapWidth val="150"/>
        <c:axId val="96544256"/>
        <c:axId val="96545792"/>
      </c:barChart>
      <c:dateAx>
        <c:axId val="96544256"/>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96545792"/>
        <c:crosses val="autoZero"/>
        <c:auto val="1"/>
        <c:lblOffset val="100"/>
        <c:baseTimeUnit val="days"/>
        <c:majorUnit val="2"/>
        <c:minorUnit val="1"/>
      </c:dateAx>
      <c:valAx>
        <c:axId val="96545792"/>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96544256"/>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no"?>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s>

</file>

<file path=xl/drawings/_rels/drawing2.xml.rels><?xml version="1.0" encoding="UTF-8" standalone="no"?>
<Relationships xmlns="http://schemas.openxmlformats.org/package/2006/relationships">
<Relationship Id="rId1" Target="../media/image2.jpeg" Type="http://schemas.openxmlformats.org/officeDocument/2006/relationships/image"/>
</Relationships>

</file>

<file path=xl/drawings/_rels/drawing3.xml.rels><?xml version="1.0" encoding="UTF-8" standalone="no"?>
<Relationships xmlns="http://schemas.openxmlformats.org/package/2006/relationships">
<Relationship Id="rId1" Target="../media/image3.jpeg" Type="http://schemas.openxmlformats.org/officeDocument/2006/relationships/image"/>
<Relationship Id="rId2" Target="../media/image4.jpeg" Type="http://schemas.openxmlformats.org/officeDocument/2006/relationships/image"/>
<Relationship Id="rId3" Target="../media/image2.jpeg" Type="http://schemas.openxmlformats.org/officeDocument/2006/relationships/image"/>
</Relationships>

</file>

<file path=xl/drawings/_rels/drawing4.xml.rels><?xml version="1.0" encoding="UTF-8" standalone="no"?>
<Relationships xmlns="http://schemas.openxmlformats.org/package/2006/relationships">
<Relationship Id="rId1" Target="../media/image5.jpeg" Type="http://schemas.openxmlformats.org/officeDocument/2006/relationships/image"/>
</Relationships>

</file>

<file path=xl/drawings/_rels/drawing5.xml.rels><?xml version="1.0" encoding="UTF-8" standalone="no"?>
<Relationships xmlns="http://schemas.openxmlformats.org/package/2006/relationships">
<Relationship Id="rId1" Target="../charts/chart1.xml" Type="http://schemas.openxmlformats.org/officeDocument/2006/relationships/chart"/>
<Relationship Id="rId2" Target="../media/image2.jpeg" Type="http://schemas.openxmlformats.org/officeDocument/2006/relationships/image"/>
</Relationships>

</file>

<file path=xl/drawings/_rels/drawing6.xml.rels><?xml version="1.0" encoding="UTF-8" standalone="no"?>
<Relationships xmlns="http://schemas.openxmlformats.org/package/2006/relationships">
<Relationship Id="rId1" Target="../media/image2.jpeg" Type="http://schemas.openxmlformats.org/officeDocument/2006/relationships/image"/>
</Relationships>

</file>

<file path=xl/drawings/_rels/drawing7.xml.rels><?xml version="1.0" encoding="UTF-8" standalone="no"?>
<Relationships xmlns="http://schemas.openxmlformats.org/package/2006/relationships">
<Relationship Id="rId1" Target="../media/image6.jpeg" Type="http://schemas.openxmlformats.org/officeDocument/2006/relationships/image"/>
</Relationships>

</file>

<file path=xl/drawings/_rels/drawing8.xml.rels><?xml version="1.0" encoding="UTF-8" standalone="no"?>
<Relationships xmlns="http://schemas.openxmlformats.org/package/2006/relationships">
<Relationship Id="rId1" Target="../media/image7.jpeg" Type="http://schemas.openxmlformats.org/officeDocument/2006/relationships/image"/>
</Relationships>

</file>

<file path=xl/drawings/_rels/drawing9.xml.rels><?xml version="1.0" encoding="UTF-8" standalone="no"?>
<Relationships xmlns="http://schemas.openxmlformats.org/package/2006/relationships">
<Relationship Id="rId1" Target="../media/image8.jpeg" Type="http://schemas.openxmlformats.org/officeDocument/2006/relationships/image"/>
<Relationship Id="rId2" Target="../media/image9.jpe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42</xdr:row>
      <xdr:rowOff>123825</xdr:rowOff>
    </xdr:from>
    <xdr:to>
      <xdr:col>2</xdr:col>
      <xdr:colOff>342900</xdr:colOff>
      <xdr:row>49</xdr:row>
      <xdr:rowOff>152400</xdr:rowOff>
    </xdr:to>
    <xdr:pic>
      <xdr:nvPicPr>
        <xdr:cNvPr id="744592"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381000" y="8572500"/>
          <a:ext cx="204787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447675</xdr:colOff>
      <xdr:row>43</xdr:row>
      <xdr:rowOff>19050</xdr:rowOff>
    </xdr:from>
    <xdr:to>
      <xdr:col>3</xdr:col>
      <xdr:colOff>85725</xdr:colOff>
      <xdr:row>50</xdr:row>
      <xdr:rowOff>47625</xdr:rowOff>
    </xdr:to>
    <xdr:pic>
      <xdr:nvPicPr>
        <xdr:cNvPr id="74459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47675" y="8629650"/>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114300</xdr:colOff>
      <xdr:row>0</xdr:row>
      <xdr:rowOff>19050</xdr:rowOff>
    </xdr:from>
    <xdr:to>
      <xdr:col>0</xdr:col>
      <xdr:colOff>1428750</xdr:colOff>
      <xdr:row>0</xdr:row>
      <xdr:rowOff>800100</xdr:rowOff>
    </xdr:to>
    <xdr:pic>
      <xdr:nvPicPr>
        <xdr:cNvPr id="744594" name="1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190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95250</xdr:colOff>
      <xdr:row>0</xdr:row>
      <xdr:rowOff>66675</xdr:rowOff>
    </xdr:from>
    <xdr:to>
      <xdr:col>0</xdr:col>
      <xdr:colOff>1409700</xdr:colOff>
      <xdr:row>0</xdr:row>
      <xdr:rowOff>847725</xdr:rowOff>
    </xdr:to>
    <xdr:pic>
      <xdr:nvPicPr>
        <xdr:cNvPr id="731775" name="10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3" name="2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 name="3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 name="4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 name="5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 name="6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 name="7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 name="8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 name="9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 name="10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 name="11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3" name="12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4" name="13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5" name="14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6" name="15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7" name="16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8" name="17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9" name="18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0" name="19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1" name="20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22" name="21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23" name="22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24" name="23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25" name="24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26" name="25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27" name="26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8" name="27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9" name="28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0" name="29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31" name="30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32" name="31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33" name="32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34" name="33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36" name="35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37" name="36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38" name="37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9" name="38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0" name="39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1" name="40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42" name="41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43" name="42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44" name="43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5" name="44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46" name="45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47" name="46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8" name="47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9" name="48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0" name="49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1" name="50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52" name="51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53" name="52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4" name="53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55" name="54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56" name="55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57" name="56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8" name="57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9" name="58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60" name="59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1" name="60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2" name="61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3" name="62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64" name="63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65" name="64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66" name="65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67" name="66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5</xdr:col>
      <xdr:colOff>704850</xdr:colOff>
      <xdr:row>31</xdr:row>
      <xdr:rowOff>85725</xdr:rowOff>
    </xdr:from>
    <xdr:to>
      <xdr:col>6</xdr:col>
      <xdr:colOff>800100</xdr:colOff>
      <xdr:row>33</xdr:row>
      <xdr:rowOff>390525</xdr:rowOff>
    </xdr:to>
    <xdr:pic>
      <xdr:nvPicPr>
        <xdr:cNvPr id="799658"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5054" t="9671" r="14072" b="14764"/>
        <a:stretch>
          <a:fillRect/>
        </a:stretch>
      </xdr:blipFill>
      <xdr:spPr bwMode="auto">
        <a:xfrm>
          <a:off x="4724400" y="9448800"/>
          <a:ext cx="857250" cy="121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619125</xdr:colOff>
      <xdr:row>31</xdr:row>
      <xdr:rowOff>47625</xdr:rowOff>
    </xdr:from>
    <xdr:to>
      <xdr:col>4</xdr:col>
      <xdr:colOff>695325</xdr:colOff>
      <xdr:row>33</xdr:row>
      <xdr:rowOff>400050</xdr:rowOff>
    </xdr:to>
    <xdr:pic>
      <xdr:nvPicPr>
        <xdr:cNvPr id="799659" name="34 Imagen"/>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13841" t="3027" r="13898" b="15155"/>
        <a:stretch>
          <a:fillRect/>
        </a:stretch>
      </xdr:blipFill>
      <xdr:spPr bwMode="auto">
        <a:xfrm>
          <a:off x="3114675" y="9410700"/>
          <a:ext cx="8382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114300</xdr:colOff>
      <xdr:row>0</xdr:row>
      <xdr:rowOff>95250</xdr:rowOff>
    </xdr:from>
    <xdr:to>
      <xdr:col>1</xdr:col>
      <xdr:colOff>1428750</xdr:colOff>
      <xdr:row>0</xdr:row>
      <xdr:rowOff>876300</xdr:rowOff>
    </xdr:to>
    <xdr:pic>
      <xdr:nvPicPr>
        <xdr:cNvPr id="799660" name="69 Imagen"/>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304800</xdr:colOff>
      <xdr:row>0</xdr:row>
      <xdr:rowOff>28575</xdr:rowOff>
    </xdr:from>
    <xdr:to>
      <xdr:col>7</xdr:col>
      <xdr:colOff>257175</xdr:colOff>
      <xdr:row>0</xdr:row>
      <xdr:rowOff>2238375</xdr:rowOff>
    </xdr:to>
    <xdr:pic>
      <xdr:nvPicPr>
        <xdr:cNvPr id="799766" name="5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24075" y="28575"/>
          <a:ext cx="3752850" cy="2209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152400</xdr:colOff>
      <xdr:row>0</xdr:row>
      <xdr:rowOff>142875</xdr:rowOff>
    </xdr:from>
    <xdr:to>
      <xdr:col>1</xdr:col>
      <xdr:colOff>704850</xdr:colOff>
      <xdr:row>0</xdr:row>
      <xdr:rowOff>923925</xdr:rowOff>
    </xdr:to>
    <xdr:pic>
      <xdr:nvPicPr>
        <xdr:cNvPr id="711853" name="3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1428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161925</xdr:colOff>
      <xdr:row>0</xdr:row>
      <xdr:rowOff>47625</xdr:rowOff>
    </xdr:from>
    <xdr:to>
      <xdr:col>1</xdr:col>
      <xdr:colOff>714375</xdr:colOff>
      <xdr:row>0</xdr:row>
      <xdr:rowOff>828675</xdr:rowOff>
    </xdr:to>
    <xdr:pic>
      <xdr:nvPicPr>
        <xdr:cNvPr id="789524" name="2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4762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104775</xdr:colOff>
      <xdr:row>0</xdr:row>
      <xdr:rowOff>0</xdr:rowOff>
    </xdr:from>
    <xdr:to>
      <xdr:col>2</xdr:col>
      <xdr:colOff>133350</xdr:colOff>
      <xdr:row>0</xdr:row>
      <xdr:rowOff>762000</xdr:rowOff>
    </xdr:to>
    <xdr:pic>
      <xdr:nvPicPr>
        <xdr:cNvPr id="713836" name="4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0"/>
          <a:ext cx="127635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1504950</xdr:colOff>
      <xdr:row>0</xdr:row>
      <xdr:rowOff>885825</xdr:rowOff>
    </xdr:to>
    <xdr:pic>
      <xdr:nvPicPr>
        <xdr:cNvPr id="797710" name="3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38100"/>
          <a:ext cx="146685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161925</xdr:colOff>
      <xdr:row>0</xdr:row>
      <xdr:rowOff>57150</xdr:rowOff>
    </xdr:from>
    <xdr:to>
      <xdr:col>2</xdr:col>
      <xdr:colOff>304800</xdr:colOff>
      <xdr:row>1</xdr:row>
      <xdr:rowOff>428625</xdr:rowOff>
    </xdr:to>
    <xdr:pic>
      <xdr:nvPicPr>
        <xdr:cNvPr id="814081" name="1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57150"/>
          <a:ext cx="1390650"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381000</xdr:colOff>
      <xdr:row>0</xdr:row>
      <xdr:rowOff>171450</xdr:rowOff>
    </xdr:from>
    <xdr:to>
      <xdr:col>4</xdr:col>
      <xdr:colOff>295275</xdr:colOff>
      <xdr:row>1</xdr:row>
      <xdr:rowOff>285750</xdr:rowOff>
    </xdr:to>
    <xdr:pic>
      <xdr:nvPicPr>
        <xdr:cNvPr id="814082"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57400" y="171450"/>
          <a:ext cx="5905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http://www.mercedes-benz.com/" TargetMode="External" Type="http://schemas.openxmlformats.org/officeDocument/2006/relationships/hyperlink"/>
<Relationship Id="rId2" Target="../printerSettings/printerSettings1.bin" Type="http://schemas.openxmlformats.org/officeDocument/2006/relationships/printerSettings"/>
<Relationship Id="rId3" Target="../drawings/drawing1.xml" Type="http://schemas.openxmlformats.org/officeDocument/2006/relationships/drawing"/>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3.xml" Type="http://schemas.openxmlformats.org/officeDocument/2006/relationships/drawing"/>
<Relationship Id="rId3" Target="../drawings/vmlDrawing1.vml" Type="http://schemas.openxmlformats.org/officeDocument/2006/relationships/vmlDrawing"/>
<Relationship Id="rId4" Target="../comments1.xml" Type="http://schemas.openxmlformats.org/officeDocument/2006/relationships/comment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 Id="rId2" Target="../drawings/drawing4.xml" Type="http://schemas.openxmlformats.org/officeDocument/2006/relationships/drawing"/>
</Relationships>

</file>

<file path=xl/worksheets/_rels/sheet5.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drawings/drawing5.xml" Type="http://schemas.openxmlformats.org/officeDocument/2006/relationships/drawing"/>
</Relationships>

</file>

<file path=xl/worksheets/_rels/sheet6.xml.rels><?xml version="1.0" encoding="UTF-8" standalone="no"?>
<Relationships xmlns="http://schemas.openxmlformats.org/package/2006/relationships">
<Relationship Id="rId1" Target="../printerSettings/printerSettings6.bin" Type="http://schemas.openxmlformats.org/officeDocument/2006/relationships/printerSettings"/>
<Relationship Id="rId2" Target="../drawings/drawing6.xml" Type="http://schemas.openxmlformats.org/officeDocument/2006/relationships/drawing"/>
</Relationships>

</file>

<file path=xl/worksheets/_rels/sheet7.xml.rels><?xml version="1.0" encoding="UTF-8" standalone="no"?>
<Relationships xmlns="http://schemas.openxmlformats.org/package/2006/relationships">
<Relationship Id="rId1" Target="../printerSettings/printerSettings7.bin" Type="http://schemas.openxmlformats.org/officeDocument/2006/relationships/printerSettings"/>
<Relationship Id="rId2" Target="../drawings/drawing7.xml" Type="http://schemas.openxmlformats.org/officeDocument/2006/relationships/drawing"/>
</Relationships>

</file>

<file path=xl/worksheets/_rels/sheet8.xml.rels><?xml version="1.0" encoding="UTF-8" standalone="no"?>
<Relationships xmlns="http://schemas.openxmlformats.org/package/2006/relationships">
<Relationship Id="rId1" Target="../printerSettings/printerSettings8.bin" Type="http://schemas.openxmlformats.org/officeDocument/2006/relationships/printerSettings"/>
<Relationship Id="rId2" Target="../drawings/drawing8.xml" Type="http://schemas.openxmlformats.org/officeDocument/2006/relationships/drawing"/>
</Relationships>

</file>

<file path=xl/worksheets/_rels/sheet9.xml.rels><?xml version="1.0" encoding="UTF-8" standalone="no"?>
<Relationships xmlns="http://schemas.openxmlformats.org/package/2006/relationships">
<Relationship Id="rId1" Target="../drawings/drawing9.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62"/>
  <sheetViews>
    <sheetView zoomScaleNormal="100" workbookViewId="0">
      <selection activeCell="G54" sqref="G54:I54"/>
    </sheetView>
  </sheetViews>
  <sheetFormatPr baseColWidth="10" defaultRowHeight="12.75" x14ac:dyDescent="0.2"/>
  <cols>
    <col min="1" max="1" customWidth="true" style="54" width="23.85546875" collapsed="true"/>
    <col min="2" max="8" customWidth="true" style="54" width="7.42578125" collapsed="true"/>
    <col min="9" max="9" customWidth="true" style="54" width="11.5703125" collapsed="true"/>
    <col min="10" max="16384" style="54" width="11.42578125" collapsed="true"/>
  </cols>
  <sheetData>
    <row r="1" spans="1:11" ht="63.75" customHeight="1" x14ac:dyDescent="0.2">
      <c r="A1" s="53"/>
      <c r="B1" s="147" t="s">
        <v>86</v>
      </c>
      <c r="C1" s="147"/>
      <c r="D1" s="147"/>
      <c r="E1" s="147"/>
      <c r="F1" s="147"/>
      <c r="G1" s="147"/>
      <c r="H1" s="148" t="s">
        <v>100</v>
      </c>
      <c r="I1" s="148"/>
    </row>
    <row r="2" spans="1:11" x14ac:dyDescent="0.2">
      <c r="A2" s="149" t="s">
        <v>85</v>
      </c>
      <c r="B2" s="149"/>
      <c r="C2" s="149"/>
      <c r="D2" s="149"/>
      <c r="E2" s="149"/>
      <c r="F2" s="149"/>
      <c r="G2" s="149"/>
      <c r="H2" s="149"/>
      <c r="I2" s="149"/>
    </row>
    <row r="3" spans="1:11" ht="14.25" x14ac:dyDescent="0.2">
      <c r="A3" s="8" t="s">
        <v>14</v>
      </c>
      <c r="B3" s="150" t="str">
        <f>'Orden de Pedido'!B12</f>
        <v>personaRecomendador</v>
      </c>
      <c r="C3" s="151"/>
      <c r="D3" s="151"/>
      <c r="E3" s="151"/>
      <c r="F3" s="151"/>
      <c r="G3" s="151"/>
      <c r="H3" s="151"/>
      <c r="I3" s="152"/>
    </row>
    <row r="4" spans="1:11" x14ac:dyDescent="0.2">
      <c r="A4" s="8" t="s">
        <v>15</v>
      </c>
      <c r="B4" s="153" t="str">
        <f>'Orden de Pedido'!B13</f>
        <v>departamentoRecomendador</v>
      </c>
      <c r="C4" s="154"/>
      <c r="D4" s="154"/>
      <c r="E4" s="154"/>
      <c r="F4" s="154"/>
      <c r="G4" s="154"/>
      <c r="H4" s="154"/>
      <c r="I4" s="155"/>
    </row>
    <row r="5" spans="1:11" x14ac:dyDescent="0.2">
      <c r="A5" s="8" t="s">
        <v>16</v>
      </c>
      <c r="B5" s="156" t="str">
        <f>'Orden de Pedido'!B14</f>
        <v>telefonoRecomendador</v>
      </c>
      <c r="C5" s="157"/>
      <c r="D5" s="157"/>
      <c r="E5" s="157"/>
      <c r="F5" s="157"/>
      <c r="G5" s="157"/>
      <c r="H5" s="157"/>
      <c r="I5" s="157"/>
    </row>
    <row r="6" spans="1:11" x14ac:dyDescent="0.2">
      <c r="A6" s="8" t="s">
        <v>17</v>
      </c>
      <c r="B6" s="158" t="str">
        <f>'Orden de Pedido'!B15:H15</f>
        <v>emailRecomendador</v>
      </c>
      <c r="C6" s="159"/>
      <c r="D6" s="159"/>
      <c r="E6" s="159"/>
      <c r="F6" s="159"/>
      <c r="G6" s="159"/>
      <c r="H6" s="159"/>
      <c r="I6" s="159"/>
    </row>
    <row r="7" spans="1:11" x14ac:dyDescent="0.2">
      <c r="A7" s="43" t="s">
        <v>18</v>
      </c>
      <c r="B7" s="160" t="n">
        <f>'Orden de Pedido'!B16:H16</f>
        <v>42099.875159131945</v>
      </c>
      <c r="C7" s="161"/>
      <c r="D7" s="161"/>
      <c r="E7" s="161"/>
      <c r="F7" s="161"/>
      <c r="G7" s="161"/>
      <c r="H7" s="161"/>
      <c r="I7" s="161"/>
      <c r="K7" s="55"/>
    </row>
    <row r="8" spans="1:11" x14ac:dyDescent="0.2">
      <c r="A8" s="149" t="s">
        <v>19</v>
      </c>
      <c r="B8" s="149"/>
      <c r="C8" s="149"/>
      <c r="D8" s="149"/>
      <c r="E8" s="149"/>
      <c r="F8" s="149"/>
      <c r="G8" s="149"/>
      <c r="H8" s="149"/>
      <c r="I8" s="149"/>
      <c r="K8" s="55"/>
    </row>
    <row r="9" spans="1:11" ht="14.25" x14ac:dyDescent="0.2">
      <c r="A9" s="8" t="s">
        <v>14</v>
      </c>
      <c r="B9" s="162" t="str">
        <f>'Orden de Pedido'!G18</f>
        <v>getPersonaDeContactoCliente</v>
      </c>
      <c r="C9" s="157"/>
      <c r="D9" s="157"/>
      <c r="E9" s="157"/>
      <c r="F9" s="157"/>
      <c r="G9" s="157"/>
      <c r="H9" s="157"/>
      <c r="I9" s="157"/>
    </row>
    <row r="10" spans="1:11" x14ac:dyDescent="0.2">
      <c r="A10" s="8" t="s">
        <v>15</v>
      </c>
      <c r="B10" s="153" t="str">
        <f>'Orden de Pedido'!G19</f>
        <v>getDepartamentoCliente</v>
      </c>
      <c r="C10" s="154"/>
      <c r="D10" s="154"/>
      <c r="E10" s="154"/>
      <c r="F10" s="154"/>
      <c r="G10" s="154"/>
      <c r="H10" s="154"/>
      <c r="I10" s="155"/>
    </row>
    <row r="11" spans="1:11" x14ac:dyDescent="0.2">
      <c r="A11" s="8" t="s">
        <v>16</v>
      </c>
      <c r="B11" s="156" t="str">
        <f>'Orden de Pedido'!G20</f>
        <v>getTelefonoCliente</v>
      </c>
      <c r="C11" s="157"/>
      <c r="D11" s="157"/>
      <c r="E11" s="157"/>
      <c r="F11" s="157"/>
      <c r="G11" s="157"/>
      <c r="H11" s="157"/>
      <c r="I11" s="157"/>
    </row>
    <row r="12" spans="1:11" x14ac:dyDescent="0.2">
      <c r="A12" s="8" t="s">
        <v>17</v>
      </c>
      <c r="B12" s="158" t="str">
        <f>'Orden de Pedido'!G21</f>
        <v>getEmailCliente</v>
      </c>
      <c r="C12" s="164"/>
      <c r="D12" s="164"/>
      <c r="E12" s="164"/>
      <c r="F12" s="164"/>
      <c r="G12" s="164"/>
      <c r="H12" s="164"/>
      <c r="I12" s="164"/>
    </row>
    <row r="13" spans="1:11" x14ac:dyDescent="0.2">
      <c r="A13" s="165" t="s">
        <v>20</v>
      </c>
      <c r="B13" s="165"/>
      <c r="C13" s="165"/>
      <c r="D13" s="165"/>
      <c r="E13" s="165"/>
      <c r="F13" s="165"/>
      <c r="G13" s="165"/>
      <c r="H13" s="165"/>
      <c r="I13" s="165"/>
    </row>
    <row r="14" spans="1:11" ht="50.25" customHeight="1" x14ac:dyDescent="0.2">
      <c r="A14" s="166" t="str">
        <f>'Orden de Pedido'!$A$28</f>
        <v>descripcionInstruccionDelServicio</v>
      </c>
      <c r="B14" s="167"/>
      <c r="C14" s="167"/>
      <c r="D14" s="167"/>
      <c r="E14" s="167"/>
      <c r="F14" s="167"/>
      <c r="G14" s="167"/>
      <c r="H14" s="167"/>
      <c r="I14" s="167"/>
    </row>
    <row r="15" spans="1:11" x14ac:dyDescent="0.2">
      <c r="A15" s="168" t="s">
        <v>21</v>
      </c>
      <c r="B15" s="168"/>
      <c r="C15" s="168"/>
      <c r="D15" s="168"/>
      <c r="E15" s="168"/>
      <c r="F15" s="168"/>
      <c r="G15" s="168"/>
      <c r="H15" s="168"/>
      <c r="I15" s="168"/>
    </row>
    <row r="16" spans="1:11" x14ac:dyDescent="0.2">
      <c r="A16" s="8" t="s">
        <v>22</v>
      </c>
      <c r="B16" s="169" t="s">
        <v>144</v>
      </c>
      <c r="C16" s="169"/>
      <c r="D16" s="169"/>
      <c r="E16" s="169"/>
      <c r="F16" s="169"/>
      <c r="G16" s="169"/>
      <c r="H16" s="169"/>
      <c r="I16" s="169"/>
    </row>
    <row r="17" spans="1:9" x14ac:dyDescent="0.2">
      <c r="A17" s="8" t="s">
        <v>23</v>
      </c>
      <c r="B17" s="169" t="s">
        <v>145</v>
      </c>
      <c r="C17" s="169"/>
      <c r="D17" s="169"/>
      <c r="E17" s="169"/>
      <c r="F17" s="169"/>
      <c r="G17" s="169"/>
      <c r="H17" s="169"/>
      <c r="I17" s="169"/>
    </row>
    <row r="18" spans="1:9" x14ac:dyDescent="0.2">
      <c r="A18" s="8" t="s">
        <v>24</v>
      </c>
      <c r="B18" s="169" t="s">
        <v>146</v>
      </c>
      <c r="C18" s="169"/>
      <c r="D18" s="169"/>
      <c r="E18" s="169"/>
      <c r="F18" s="169"/>
      <c r="G18" s="169"/>
      <c r="H18" s="169"/>
      <c r="I18" s="169"/>
    </row>
    <row r="19" spans="1:9" x14ac:dyDescent="0.2">
      <c r="A19" s="8" t="s">
        <v>25</v>
      </c>
      <c r="B19" s="177" t="s">
        <v>147</v>
      </c>
      <c r="C19" s="178"/>
      <c r="D19" s="178"/>
      <c r="E19" s="178"/>
      <c r="F19" s="178"/>
      <c r="G19" s="178"/>
      <c r="H19" s="178"/>
      <c r="I19" s="178"/>
    </row>
    <row r="20" spans="1:9" x14ac:dyDescent="0.2">
      <c r="A20" s="8" t="s">
        <v>14</v>
      </c>
      <c r="B20" s="169" t="s">
        <v>148</v>
      </c>
      <c r="C20" s="169"/>
      <c r="D20" s="169"/>
      <c r="E20" s="169"/>
      <c r="F20" s="169"/>
      <c r="G20" s="169"/>
      <c r="H20" s="169"/>
      <c r="I20" s="169"/>
    </row>
    <row r="21" spans="1:9" x14ac:dyDescent="0.2">
      <c r="A21" s="8" t="s">
        <v>15</v>
      </c>
      <c r="B21" s="169" t="s">
        <v>149</v>
      </c>
      <c r="C21" s="169"/>
      <c r="D21" s="169"/>
      <c r="E21" s="169"/>
      <c r="F21" s="169"/>
      <c r="G21" s="169"/>
      <c r="H21" s="169"/>
      <c r="I21" s="169"/>
    </row>
    <row r="22" spans="1:9" x14ac:dyDescent="0.2">
      <c r="A22" s="41" t="s">
        <v>16</v>
      </c>
      <c r="B22" s="169"/>
      <c r="C22" s="169"/>
      <c r="D22" s="169"/>
      <c r="E22" s="169"/>
      <c r="F22" s="169"/>
      <c r="G22" s="169"/>
      <c r="H22" s="169"/>
      <c r="I22" s="169"/>
    </row>
    <row r="23" spans="1:9" x14ac:dyDescent="0.2">
      <c r="A23" s="41" t="s">
        <v>17</v>
      </c>
      <c r="B23" s="163"/>
      <c r="C23" s="163"/>
      <c r="D23" s="163"/>
      <c r="E23" s="163"/>
      <c r="F23" s="163"/>
      <c r="G23" s="163"/>
      <c r="H23" s="163"/>
      <c r="I23" s="163"/>
    </row>
    <row r="24" spans="1:9" x14ac:dyDescent="0.2">
      <c r="A24" s="8" t="s">
        <v>26</v>
      </c>
      <c r="B24" s="170"/>
      <c r="C24" s="170"/>
      <c r="D24" s="170"/>
      <c r="E24" s="170"/>
      <c r="F24" s="170"/>
      <c r="G24" s="170"/>
      <c r="H24" s="170"/>
      <c r="I24" s="170"/>
    </row>
    <row r="25" spans="1:9" x14ac:dyDescent="0.2">
      <c r="A25" s="8" t="s">
        <v>27</v>
      </c>
      <c r="B25" s="171"/>
      <c r="C25" s="172"/>
      <c r="D25" s="172"/>
      <c r="E25" s="172"/>
      <c r="F25" s="172"/>
      <c r="G25" s="172"/>
      <c r="H25" s="172"/>
      <c r="I25" s="173"/>
    </row>
    <row r="26" spans="1:9" x14ac:dyDescent="0.2">
      <c r="A26" s="41" t="s">
        <v>28</v>
      </c>
      <c r="B26" s="163"/>
      <c r="C26" s="163"/>
      <c r="D26" s="163"/>
      <c r="E26" s="163"/>
      <c r="F26" s="163"/>
      <c r="G26" s="163"/>
      <c r="H26" s="163"/>
      <c r="I26" s="163"/>
    </row>
    <row r="27" spans="1:9" x14ac:dyDescent="0.2">
      <c r="A27" s="41" t="s">
        <v>29</v>
      </c>
      <c r="B27" s="169"/>
      <c r="C27" s="169"/>
      <c r="D27" s="169"/>
      <c r="E27" s="169"/>
      <c r="F27" s="169"/>
      <c r="G27" s="169"/>
      <c r="H27" s="169"/>
      <c r="I27" s="169"/>
    </row>
    <row r="28" spans="1:9" ht="36.75" customHeight="1" x14ac:dyDescent="0.2">
      <c r="A28" s="42" t="s">
        <v>30</v>
      </c>
      <c r="B28" s="174" t="s">
        <v>150</v>
      </c>
      <c r="C28" s="175"/>
      <c r="D28" s="175"/>
      <c r="E28" s="175"/>
      <c r="F28" s="175"/>
      <c r="G28" s="175"/>
      <c r="H28" s="175"/>
      <c r="I28" s="176"/>
    </row>
    <row r="29" spans="1:9" x14ac:dyDescent="0.2">
      <c r="A29" s="41" t="s">
        <v>31</v>
      </c>
      <c r="B29" s="179" t="s">
        <v>32</v>
      </c>
      <c r="C29" s="180"/>
      <c r="D29" s="180"/>
      <c r="E29" s="180"/>
      <c r="F29" s="180"/>
      <c r="G29" s="180"/>
      <c r="H29" s="180"/>
      <c r="I29" s="181"/>
    </row>
    <row r="30" spans="1:9" x14ac:dyDescent="0.2">
      <c r="A30" s="42" t="s">
        <v>33</v>
      </c>
      <c r="B30" s="182" t="s">
        <v>34</v>
      </c>
      <c r="C30" s="182"/>
      <c r="D30" s="182"/>
      <c r="E30" s="182"/>
      <c r="F30" s="182"/>
      <c r="G30" s="182"/>
      <c r="H30" s="182"/>
      <c r="I30" s="182"/>
    </row>
    <row r="31" spans="1:9" ht="15" customHeight="1" x14ac:dyDescent="0.2">
      <c r="A31" s="183" t="s">
        <v>35</v>
      </c>
      <c r="B31" s="184"/>
      <c r="C31" s="184"/>
      <c r="D31" s="184"/>
      <c r="E31" s="184"/>
      <c r="F31" s="184"/>
      <c r="G31" s="184"/>
      <c r="H31" s="184"/>
      <c r="I31" s="185"/>
    </row>
    <row r="32" spans="1:9" x14ac:dyDescent="0.2">
      <c r="A32" s="186"/>
      <c r="B32" s="187"/>
      <c r="C32" s="187"/>
      <c r="D32" s="187"/>
      <c r="E32" s="187"/>
      <c r="F32" s="187"/>
      <c r="G32" s="187"/>
      <c r="H32" s="187"/>
      <c r="I32" s="188"/>
    </row>
    <row r="33" spans="1:9" x14ac:dyDescent="0.2">
      <c r="A33" s="186"/>
      <c r="B33" s="187"/>
      <c r="C33" s="187"/>
      <c r="D33" s="187"/>
      <c r="E33" s="187"/>
      <c r="F33" s="187"/>
      <c r="G33" s="187"/>
      <c r="H33" s="187"/>
      <c r="I33" s="188"/>
    </row>
    <row r="34" spans="1:9" x14ac:dyDescent="0.2">
      <c r="A34" s="186"/>
      <c r="B34" s="187"/>
      <c r="C34" s="187"/>
      <c r="D34" s="187"/>
      <c r="E34" s="187"/>
      <c r="F34" s="187"/>
      <c r="G34" s="187"/>
      <c r="H34" s="187"/>
      <c r="I34" s="188"/>
    </row>
    <row r="35" spans="1:9" x14ac:dyDescent="0.2">
      <c r="A35" s="186"/>
      <c r="B35" s="187"/>
      <c r="C35" s="187"/>
      <c r="D35" s="187"/>
      <c r="E35" s="187"/>
      <c r="F35" s="187"/>
      <c r="G35" s="187"/>
      <c r="H35" s="187"/>
      <c r="I35" s="188"/>
    </row>
    <row r="36" spans="1:9" x14ac:dyDescent="0.2">
      <c r="A36" s="186"/>
      <c r="B36" s="187"/>
      <c r="C36" s="187"/>
      <c r="D36" s="187"/>
      <c r="E36" s="187"/>
      <c r="F36" s="187"/>
      <c r="G36" s="187"/>
      <c r="H36" s="187"/>
      <c r="I36" s="188"/>
    </row>
    <row r="37" spans="1:9" x14ac:dyDescent="0.2">
      <c r="A37" s="186"/>
      <c r="B37" s="187"/>
      <c r="C37" s="187"/>
      <c r="D37" s="187"/>
      <c r="E37" s="187"/>
      <c r="F37" s="187"/>
      <c r="G37" s="187"/>
      <c r="H37" s="187"/>
      <c r="I37" s="188"/>
    </row>
    <row r="38" spans="1:9" x14ac:dyDescent="0.2">
      <c r="A38" s="186"/>
      <c r="B38" s="187"/>
      <c r="C38" s="187"/>
      <c r="D38" s="187"/>
      <c r="E38" s="187"/>
      <c r="F38" s="187"/>
      <c r="G38" s="187"/>
      <c r="H38" s="187"/>
      <c r="I38" s="188"/>
    </row>
    <row r="39" spans="1:9" x14ac:dyDescent="0.2">
      <c r="A39" s="186"/>
      <c r="B39" s="187"/>
      <c r="C39" s="187"/>
      <c r="D39" s="187"/>
      <c r="E39" s="187"/>
      <c r="F39" s="187"/>
      <c r="G39" s="187"/>
      <c r="H39" s="187"/>
      <c r="I39" s="188"/>
    </row>
    <row r="40" spans="1:9" x14ac:dyDescent="0.2">
      <c r="A40" s="186"/>
      <c r="B40" s="187"/>
      <c r="C40" s="187"/>
      <c r="D40" s="187"/>
      <c r="E40" s="187"/>
      <c r="F40" s="187"/>
      <c r="G40" s="187"/>
      <c r="H40" s="187"/>
      <c r="I40" s="188"/>
    </row>
    <row r="41" spans="1:9" x14ac:dyDescent="0.2">
      <c r="A41" s="186"/>
      <c r="B41" s="187"/>
      <c r="C41" s="187"/>
      <c r="D41" s="187"/>
      <c r="E41" s="187"/>
      <c r="F41" s="187"/>
      <c r="G41" s="187"/>
      <c r="H41" s="187"/>
      <c r="I41" s="188"/>
    </row>
    <row r="42" spans="1:9" ht="24.75" customHeight="1" thickBot="1" x14ac:dyDescent="0.25">
      <c r="A42" s="189"/>
      <c r="B42" s="190"/>
      <c r="C42" s="190"/>
      <c r="D42" s="190"/>
      <c r="E42" s="190"/>
      <c r="F42" s="190"/>
      <c r="G42" s="190"/>
      <c r="H42" s="190"/>
      <c r="I42" s="191"/>
    </row>
    <row r="43" spans="1:9" x14ac:dyDescent="0.2">
      <c r="A43" s="192"/>
      <c r="B43" s="193"/>
      <c r="C43" s="193"/>
      <c r="D43" s="194"/>
      <c r="E43" s="192"/>
      <c r="F43" s="193"/>
      <c r="G43" s="193"/>
      <c r="H43" s="193"/>
      <c r="I43" s="194"/>
    </row>
    <row r="44" spans="1:9" x14ac:dyDescent="0.2">
      <c r="A44" s="195"/>
      <c r="B44" s="196"/>
      <c r="C44" s="196"/>
      <c r="D44" s="197"/>
      <c r="E44" s="195"/>
      <c r="F44" s="196"/>
      <c r="G44" s="196"/>
      <c r="H44" s="196"/>
      <c r="I44" s="197"/>
    </row>
    <row r="45" spans="1:9" x14ac:dyDescent="0.2">
      <c r="A45" s="195"/>
      <c r="B45" s="196"/>
      <c r="C45" s="196"/>
      <c r="D45" s="197"/>
      <c r="E45" s="195"/>
      <c r="F45" s="196"/>
      <c r="G45" s="196"/>
      <c r="H45" s="196"/>
      <c r="I45" s="197"/>
    </row>
    <row r="46" spans="1:9" x14ac:dyDescent="0.2">
      <c r="A46" s="195"/>
      <c r="B46" s="196"/>
      <c r="C46" s="196"/>
      <c r="D46" s="197"/>
      <c r="E46" s="195"/>
      <c r="F46" s="196"/>
      <c r="G46" s="196"/>
      <c r="H46" s="196"/>
      <c r="I46" s="197"/>
    </row>
    <row r="47" spans="1:9" x14ac:dyDescent="0.2">
      <c r="A47" s="195"/>
      <c r="B47" s="196"/>
      <c r="C47" s="196"/>
      <c r="D47" s="197"/>
      <c r="E47" s="195"/>
      <c r="F47" s="196"/>
      <c r="G47" s="196"/>
      <c r="H47" s="196"/>
      <c r="I47" s="197"/>
    </row>
    <row r="48" spans="1:9" x14ac:dyDescent="0.2">
      <c r="A48" s="195"/>
      <c r="B48" s="196"/>
      <c r="C48" s="196"/>
      <c r="D48" s="197"/>
      <c r="E48" s="195"/>
      <c r="F48" s="196"/>
      <c r="G48" s="196"/>
      <c r="H48" s="196"/>
      <c r="I48" s="197"/>
    </row>
    <row r="49" spans="1:9" x14ac:dyDescent="0.2">
      <c r="A49" s="195"/>
      <c r="B49" s="196"/>
      <c r="C49" s="196"/>
      <c r="D49" s="197"/>
      <c r="E49" s="195"/>
      <c r="F49" s="196"/>
      <c r="G49" s="196"/>
      <c r="H49" s="196"/>
      <c r="I49" s="197"/>
    </row>
    <row r="50" spans="1:9" x14ac:dyDescent="0.2">
      <c r="A50" s="195"/>
      <c r="B50" s="196"/>
      <c r="C50" s="196"/>
      <c r="D50" s="197"/>
      <c r="E50" s="209" t="s">
        <v>101</v>
      </c>
      <c r="F50" s="210"/>
      <c r="G50" s="210"/>
      <c r="H50" s="210"/>
      <c r="I50" s="211"/>
    </row>
    <row r="51" spans="1:9" x14ac:dyDescent="0.2">
      <c r="A51" s="198"/>
      <c r="B51" s="199"/>
      <c r="C51" s="199"/>
      <c r="D51" s="200"/>
      <c r="E51" s="212"/>
      <c r="F51" s="213"/>
      <c r="G51" s="213"/>
      <c r="H51" s="213"/>
      <c r="I51" s="214"/>
    </row>
    <row r="52" spans="1:9" ht="12.75" customHeight="1" x14ac:dyDescent="0.2">
      <c r="A52" s="201" t="s">
        <v>36</v>
      </c>
      <c r="B52" s="202"/>
      <c r="C52" s="202"/>
      <c r="D52" s="203"/>
      <c r="E52" s="204" t="s">
        <v>87</v>
      </c>
      <c r="F52" s="205"/>
      <c r="G52" s="206" t="str">
        <f>'Orden de Pedido'!$G$18</f>
        <v>getPersonaDeContactoCliente</v>
      </c>
      <c r="H52" s="207"/>
      <c r="I52" s="208"/>
    </row>
    <row r="53" spans="1:9" ht="12.75" customHeight="1" x14ac:dyDescent="0.2">
      <c r="A53" s="217" t="s">
        <v>37</v>
      </c>
      <c r="B53" s="218"/>
      <c r="C53" s="218"/>
      <c r="D53" s="219"/>
      <c r="E53" s="223" t="s">
        <v>38</v>
      </c>
      <c r="F53" s="224"/>
      <c r="G53" s="225" t="str">
        <f>'Orden de Pedido'!$G$19</f>
        <v>getDepartamentoCliente</v>
      </c>
      <c r="H53" s="226"/>
      <c r="I53" s="227"/>
    </row>
    <row r="54" spans="1:9" ht="13.5" thickBot="1" x14ac:dyDescent="0.25">
      <c r="A54" s="220"/>
      <c r="B54" s="221"/>
      <c r="C54" s="221"/>
      <c r="D54" s="222"/>
      <c r="E54" s="228" t="s">
        <v>39</v>
      </c>
      <c r="F54" s="229"/>
      <c r="G54" s="230" t="n">
        <f>'Orden de Pedido'!$B$16</f>
        <v>42099.875159131945</v>
      </c>
      <c r="H54" s="231"/>
      <c r="I54" s="232"/>
    </row>
    <row r="60" spans="1:9" x14ac:dyDescent="0.2">
      <c r="A60" s="216"/>
      <c r="B60" s="216"/>
      <c r="C60" s="216"/>
      <c r="D60" s="216"/>
      <c r="E60" s="216"/>
      <c r="F60" s="216"/>
    </row>
    <row r="61" spans="1:9" x14ac:dyDescent="0.2">
      <c r="A61" s="215"/>
      <c r="B61" s="215"/>
      <c r="C61" s="215"/>
      <c r="D61" s="215"/>
      <c r="E61" s="215"/>
      <c r="F61" s="215"/>
    </row>
    <row r="62" spans="1:9" x14ac:dyDescent="0.2">
      <c r="A62" s="216"/>
      <c r="B62" s="216"/>
      <c r="C62" s="216"/>
      <c r="D62" s="216"/>
      <c r="E62" s="216"/>
      <c r="F62" s="216"/>
    </row>
  </sheetData>
  <protectedRanges>
    <protectedRange sqref="B3:I7 A14 B29:B30 B9:I12" name="Rango1"/>
    <protectedRange sqref="G52:I54 E43" name="Rango1_1"/>
    <protectedRange sqref="B16:I27" name="Rango1_2"/>
  </protectedRanges>
  <mergeCells count="46">
    <mergeCell ref="A61:F61"/>
    <mergeCell ref="A62:F62"/>
    <mergeCell ref="A53:D54"/>
    <mergeCell ref="E53:F53"/>
    <mergeCell ref="G53:I53"/>
    <mergeCell ref="E54:F54"/>
    <mergeCell ref="G54:I54"/>
    <mergeCell ref="A60:F60"/>
    <mergeCell ref="B29:I29"/>
    <mergeCell ref="B30:I30"/>
    <mergeCell ref="A31:I42"/>
    <mergeCell ref="A43:D51"/>
    <mergeCell ref="A52:D52"/>
    <mergeCell ref="E52:F52"/>
    <mergeCell ref="G52:I52"/>
    <mergeCell ref="E43:I49"/>
    <mergeCell ref="E50:I51"/>
    <mergeCell ref="B24:I24"/>
    <mergeCell ref="B25:I25"/>
    <mergeCell ref="B26:I26"/>
    <mergeCell ref="B27:I27"/>
    <mergeCell ref="B28:I28"/>
    <mergeCell ref="B10:I10"/>
    <mergeCell ref="B11:I11"/>
    <mergeCell ref="B23:I23"/>
    <mergeCell ref="B12:I12"/>
    <mergeCell ref="A13:I13"/>
    <mergeCell ref="A14:I14"/>
    <mergeCell ref="A15:I15"/>
    <mergeCell ref="B16:I16"/>
    <mergeCell ref="B17:I17"/>
    <mergeCell ref="B18:I18"/>
    <mergeCell ref="B19:I19"/>
    <mergeCell ref="B20:I20"/>
    <mergeCell ref="B21:I21"/>
    <mergeCell ref="B22:I22"/>
    <mergeCell ref="B5:I5"/>
    <mergeCell ref="B6:I6"/>
    <mergeCell ref="B7:I7"/>
    <mergeCell ref="A8:I8"/>
    <mergeCell ref="B9:I9"/>
    <mergeCell ref="B1:G1"/>
    <mergeCell ref="H1:I1"/>
    <mergeCell ref="A2:I2"/>
    <mergeCell ref="B3:I3"/>
    <mergeCell ref="B4:I4"/>
  </mergeCells>
  <hyperlinks>
    <hyperlink ref="B19" r:id="rId1"/>
  </hyperlinks>
  <printOptions horizontalCentered="1" verticalCentered="1"/>
  <pageMargins left="0.70866141732283472" right="0.70866141732283472" top="0.74803149606299213" bottom="0.74803149606299213" header="0.31496062992125984" footer="0.31496062992125984"/>
  <pageSetup paperSize="9" scale="82" orientation="portrait" r:id="rId2"/>
  <headerFooter>
    <oddFooter xml:space="preserve">&amp;L Empresa inscrita en el registro mercantil de Álava, T.1246, F.134, Vi-11448&amp;Rwww.cpavitoria06.com   
info@cpavitoria06.com      
</oddFooter>
  </headerFooter>
  <rowBreaks count="1" manualBreakCount="1">
    <brk id="54" max="16383"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H42"/>
  <sheetViews>
    <sheetView showGridLines="0" tabSelected="1" zoomScaleNormal="100" workbookViewId="0">
      <selection activeCell="H37" sqref="H37:H38"/>
    </sheetView>
  </sheetViews>
  <sheetFormatPr baseColWidth="10" defaultRowHeight="12.75" x14ac:dyDescent="0.2"/>
  <cols>
    <col min="1" max="1" customWidth="true" style="63" width="22.85546875" collapsed="true"/>
    <col min="2" max="4" customWidth="true" style="64" width="11.5703125" collapsed="true"/>
    <col min="5" max="5" customWidth="true" style="64" width="13.7109375" collapsed="true"/>
    <col min="6" max="6" customWidth="true" style="64" width="11.5703125" collapsed="true"/>
    <col min="7" max="7" customWidth="true" style="64" width="11.0" collapsed="true"/>
    <col min="8" max="8" bestFit="true" customWidth="true" style="64" width="11.42578125" collapsed="true"/>
    <col min="9" max="16384" style="54" width="11.42578125" collapsed="true"/>
  </cols>
  <sheetData>
    <row r="1" spans="1:8" s="7" customFormat="1" ht="72.75" customHeight="1" x14ac:dyDescent="0.2">
      <c r="A1" s="44"/>
      <c r="B1" s="240" t="s">
        <v>88</v>
      </c>
      <c r="C1" s="240"/>
      <c r="D1" s="240"/>
      <c r="E1" s="240"/>
      <c r="F1" s="240"/>
      <c r="G1" s="241" t="s">
        <v>102</v>
      </c>
      <c r="H1" s="241"/>
    </row>
    <row r="2" spans="1:8" ht="18.600000000000001" customHeight="1" x14ac:dyDescent="0.2">
      <c r="A2" s="9" t="s">
        <v>40</v>
      </c>
      <c r="B2" s="233" t="s">
        <v>183</v>
      </c>
      <c r="C2" s="233"/>
      <c r="D2" s="234" t="s">
        <v>41</v>
      </c>
      <c r="E2" s="235"/>
      <c r="F2" s="242"/>
      <c r="G2" s="243"/>
      <c r="H2" s="244"/>
    </row>
    <row r="3" spans="1:8" ht="18.600000000000001" customHeight="1" x14ac:dyDescent="0.2">
      <c r="A3" s="9" t="s">
        <v>42</v>
      </c>
      <c r="B3" s="236" t="n">
        <v>42099.875159131945</v>
      </c>
      <c r="C3" s="236"/>
      <c r="D3" s="10" t="s">
        <v>187</v>
      </c>
      <c r="E3" s="11" t="s">
        <v>188</v>
      </c>
      <c r="F3" s="237" t="s">
        <v>44</v>
      </c>
      <c r="G3" s="238"/>
      <c r="H3" s="239"/>
    </row>
    <row r="4" spans="1:8" ht="18.600000000000001" customHeight="1" x14ac:dyDescent="0.2">
      <c r="A4" s="9" t="s">
        <v>45</v>
      </c>
      <c r="B4" s="245" t="s">
        <v>184</v>
      </c>
      <c r="C4" s="245"/>
      <c r="D4" s="12" t="s">
        <v>189</v>
      </c>
      <c r="E4" s="13" t="s">
        <v>190</v>
      </c>
      <c r="F4" s="246" t="s">
        <v>191</v>
      </c>
      <c r="G4" s="247"/>
      <c r="H4" s="247"/>
    </row>
    <row r="5" spans="1:8" x14ac:dyDescent="0.2">
      <c r="A5" s="248" t="s">
        <v>48</v>
      </c>
      <c r="B5" s="250" t="s">
        <v>185</v>
      </c>
      <c r="C5" s="250"/>
      <c r="D5" s="250"/>
      <c r="E5" s="251"/>
      <c r="F5" s="252" t="s">
        <v>49</v>
      </c>
      <c r="G5" s="252"/>
      <c r="H5" s="252"/>
    </row>
    <row r="6" spans="1:8" ht="16.5" customHeight="1" x14ac:dyDescent="0.2">
      <c r="A6" s="249"/>
      <c r="B6" s="250"/>
      <c r="C6" s="250"/>
      <c r="D6" s="250"/>
      <c r="E6" s="251"/>
      <c r="F6" s="253" t="s">
        <v>50</v>
      </c>
      <c r="G6" s="254"/>
      <c r="H6" s="14" t="s">
        <v>51</v>
      </c>
    </row>
    <row r="7" spans="1:8" x14ac:dyDescent="0.2">
      <c r="A7" s="264" t="s">
        <v>52</v>
      </c>
      <c r="B7" s="267" t="s">
        <v>186</v>
      </c>
      <c r="C7" s="268"/>
      <c r="D7" s="268"/>
      <c r="E7" s="269"/>
      <c r="F7" s="15" t="s">
        <v>53</v>
      </c>
      <c r="G7" s="16" t="s">
        <v>97</v>
      </c>
      <c r="H7" s="56" t="s">
        <v>97</v>
      </c>
    </row>
    <row r="8" spans="1:8" x14ac:dyDescent="0.2">
      <c r="A8" s="265"/>
      <c r="B8" s="270"/>
      <c r="C8" s="271"/>
      <c r="D8" s="271"/>
      <c r="E8" s="272"/>
      <c r="F8" s="15" t="s">
        <v>54</v>
      </c>
      <c r="G8" s="16" t="s">
        <v>97</v>
      </c>
      <c r="H8" s="56"/>
    </row>
    <row r="9" spans="1:8" x14ac:dyDescent="0.2">
      <c r="A9" s="265"/>
      <c r="B9" s="270"/>
      <c r="C9" s="271"/>
      <c r="D9" s="271"/>
      <c r="E9" s="272"/>
      <c r="F9" s="15" t="s">
        <v>55</v>
      </c>
      <c r="G9" s="18"/>
      <c r="H9" s="14"/>
    </row>
    <row r="10" spans="1:8" x14ac:dyDescent="0.2">
      <c r="A10" s="266"/>
      <c r="B10" s="273"/>
      <c r="C10" s="274"/>
      <c r="D10" s="274"/>
      <c r="E10" s="275"/>
      <c r="F10" s="20" t="s">
        <v>56</v>
      </c>
      <c r="G10" s="21"/>
      <c r="H10" s="57"/>
    </row>
    <row r="11" spans="1:8" ht="18.600000000000001" customHeight="1" x14ac:dyDescent="0.2">
      <c r="A11" s="255" t="s">
        <v>83</v>
      </c>
      <c r="B11" s="256"/>
      <c r="C11" s="256"/>
      <c r="D11" s="256"/>
      <c r="E11" s="256"/>
      <c r="F11" s="256"/>
      <c r="G11" s="256"/>
      <c r="H11" s="257"/>
    </row>
    <row r="12" spans="1:8" ht="19.149999999999999" customHeight="1" x14ac:dyDescent="0.2">
      <c r="A12" s="23" t="s">
        <v>57</v>
      </c>
      <c r="B12" s="258" t="s">
        <v>192</v>
      </c>
      <c r="C12" s="259"/>
      <c r="D12" s="259"/>
      <c r="E12" s="259"/>
      <c r="F12" s="259"/>
      <c r="G12" s="259"/>
      <c r="H12" s="260"/>
    </row>
    <row r="13" spans="1:8" ht="19.149999999999999" customHeight="1" x14ac:dyDescent="0.2">
      <c r="A13" s="24" t="s">
        <v>38</v>
      </c>
      <c r="B13" s="261" t="s">
        <v>193</v>
      </c>
      <c r="C13" s="262"/>
      <c r="D13" s="262"/>
      <c r="E13" s="262"/>
      <c r="F13" s="262"/>
      <c r="G13" s="262"/>
      <c r="H13" s="263"/>
    </row>
    <row r="14" spans="1:8" ht="19.149999999999999" customHeight="1" x14ac:dyDescent="0.2">
      <c r="A14" s="24" t="s">
        <v>58</v>
      </c>
      <c r="B14" s="261" t="s">
        <v>194</v>
      </c>
      <c r="C14" s="262"/>
      <c r="D14" s="262"/>
      <c r="E14" s="262"/>
      <c r="F14" s="262"/>
      <c r="G14" s="262"/>
      <c r="H14" s="263"/>
    </row>
    <row r="15" spans="1:8" ht="19.149999999999999" customHeight="1" x14ac:dyDescent="0.2">
      <c r="A15" s="24" t="s">
        <v>59</v>
      </c>
      <c r="B15" s="276" t="s">
        <v>195</v>
      </c>
      <c r="C15" s="277"/>
      <c r="D15" s="277"/>
      <c r="E15" s="277"/>
      <c r="F15" s="277"/>
      <c r="G15" s="277"/>
      <c r="H15" s="278"/>
    </row>
    <row r="16" spans="1:8" ht="19.149999999999999" customHeight="1" x14ac:dyDescent="0.2">
      <c r="A16" s="25" t="s">
        <v>60</v>
      </c>
      <c r="B16" s="279" t="n">
        <v>42099.875159131945</v>
      </c>
      <c r="C16" s="280"/>
      <c r="D16" s="280"/>
      <c r="E16" s="280"/>
      <c r="F16" s="280"/>
      <c r="G16" s="280"/>
      <c r="H16" s="281"/>
    </row>
    <row r="17" spans="1:8" ht="18.600000000000001" customHeight="1" x14ac:dyDescent="0.2">
      <c r="A17" s="282" t="s">
        <v>84</v>
      </c>
      <c r="B17" s="283"/>
      <c r="C17" s="283"/>
      <c r="D17" s="283"/>
      <c r="E17" s="283"/>
      <c r="F17" s="283"/>
      <c r="G17" s="283"/>
      <c r="H17" s="284"/>
    </row>
    <row r="18" spans="1:8" ht="18.600000000000001" customHeight="1" x14ac:dyDescent="0.2">
      <c r="A18" s="26" t="s">
        <v>61</v>
      </c>
      <c r="B18" s="285" t="s">
        <v>196</v>
      </c>
      <c r="C18" s="286"/>
      <c r="D18" s="287"/>
      <c r="E18" s="288" t="s">
        <v>57</v>
      </c>
      <c r="F18" s="289"/>
      <c r="G18" s="290" t="s">
        <v>204</v>
      </c>
      <c r="H18" s="287"/>
    </row>
    <row r="19" spans="1:8" ht="18.600000000000001" customHeight="1" x14ac:dyDescent="0.2">
      <c r="A19" s="24" t="s">
        <v>62</v>
      </c>
      <c r="B19" s="291" t="s">
        <v>197</v>
      </c>
      <c r="C19" s="292"/>
      <c r="D19" s="293"/>
      <c r="E19" s="294" t="s">
        <v>38</v>
      </c>
      <c r="F19" s="295"/>
      <c r="G19" s="296" t="s">
        <v>205</v>
      </c>
      <c r="H19" s="297"/>
    </row>
    <row r="20" spans="1:8" ht="18.600000000000001" customHeight="1" x14ac:dyDescent="0.2">
      <c r="A20" s="24" t="s">
        <v>63</v>
      </c>
      <c r="B20" s="298" t="s">
        <v>198</v>
      </c>
      <c r="C20" s="299"/>
      <c r="D20" s="300"/>
      <c r="E20" s="294" t="s">
        <v>58</v>
      </c>
      <c r="F20" s="295"/>
      <c r="G20" s="296" t="s">
        <v>206</v>
      </c>
      <c r="H20" s="301"/>
    </row>
    <row r="21" spans="1:8" ht="18.600000000000001" customHeight="1" x14ac:dyDescent="0.2">
      <c r="A21" s="24" t="s">
        <v>64</v>
      </c>
      <c r="B21" s="298" t="s">
        <v>199</v>
      </c>
      <c r="C21" s="299"/>
      <c r="D21" s="300"/>
      <c r="E21" s="302" t="s">
        <v>59</v>
      </c>
      <c r="F21" s="303"/>
      <c r="G21" s="304" t="s">
        <v>207</v>
      </c>
      <c r="H21" s="305"/>
    </row>
    <row r="22" spans="1:8" ht="18.600000000000001" customHeight="1" x14ac:dyDescent="0.2">
      <c r="A22" s="27" t="s">
        <v>65</v>
      </c>
      <c r="B22" s="298" t="s">
        <v>200</v>
      </c>
      <c r="C22" s="299"/>
      <c r="D22" s="300"/>
      <c r="E22" s="28"/>
      <c r="F22" s="28"/>
      <c r="G22" s="28"/>
      <c r="H22" s="29"/>
    </row>
    <row r="23" spans="1:8" ht="18.600000000000001" customHeight="1" x14ac:dyDescent="0.2">
      <c r="A23" s="24" t="s">
        <v>66</v>
      </c>
      <c r="B23" s="306" t="s">
        <v>201</v>
      </c>
      <c r="C23" s="307"/>
      <c r="D23" s="308"/>
      <c r="E23" s="28"/>
      <c r="F23" s="28"/>
      <c r="G23" s="28"/>
      <c r="H23" s="29"/>
    </row>
    <row r="24" spans="1:8" ht="18.600000000000001" customHeight="1" x14ac:dyDescent="0.2">
      <c r="A24" s="24" t="s">
        <v>67</v>
      </c>
      <c r="B24" s="306" t="s">
        <v>202</v>
      </c>
      <c r="C24" s="307"/>
      <c r="D24" s="308"/>
      <c r="E24" s="30"/>
      <c r="F24" s="28"/>
      <c r="G24" s="28"/>
      <c r="H24" s="29"/>
    </row>
    <row r="25" spans="1:8" ht="18.600000000000001" customHeight="1" x14ac:dyDescent="0.2">
      <c r="A25" s="31" t="s">
        <v>68</v>
      </c>
      <c r="B25" s="309" t="s">
        <v>203</v>
      </c>
      <c r="C25" s="310"/>
      <c r="D25" s="311"/>
      <c r="E25" s="32"/>
      <c r="F25" s="33"/>
      <c r="G25" s="33"/>
      <c r="H25" s="34"/>
    </row>
    <row r="26" spans="1:8" ht="18.600000000000001" customHeight="1" x14ac:dyDescent="0.2">
      <c r="A26" s="312" t="s">
        <v>69</v>
      </c>
      <c r="B26" s="313"/>
      <c r="C26" s="313"/>
      <c r="D26" s="313"/>
      <c r="E26" s="313"/>
      <c r="F26" s="313"/>
      <c r="G26" s="313"/>
      <c r="H26" s="314"/>
    </row>
    <row r="27" spans="1:8" ht="18.600000000000001" customHeight="1" x14ac:dyDescent="0.2">
      <c r="A27" s="315" t="s">
        <v>70</v>
      </c>
      <c r="B27" s="316"/>
      <c r="C27" s="316"/>
      <c r="D27" s="316"/>
      <c r="E27" s="316"/>
      <c r="F27" s="317"/>
      <c r="G27" s="35" t="s">
        <v>13</v>
      </c>
      <c r="H27" s="38" t="s">
        <v>81</v>
      </c>
    </row>
    <row r="28" spans="1:8" ht="36" customHeight="1" x14ac:dyDescent="0.2">
      <c r="A28" s="318" t="s">
        <v>208</v>
      </c>
      <c r="B28" s="319"/>
      <c r="C28" s="319"/>
      <c r="D28" s="319"/>
      <c r="E28" s="319"/>
      <c r="F28" s="320"/>
      <c r="G28" s="144" t="n">
        <f>$B$16</f>
        <v>42099.875159131945</v>
      </c>
      <c r="H28" s="36" t="str">
        <f>$B$12</f>
        <v>personaRecomendador</v>
      </c>
    </row>
    <row r="29" spans="1:8" ht="36" customHeight="1" x14ac:dyDescent="0.2">
      <c r="A29" s="321"/>
      <c r="B29" s="322"/>
      <c r="C29" s="322"/>
      <c r="D29" s="322"/>
      <c r="E29" s="322"/>
      <c r="F29" s="323"/>
      <c r="G29" s="58"/>
      <c r="H29" s="37"/>
    </row>
    <row r="30" spans="1:8" ht="36" customHeight="1" x14ac:dyDescent="0.2">
      <c r="A30" s="321"/>
      <c r="B30" s="322"/>
      <c r="C30" s="322"/>
      <c r="D30" s="322"/>
      <c r="E30" s="322"/>
      <c r="F30" s="323"/>
      <c r="G30" s="58"/>
      <c r="H30" s="59"/>
    </row>
    <row r="31" spans="1:8" ht="36" customHeight="1" x14ac:dyDescent="0.2">
      <c r="A31" s="321"/>
      <c r="B31" s="322"/>
      <c r="C31" s="322"/>
      <c r="D31" s="322"/>
      <c r="E31" s="322"/>
      <c r="F31" s="323"/>
      <c r="G31" s="60"/>
      <c r="H31" s="59"/>
    </row>
    <row r="32" spans="1:8" ht="36" customHeight="1" x14ac:dyDescent="0.2">
      <c r="A32" s="326"/>
      <c r="B32" s="327"/>
      <c r="C32" s="327"/>
      <c r="D32" s="327"/>
      <c r="E32" s="327"/>
      <c r="F32" s="328"/>
      <c r="G32" s="61"/>
      <c r="H32" s="62"/>
    </row>
    <row r="33" spans="1:8" ht="15.75" x14ac:dyDescent="0.2">
      <c r="A33" s="332" t="s">
        <v>71</v>
      </c>
      <c r="B33" s="333"/>
      <c r="C33" s="333"/>
      <c r="D33" s="334"/>
      <c r="E33" s="329" t="s">
        <v>72</v>
      </c>
      <c r="F33" s="330"/>
      <c r="G33" s="330"/>
      <c r="H33" s="331"/>
    </row>
    <row r="34" spans="1:8" ht="16.899999999999999" customHeight="1" x14ac:dyDescent="0.2">
      <c r="A34" s="335" t="s">
        <v>73</v>
      </c>
      <c r="B34" s="335"/>
      <c r="C34" s="78" t="s">
        <v>97</v>
      </c>
      <c r="D34" s="344"/>
      <c r="E34" s="347" t="s">
        <v>74</v>
      </c>
      <c r="F34" s="336" t="s">
        <v>103</v>
      </c>
      <c r="G34" s="336"/>
      <c r="H34" s="79"/>
    </row>
    <row r="35" spans="1:8" ht="16.899999999999999" customHeight="1" x14ac:dyDescent="0.2">
      <c r="A35" s="335" t="s">
        <v>75</v>
      </c>
      <c r="B35" s="335"/>
      <c r="C35" s="78" t="s">
        <v>97</v>
      </c>
      <c r="D35" s="345"/>
      <c r="E35" s="348"/>
      <c r="F35" s="336" t="s">
        <v>104</v>
      </c>
      <c r="G35" s="336"/>
      <c r="H35" s="79" t="s">
        <v>97</v>
      </c>
    </row>
    <row r="36" spans="1:8" ht="16.899999999999999" customHeight="1" x14ac:dyDescent="0.2">
      <c r="A36" s="335" t="s">
        <v>76</v>
      </c>
      <c r="B36" s="335"/>
      <c r="C36" s="80"/>
      <c r="D36" s="345"/>
      <c r="E36" s="348"/>
      <c r="F36" s="336" t="s">
        <v>105</v>
      </c>
      <c r="G36" s="336"/>
      <c r="H36" s="79"/>
    </row>
    <row r="37" spans="1:8" ht="16.899999999999999" customHeight="1" x14ac:dyDescent="0.2">
      <c r="A37" s="335" t="s">
        <v>77</v>
      </c>
      <c r="B37" s="335"/>
      <c r="C37" s="80"/>
      <c r="D37" s="345"/>
      <c r="E37" s="348"/>
      <c r="F37" s="340" t="s">
        <v>106</v>
      </c>
      <c r="G37" s="341"/>
      <c r="H37" s="324"/>
    </row>
    <row r="38" spans="1:8" ht="16.899999999999999" customHeight="1" x14ac:dyDescent="0.2">
      <c r="A38" s="335" t="s">
        <v>78</v>
      </c>
      <c r="B38" s="335"/>
      <c r="C38" s="80"/>
      <c r="D38" s="346"/>
      <c r="E38" s="349"/>
      <c r="F38" s="342"/>
      <c r="G38" s="343"/>
      <c r="H38" s="325"/>
    </row>
    <row r="39" spans="1:8" x14ac:dyDescent="0.2">
      <c r="A39" s="337" t="s">
        <v>82</v>
      </c>
      <c r="B39" s="337"/>
      <c r="C39" s="337" t="s">
        <v>79</v>
      </c>
      <c r="D39" s="338"/>
      <c r="E39" s="338"/>
      <c r="F39" s="337" t="s">
        <v>80</v>
      </c>
      <c r="G39" s="337"/>
      <c r="H39" s="337"/>
    </row>
    <row r="40" spans="1:8" x14ac:dyDescent="0.2">
      <c r="A40" s="337"/>
      <c r="B40" s="337"/>
      <c r="C40" s="338"/>
      <c r="D40" s="338"/>
      <c r="E40" s="338"/>
      <c r="F40" s="337"/>
      <c r="G40" s="337"/>
      <c r="H40" s="337"/>
    </row>
    <row r="41" spans="1:8" x14ac:dyDescent="0.2">
      <c r="A41" s="233" t="str">
        <f>B12</f>
        <v>personaRecomendador</v>
      </c>
      <c r="B41" s="339"/>
      <c r="C41" s="233" t="str">
        <f>G18</f>
        <v>getPersonaDeContactoCliente</v>
      </c>
      <c r="D41" s="339"/>
      <c r="E41" s="339"/>
      <c r="F41" s="339" t="str">
        <f>F4</f>
        <v>responsableCPA</v>
      </c>
      <c r="G41" s="339"/>
      <c r="H41" s="339"/>
    </row>
    <row r="42" spans="1:8" ht="24.75" customHeight="1" x14ac:dyDescent="0.2">
      <c r="A42" s="339"/>
      <c r="B42" s="339"/>
      <c r="C42" s="339"/>
      <c r="D42" s="339"/>
      <c r="E42" s="339"/>
      <c r="F42" s="339"/>
      <c r="G42" s="339"/>
      <c r="H42" s="339"/>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E34:E38"/>
    <mergeCell ref="F34:G34"/>
    <mergeCell ref="A39:B40"/>
    <mergeCell ref="C39:E40"/>
    <mergeCell ref="F39:H40"/>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F37:G38"/>
    <mergeCell ref="A38:B38"/>
    <mergeCell ref="D34:D38"/>
    <mergeCell ref="B24:D24"/>
    <mergeCell ref="B25:D25"/>
    <mergeCell ref="A26:H26"/>
    <mergeCell ref="A27:F27"/>
    <mergeCell ref="A28:F28"/>
    <mergeCell ref="B21:D21"/>
    <mergeCell ref="E21:F21"/>
    <mergeCell ref="G21:H21"/>
    <mergeCell ref="B22:D22"/>
    <mergeCell ref="B23:D23"/>
    <mergeCell ref="B19:D19"/>
    <mergeCell ref="E19:F19"/>
    <mergeCell ref="G19:H19"/>
    <mergeCell ref="B20:D20"/>
    <mergeCell ref="E20:F20"/>
    <mergeCell ref="G20:H20"/>
    <mergeCell ref="B15:H15"/>
    <mergeCell ref="B16:H16"/>
    <mergeCell ref="A17:H17"/>
    <mergeCell ref="B18:D18"/>
    <mergeCell ref="E18:F18"/>
    <mergeCell ref="G18:H18"/>
    <mergeCell ref="A11:H11"/>
    <mergeCell ref="B12:H12"/>
    <mergeCell ref="B13:H13"/>
    <mergeCell ref="B14:H14"/>
    <mergeCell ref="A7:A10"/>
    <mergeCell ref="B7:E10"/>
    <mergeCell ref="B4:C4"/>
    <mergeCell ref="F4:H4"/>
    <mergeCell ref="A5:A6"/>
    <mergeCell ref="B5:E6"/>
    <mergeCell ref="F5:H5"/>
    <mergeCell ref="F6:G6"/>
    <mergeCell ref="B2:C2"/>
    <mergeCell ref="D2:E2"/>
    <mergeCell ref="B3:C3"/>
    <mergeCell ref="F3:H3"/>
    <mergeCell ref="B1:F1"/>
    <mergeCell ref="G1:H1"/>
    <mergeCell ref="F2:H2"/>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38"/>
  <sheetViews>
    <sheetView topLeftCell="B1" zoomScaleNormal="100" workbookViewId="0">
      <selection activeCell="B14" sqref="B14:I14"/>
    </sheetView>
  </sheetViews>
  <sheetFormatPr baseColWidth="10" defaultRowHeight="12.75" x14ac:dyDescent="0.2"/>
  <cols>
    <col min="1" max="1" customWidth="true" style="47" width="3.0" collapsed="true"/>
    <col min="2" max="2" customWidth="true" width="23.0" collapsed="true"/>
    <col min="3" max="3" customWidth="true" width="11.42578125" collapsed="true"/>
    <col min="7" max="7" customWidth="true" width="19.85546875" collapsed="true"/>
    <col min="8" max="9" customWidth="true" width="10.5703125" collapsed="true"/>
    <col min="10" max="10" customWidth="true" width="16.0" collapsed="true"/>
  </cols>
  <sheetData>
    <row r="1" spans="1:9" ht="70.5" customHeight="1" x14ac:dyDescent="0.2">
      <c r="B1" s="48"/>
      <c r="C1" s="359" t="s">
        <v>93</v>
      </c>
      <c r="D1" s="359"/>
      <c r="E1" s="359"/>
      <c r="F1" s="359"/>
      <c r="G1" s="359"/>
      <c r="H1" s="233" t="s">
        <v>107</v>
      </c>
      <c r="I1" s="233"/>
    </row>
    <row r="2" spans="1:9" s="51" customFormat="1" ht="20.25" customHeight="1" x14ac:dyDescent="0.2">
      <c r="A2" s="52"/>
      <c r="B2" s="9" t="s">
        <v>40</v>
      </c>
      <c r="C2" s="233" t="str">
        <f>'Orden de Pedido'!B2</f>
        <v>numAccion</v>
      </c>
      <c r="D2" s="339"/>
      <c r="E2" s="234" t="s">
        <v>41</v>
      </c>
      <c r="F2" s="235"/>
      <c r="G2" s="361"/>
      <c r="H2" s="362"/>
      <c r="I2" s="363"/>
    </row>
    <row r="3" spans="1:9" s="51" customFormat="1" ht="20.25" customHeight="1" x14ac:dyDescent="0.2">
      <c r="A3" s="52"/>
      <c r="B3" s="9" t="s">
        <v>42</v>
      </c>
      <c r="C3" s="365" t="n">
        <f>'Orden de Pedido'!B3</f>
        <v>42099.875159131945</v>
      </c>
      <c r="D3" s="365"/>
      <c r="E3" s="132" t="str">
        <f>'Orden de Pedido'!D3</f>
        <v>numChasis1</v>
      </c>
      <c r="F3" s="11" t="s">
        <v>43</v>
      </c>
      <c r="G3" s="76" t="s">
        <v>44</v>
      </c>
      <c r="H3" s="250" t="str">
        <f>'Orden de Pedido'!F4</f>
        <v>responsableCPA</v>
      </c>
      <c r="I3" s="358"/>
    </row>
    <row r="4" spans="1:9" s="5" customFormat="1" ht="20.25" customHeight="1" x14ac:dyDescent="0.2">
      <c r="A4" s="47"/>
      <c r="B4" s="9" t="s">
        <v>45</v>
      </c>
      <c r="C4" s="364" t="str">
        <f>'Orden de Pedido'!B4</f>
        <v>25/00/2015</v>
      </c>
      <c r="D4" s="364"/>
      <c r="E4" s="12" t="s">
        <v>46</v>
      </c>
      <c r="F4" s="13" t="s">
        <v>47</v>
      </c>
      <c r="G4" s="74" t="s">
        <v>108</v>
      </c>
      <c r="H4" s="360"/>
      <c r="I4" s="360"/>
    </row>
    <row r="5" spans="1:9" s="5" customFormat="1" x14ac:dyDescent="0.2">
      <c r="A5" s="47"/>
      <c r="B5" s="248" t="s">
        <v>48</v>
      </c>
      <c r="C5" s="250" t="str">
        <f>'Orden de Pedido'!B5</f>
        <v>nombrePieza</v>
      </c>
      <c r="D5" s="350"/>
      <c r="E5" s="350"/>
      <c r="F5" s="351"/>
      <c r="G5" s="252" t="s">
        <v>49</v>
      </c>
      <c r="H5" s="252"/>
      <c r="I5" s="252"/>
    </row>
    <row r="6" spans="1:9" ht="15" customHeight="1" x14ac:dyDescent="0.2">
      <c r="B6" s="249"/>
      <c r="C6" s="350"/>
      <c r="D6" s="350"/>
      <c r="E6" s="350"/>
      <c r="F6" s="351"/>
      <c r="G6" s="253" t="s">
        <v>50</v>
      </c>
      <c r="H6" s="254"/>
      <c r="I6" s="14" t="s">
        <v>51</v>
      </c>
    </row>
    <row r="7" spans="1:9" ht="15" customHeight="1" x14ac:dyDescent="0.2">
      <c r="B7" s="264" t="s">
        <v>52</v>
      </c>
      <c r="C7" s="250" t="str">
        <f>'Orden de Pedido'!B7</f>
        <v>referencias</v>
      </c>
      <c r="D7" s="358"/>
      <c r="E7" s="358"/>
      <c r="F7" s="358"/>
      <c r="G7" s="15" t="s">
        <v>53</v>
      </c>
      <c r="H7" s="16"/>
      <c r="I7" s="17" t="s">
        <v>97</v>
      </c>
    </row>
    <row r="8" spans="1:9" ht="15" customHeight="1" x14ac:dyDescent="0.2">
      <c r="B8" s="265"/>
      <c r="C8" s="358"/>
      <c r="D8" s="358"/>
      <c r="E8" s="358"/>
      <c r="F8" s="358"/>
      <c r="G8" s="15" t="s">
        <v>54</v>
      </c>
      <c r="H8" s="16"/>
      <c r="I8" s="17"/>
    </row>
    <row r="9" spans="1:9" x14ac:dyDescent="0.2">
      <c r="B9" s="265"/>
      <c r="C9" s="358"/>
      <c r="D9" s="358"/>
      <c r="E9" s="358"/>
      <c r="F9" s="358"/>
      <c r="G9" s="15" t="s">
        <v>55</v>
      </c>
      <c r="H9" s="18"/>
      <c r="I9" s="19"/>
    </row>
    <row r="10" spans="1:9" x14ac:dyDescent="0.2">
      <c r="B10" s="266"/>
      <c r="C10" s="358"/>
      <c r="D10" s="358"/>
      <c r="E10" s="358"/>
      <c r="F10" s="358"/>
      <c r="G10" s="20" t="s">
        <v>56</v>
      </c>
      <c r="H10" s="21"/>
      <c r="I10" s="22" t="s">
        <v>97</v>
      </c>
    </row>
    <row r="11" spans="1:9" ht="21" customHeight="1" x14ac:dyDescent="0.2">
      <c r="B11" s="50" t="s">
        <v>96</v>
      </c>
      <c r="C11" s="353" t="str">
        <f>C5</f>
        <v>nombrePieza</v>
      </c>
      <c r="D11" s="354"/>
      <c r="E11" s="354"/>
      <c r="F11" s="354"/>
      <c r="G11" s="354"/>
      <c r="H11" s="354"/>
      <c r="I11" s="354"/>
    </row>
    <row r="12" spans="1:9" ht="21" customHeight="1" x14ac:dyDescent="0.2">
      <c r="B12" s="50" t="s">
        <v>95</v>
      </c>
      <c r="C12" s="352" t="str">
        <f>'Orden de Pedido'!B2</f>
        <v>numAccion</v>
      </c>
      <c r="D12" s="352"/>
      <c r="E12" s="352"/>
      <c r="F12" s="352"/>
      <c r="G12" s="352"/>
      <c r="H12" s="352"/>
      <c r="I12" s="352"/>
    </row>
    <row r="13" spans="1:9" x14ac:dyDescent="0.2">
      <c r="B13" s="357" t="s">
        <v>70</v>
      </c>
      <c r="C13" s="357"/>
      <c r="D13" s="357"/>
      <c r="E13" s="357"/>
      <c r="F13" s="357"/>
      <c r="G13" s="357"/>
      <c r="H13" s="357"/>
      <c r="I13" s="357"/>
    </row>
    <row r="14" spans="1:9" ht="66.75" customHeight="1" x14ac:dyDescent="0.2">
      <c r="B14" s="355" t="str">
        <f>'Orden de Pedido'!$A$28</f>
        <v>descripcionInstruccionDelServicio</v>
      </c>
      <c r="C14" s="356"/>
      <c r="D14" s="356"/>
      <c r="E14" s="356"/>
      <c r="F14" s="356"/>
      <c r="G14" s="356"/>
      <c r="H14" s="356"/>
      <c r="I14" s="356"/>
    </row>
    <row r="15" spans="1:9" ht="18" customHeight="1" x14ac:dyDescent="0.2">
      <c r="A15" s="81" t="s">
        <v>94</v>
      </c>
      <c r="B15" s="366" t="s">
        <v>70</v>
      </c>
      <c r="C15" s="367"/>
      <c r="D15" s="366" t="s">
        <v>109</v>
      </c>
      <c r="E15" s="367"/>
      <c r="F15" s="367"/>
      <c r="G15" s="367"/>
      <c r="H15" s="82" t="s">
        <v>110</v>
      </c>
      <c r="I15" s="83" t="s">
        <v>111</v>
      </c>
    </row>
    <row r="16" spans="1:9" ht="18.75" customHeight="1" x14ac:dyDescent="0.2">
      <c r="A16" s="49">
        <v>1</v>
      </c>
      <c r="B16" s="368" t="s">
        <v>112</v>
      </c>
      <c r="C16" s="369"/>
      <c r="D16" s="368"/>
      <c r="E16" s="370"/>
      <c r="F16" s="370"/>
      <c r="G16" s="370"/>
      <c r="H16" s="77" t="s">
        <v>97</v>
      </c>
      <c r="I16" s="84"/>
    </row>
    <row r="17" spans="1:9" ht="18.75" customHeight="1" x14ac:dyDescent="0.2">
      <c r="A17" s="371">
        <v>2</v>
      </c>
      <c r="B17" s="372" t="s">
        <v>113</v>
      </c>
      <c r="C17" s="373"/>
      <c r="D17" s="368"/>
      <c r="E17" s="370"/>
      <c r="F17" s="370"/>
      <c r="G17" s="370"/>
      <c r="H17" s="339" t="s">
        <v>97</v>
      </c>
      <c r="I17" s="378"/>
    </row>
    <row r="18" spans="1:9" ht="18.75" customHeight="1" x14ac:dyDescent="0.2">
      <c r="A18" s="371"/>
      <c r="B18" s="374"/>
      <c r="C18" s="375"/>
      <c r="D18" s="376"/>
      <c r="E18" s="377"/>
      <c r="F18" s="377"/>
      <c r="G18" s="377"/>
      <c r="H18" s="339"/>
      <c r="I18" s="379"/>
    </row>
    <row r="19" spans="1:9" ht="21" customHeight="1" x14ac:dyDescent="0.2">
      <c r="A19" s="380" t="s">
        <v>114</v>
      </c>
      <c r="B19" s="371" t="s">
        <v>115</v>
      </c>
      <c r="C19" s="371"/>
      <c r="D19" s="339"/>
      <c r="E19" s="339"/>
      <c r="F19" s="339"/>
      <c r="G19" s="339"/>
      <c r="H19" s="77"/>
      <c r="I19" s="77"/>
    </row>
    <row r="20" spans="1:9" ht="21" customHeight="1" x14ac:dyDescent="0.2">
      <c r="A20" s="381"/>
      <c r="B20" s="371" t="s">
        <v>116</v>
      </c>
      <c r="C20" s="371"/>
      <c r="D20" s="339"/>
      <c r="E20" s="339"/>
      <c r="F20" s="339"/>
      <c r="G20" s="339"/>
      <c r="H20" s="77"/>
      <c r="I20" s="77"/>
    </row>
    <row r="21" spans="1:9" ht="21" customHeight="1" x14ac:dyDescent="0.2">
      <c r="A21" s="381"/>
      <c r="B21" s="371" t="s">
        <v>117</v>
      </c>
      <c r="C21" s="371"/>
      <c r="D21" s="339"/>
      <c r="E21" s="339"/>
      <c r="F21" s="339"/>
      <c r="G21" s="339"/>
      <c r="H21" s="77"/>
      <c r="I21" s="77"/>
    </row>
    <row r="22" spans="1:9" ht="21" customHeight="1" x14ac:dyDescent="0.2">
      <c r="A22" s="382"/>
      <c r="B22" s="371" t="s">
        <v>106</v>
      </c>
      <c r="C22" s="371"/>
      <c r="D22" s="339"/>
      <c r="E22" s="339"/>
      <c r="F22" s="339"/>
      <c r="G22" s="339"/>
      <c r="H22" s="77"/>
      <c r="I22" s="75"/>
    </row>
    <row r="23" spans="1:9" ht="27" customHeight="1" x14ac:dyDescent="0.2">
      <c r="A23" s="371">
        <v>3</v>
      </c>
      <c r="B23" s="384" t="s">
        <v>1</v>
      </c>
      <c r="C23" s="373"/>
      <c r="D23" s="368"/>
      <c r="E23" s="370"/>
      <c r="F23" s="370"/>
      <c r="G23" s="370"/>
      <c r="H23" s="339"/>
      <c r="I23" s="378"/>
    </row>
    <row r="24" spans="1:9" ht="27" customHeight="1" x14ac:dyDescent="0.2">
      <c r="A24" s="371"/>
      <c r="B24" s="374"/>
      <c r="C24" s="375"/>
      <c r="D24" s="376"/>
      <c r="E24" s="377"/>
      <c r="F24" s="377"/>
      <c r="G24" s="377"/>
      <c r="H24" s="339"/>
      <c r="I24" s="379"/>
    </row>
    <row r="25" spans="1:9" ht="27" customHeight="1" x14ac:dyDescent="0.2">
      <c r="A25" s="371"/>
      <c r="B25" s="385"/>
      <c r="C25" s="386"/>
      <c r="D25" s="387"/>
      <c r="E25" s="388"/>
      <c r="F25" s="388"/>
      <c r="G25" s="388"/>
      <c r="H25" s="339"/>
      <c r="I25" s="383"/>
    </row>
    <row r="26" spans="1:9" ht="27" customHeight="1" x14ac:dyDescent="0.2">
      <c r="A26" s="371">
        <v>4</v>
      </c>
      <c r="B26" s="384" t="s">
        <v>1</v>
      </c>
      <c r="C26" s="373"/>
      <c r="D26" s="368"/>
      <c r="E26" s="370"/>
      <c r="F26" s="370"/>
      <c r="G26" s="370"/>
      <c r="H26" s="339"/>
      <c r="I26" s="378"/>
    </row>
    <row r="27" spans="1:9" ht="27" customHeight="1" x14ac:dyDescent="0.2">
      <c r="A27" s="371"/>
      <c r="B27" s="374"/>
      <c r="C27" s="375"/>
      <c r="D27" s="376"/>
      <c r="E27" s="377"/>
      <c r="F27" s="377"/>
      <c r="G27" s="377"/>
      <c r="H27" s="339"/>
      <c r="I27" s="379"/>
    </row>
    <row r="28" spans="1:9" ht="27" customHeight="1" x14ac:dyDescent="0.2">
      <c r="A28" s="371"/>
      <c r="B28" s="385"/>
      <c r="C28" s="386"/>
      <c r="D28" s="387"/>
      <c r="E28" s="388"/>
      <c r="F28" s="388"/>
      <c r="G28" s="388"/>
      <c r="H28" s="339"/>
      <c r="I28" s="383"/>
    </row>
    <row r="29" spans="1:9" ht="27" customHeight="1" x14ac:dyDescent="0.2">
      <c r="A29" s="371">
        <v>5</v>
      </c>
      <c r="B29" s="384" t="s">
        <v>1</v>
      </c>
      <c r="C29" s="373"/>
      <c r="D29" s="368"/>
      <c r="E29" s="370"/>
      <c r="F29" s="370"/>
      <c r="G29" s="370"/>
      <c r="H29" s="339"/>
      <c r="I29" s="378"/>
    </row>
    <row r="30" spans="1:9" ht="27" customHeight="1" x14ac:dyDescent="0.2">
      <c r="A30" s="371"/>
      <c r="B30" s="374"/>
      <c r="C30" s="375"/>
      <c r="D30" s="376"/>
      <c r="E30" s="377"/>
      <c r="F30" s="377"/>
      <c r="G30" s="377"/>
      <c r="H30" s="339"/>
      <c r="I30" s="379"/>
    </row>
    <row r="31" spans="1:9" ht="27" customHeight="1" x14ac:dyDescent="0.2">
      <c r="A31" s="371"/>
      <c r="B31" s="385"/>
      <c r="C31" s="386"/>
      <c r="D31" s="387"/>
      <c r="E31" s="388"/>
      <c r="F31" s="388"/>
      <c r="G31" s="388"/>
      <c r="H31" s="339"/>
      <c r="I31" s="383"/>
    </row>
    <row r="32" spans="1:9" ht="36" customHeight="1" x14ac:dyDescent="0.2">
      <c r="A32" s="371">
        <v>6</v>
      </c>
      <c r="B32" s="372" t="s">
        <v>118</v>
      </c>
      <c r="C32" s="373"/>
      <c r="D32" s="392"/>
      <c r="E32" s="370"/>
      <c r="F32" s="370"/>
      <c r="G32" s="370"/>
      <c r="H32" s="233" t="s">
        <v>97</v>
      </c>
      <c r="I32" s="378"/>
    </row>
    <row r="33" spans="1:9" ht="36" customHeight="1" x14ac:dyDescent="0.2">
      <c r="A33" s="371"/>
      <c r="B33" s="374"/>
      <c r="C33" s="375"/>
      <c r="D33" s="376"/>
      <c r="E33" s="377"/>
      <c r="F33" s="377"/>
      <c r="G33" s="377"/>
      <c r="H33" s="339"/>
      <c r="I33" s="379"/>
    </row>
    <row r="34" spans="1:9" ht="36" customHeight="1" x14ac:dyDescent="0.2">
      <c r="A34" s="371"/>
      <c r="B34" s="385"/>
      <c r="C34" s="386"/>
      <c r="D34" s="387"/>
      <c r="E34" s="388"/>
      <c r="F34" s="388"/>
      <c r="G34" s="388"/>
      <c r="H34" s="339"/>
      <c r="I34" s="383"/>
    </row>
    <row r="35" spans="1:9" ht="18.75" customHeight="1" x14ac:dyDescent="0.2">
      <c r="A35" s="389"/>
      <c r="B35" s="390"/>
      <c r="C35" s="390"/>
      <c r="D35" s="390"/>
      <c r="E35" s="390"/>
      <c r="F35" s="390"/>
      <c r="G35" s="390"/>
      <c r="H35" s="390"/>
      <c r="I35" s="391"/>
    </row>
    <row r="36" spans="1:9" ht="33.75" customHeight="1" x14ac:dyDescent="0.2">
      <c r="A36" s="371">
        <v>7</v>
      </c>
      <c r="B36" s="372" t="s">
        <v>119</v>
      </c>
      <c r="C36" s="373"/>
      <c r="D36" s="392"/>
      <c r="E36" s="393"/>
      <c r="F36" s="393"/>
      <c r="G36" s="394"/>
      <c r="H36" s="401"/>
      <c r="I36" s="401"/>
    </row>
    <row r="37" spans="1:9" ht="33.75" customHeight="1" x14ac:dyDescent="0.2">
      <c r="A37" s="371"/>
      <c r="B37" s="374"/>
      <c r="C37" s="375"/>
      <c r="D37" s="395"/>
      <c r="E37" s="396"/>
      <c r="F37" s="396"/>
      <c r="G37" s="397"/>
      <c r="H37" s="402"/>
      <c r="I37" s="402"/>
    </row>
    <row r="38" spans="1:9" ht="33.75" customHeight="1" x14ac:dyDescent="0.2">
      <c r="A38" s="371"/>
      <c r="B38" s="385"/>
      <c r="C38" s="386"/>
      <c r="D38" s="398"/>
      <c r="E38" s="399"/>
      <c r="F38" s="399"/>
      <c r="G38" s="400"/>
      <c r="H38" s="403"/>
      <c r="I38" s="403"/>
    </row>
  </sheetData>
  <protectedRanges>
    <protectedRange sqref="D15 H15:I15" name="Rango1_1_3_1"/>
    <protectedRange sqref="C2:D4 E3:F4 I2 G4 G7 C7 C5" name="Rango1_2_1"/>
    <protectedRange sqref="H7:I10" name="Rango1_1_1_1"/>
  </protectedRanges>
  <mergeCells count="63">
    <mergeCell ref="A36:A38"/>
    <mergeCell ref="B36:C38"/>
    <mergeCell ref="D36:G38"/>
    <mergeCell ref="H36:H38"/>
    <mergeCell ref="I36:I38"/>
    <mergeCell ref="A35:I35"/>
    <mergeCell ref="A26:A28"/>
    <mergeCell ref="B26:C28"/>
    <mergeCell ref="D26:G28"/>
    <mergeCell ref="H26:H28"/>
    <mergeCell ref="I26:I28"/>
    <mergeCell ref="A29:A31"/>
    <mergeCell ref="B29:C31"/>
    <mergeCell ref="D29:G31"/>
    <mergeCell ref="H29:H31"/>
    <mergeCell ref="A32:A34"/>
    <mergeCell ref="B32:C34"/>
    <mergeCell ref="D32:G34"/>
    <mergeCell ref="H32:H34"/>
    <mergeCell ref="I32:I34"/>
    <mergeCell ref="I29:I31"/>
    <mergeCell ref="D22:G22"/>
    <mergeCell ref="A23:A25"/>
    <mergeCell ref="B23:C25"/>
    <mergeCell ref="D23:G25"/>
    <mergeCell ref="H23:H25"/>
    <mergeCell ref="I23:I25"/>
    <mergeCell ref="H17:H18"/>
    <mergeCell ref="I17:I18"/>
    <mergeCell ref="A19:A22"/>
    <mergeCell ref="B19:C19"/>
    <mergeCell ref="D19:G19"/>
    <mergeCell ref="B20:C20"/>
    <mergeCell ref="D20:G20"/>
    <mergeCell ref="B21:C21"/>
    <mergeCell ref="D21:G21"/>
    <mergeCell ref="B22:C22"/>
    <mergeCell ref="B15:C15"/>
    <mergeCell ref="D15:G15"/>
    <mergeCell ref="B16:C16"/>
    <mergeCell ref="D16:G16"/>
    <mergeCell ref="A17:A18"/>
    <mergeCell ref="B17:C18"/>
    <mergeCell ref="D17:G18"/>
    <mergeCell ref="H1:I1"/>
    <mergeCell ref="C1:G1"/>
    <mergeCell ref="H3:I3"/>
    <mergeCell ref="H4:I4"/>
    <mergeCell ref="G2:I2"/>
    <mergeCell ref="E2:F2"/>
    <mergeCell ref="C4:D4"/>
    <mergeCell ref="C2:D2"/>
    <mergeCell ref="C3:D3"/>
    <mergeCell ref="B14:I14"/>
    <mergeCell ref="B13:I13"/>
    <mergeCell ref="C7:F10"/>
    <mergeCell ref="B7:B10"/>
    <mergeCell ref="G5:I5"/>
    <mergeCell ref="B5:B6"/>
    <mergeCell ref="C5:F6"/>
    <mergeCell ref="C12:I12"/>
    <mergeCell ref="C11:I11"/>
    <mergeCell ref="G6:H6"/>
  </mergeCells>
  <printOptions horizontalCentered="1" verticalCentered="1"/>
  <pageMargins left="0.15748031496062992" right="0.15748031496062992" top="0.15748031496062992" bottom="0.35433070866141736" header="0.62992125984251968" footer="0.27559055118110237"/>
  <pageSetup paperSize="9" scale="83" orientation="portrait" r:id="rId1"/>
  <headerFooter>
    <oddFooter xml:space="preserve">&amp;C&amp;P de &amp;N&amp;Rwww.cpavitoria06.com   
info@cpavitoria06.com </oddFooter>
  </headerFooter>
  <rowBreaks count="1" manualBreakCount="1">
    <brk id="54" max="8" man="1"/>
  </row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T46"/>
  <sheetViews>
    <sheetView showGridLines="0" zoomScale="40" zoomScaleNormal="40" workbookViewId="0">
      <selection activeCell="M15" sqref="I15:M15"/>
    </sheetView>
  </sheetViews>
  <sheetFormatPr baseColWidth="10" defaultRowHeight="12.75" x14ac:dyDescent="0.2"/>
  <cols>
    <col min="1" max="1" customWidth="true" style="85" width="16.42578125" collapsed="true"/>
    <col min="2" max="5" customWidth="true" style="5" width="10.85546875" collapsed="true"/>
    <col min="6" max="6" customWidth="true" style="5" width="13.5703125" collapsed="true"/>
    <col min="7" max="7" customWidth="true" style="5" width="10.85546875" collapsed="true"/>
    <col min="8" max="8" customWidth="true" style="5" width="16.28515625" collapsed="true"/>
    <col min="9" max="9" customWidth="true" style="5" width="13.42578125" collapsed="true"/>
    <col min="10" max="10" customWidth="true" style="5" width="12.140625" collapsed="true"/>
    <col min="11" max="11" customWidth="true" style="5" width="14.140625" collapsed="true"/>
    <col min="12" max="39" customWidth="true" style="5" width="12.140625" collapsed="true"/>
    <col min="40" max="40" customWidth="true" style="5" width="17.7109375" collapsed="true"/>
    <col min="41" max="55" customWidth="true" style="5" width="4.28515625" collapsed="true"/>
    <col min="56" max="16384" style="5" width="11.42578125" collapsed="true"/>
  </cols>
  <sheetData>
    <row r="1" spans="1:46" ht="178.5" customHeight="1" x14ac:dyDescent="0.2">
      <c r="B1" s="339"/>
      <c r="C1" s="339"/>
      <c r="D1" s="339"/>
      <c r="E1" s="339"/>
      <c r="F1" s="339"/>
      <c r="G1" s="339"/>
      <c r="H1" s="339"/>
      <c r="I1" s="407" t="s">
        <v>89</v>
      </c>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338"/>
      <c r="AJ1" s="408" t="s">
        <v>120</v>
      </c>
      <c r="AK1" s="408"/>
      <c r="AL1" s="408"/>
      <c r="AM1" s="408"/>
      <c r="AN1" s="408"/>
    </row>
    <row r="2" spans="1:46" s="87" customFormat="1" ht="110.25" customHeight="1" thickBot="1" x14ac:dyDescent="0.25">
      <c r="A2" s="3"/>
      <c r="B2" s="409" t="s">
        <v>121</v>
      </c>
      <c r="C2" s="409"/>
      <c r="D2" s="409"/>
      <c r="E2" s="409"/>
      <c r="F2" s="409"/>
      <c r="G2" s="409"/>
      <c r="H2" s="409"/>
      <c r="I2" s="65">
        <v>41791</v>
      </c>
      <c r="J2" s="86">
        <v>41792</v>
      </c>
      <c r="K2" s="86">
        <v>41793</v>
      </c>
      <c r="L2" s="86">
        <v>41794</v>
      </c>
      <c r="M2" s="86">
        <v>41795</v>
      </c>
      <c r="N2" s="86">
        <v>41796</v>
      </c>
      <c r="O2" s="65">
        <v>41797</v>
      </c>
      <c r="P2" s="65">
        <v>41798</v>
      </c>
      <c r="Q2" s="86">
        <v>41799</v>
      </c>
      <c r="R2" s="86">
        <v>41800</v>
      </c>
      <c r="S2" s="86">
        <v>41801</v>
      </c>
      <c r="T2" s="86">
        <v>41802</v>
      </c>
      <c r="U2" s="86">
        <v>41803</v>
      </c>
      <c r="V2" s="65">
        <v>41804</v>
      </c>
      <c r="W2" s="65">
        <v>41805</v>
      </c>
      <c r="X2" s="86">
        <v>41806</v>
      </c>
      <c r="Y2" s="86">
        <v>41807</v>
      </c>
      <c r="Z2" s="86">
        <v>41808</v>
      </c>
      <c r="AA2" s="86">
        <v>41809</v>
      </c>
      <c r="AB2" s="86">
        <v>41810</v>
      </c>
      <c r="AC2" s="65">
        <v>41811</v>
      </c>
      <c r="AD2" s="65">
        <v>41812</v>
      </c>
      <c r="AE2" s="86">
        <v>41813</v>
      </c>
      <c r="AF2" s="86">
        <v>41814</v>
      </c>
      <c r="AG2" s="86">
        <v>41815</v>
      </c>
      <c r="AH2" s="86">
        <v>41816</v>
      </c>
      <c r="AI2" s="86">
        <v>41817</v>
      </c>
      <c r="AJ2" s="65">
        <v>41818</v>
      </c>
      <c r="AK2" s="65">
        <v>41819</v>
      </c>
      <c r="AL2" s="86">
        <v>41820</v>
      </c>
      <c r="AM2" s="86">
        <v>41821</v>
      </c>
      <c r="AN2" s="66" t="s">
        <v>0</v>
      </c>
      <c r="AO2" s="3"/>
      <c r="AP2" s="3"/>
      <c r="AQ2" s="3"/>
      <c r="AR2" s="3"/>
      <c r="AS2" s="3"/>
      <c r="AT2" s="3"/>
    </row>
    <row r="3" spans="1:46" ht="50.25" customHeight="1" x14ac:dyDescent="0.2">
      <c r="A3" s="410" t="s">
        <v>121</v>
      </c>
      <c r="B3" s="413" t="s">
        <v>209</v>
      </c>
      <c r="C3" s="414"/>
      <c r="D3" s="414"/>
      <c r="E3" s="414"/>
      <c r="F3" s="414"/>
      <c r="G3" s="414"/>
      <c r="H3" s="414"/>
      <c r="I3" s="6" t="n">
        <v>1.0</v>
      </c>
      <c r="J3" s="6" t="n">
        <v>2.0</v>
      </c>
      <c r="K3" s="6" t="n">
        <v>3.0</v>
      </c>
      <c r="L3" s="6" t="n">
        <v>4.0</v>
      </c>
      <c r="M3" s="6" t="n">
        <v>5.0</v>
      </c>
      <c r="N3" s="6" t="n">
        <v>6.0</v>
      </c>
      <c r="O3" s="6" t="n">
        <v>6.0</v>
      </c>
      <c r="P3" s="6" t="n">
        <v>1.0</v>
      </c>
      <c r="Q3" s="6" t="n">
        <v>1.0</v>
      </c>
      <c r="R3" s="6" t="n">
        <v>1.0</v>
      </c>
      <c r="S3" s="6" t="n">
        <v>1.0</v>
      </c>
      <c r="T3" s="6" t="n">
        <v>1.0</v>
      </c>
      <c r="U3" s="6" t="n">
        <v>2.0</v>
      </c>
      <c r="V3" s="6" t="n">
        <v>4.0</v>
      </c>
      <c r="W3" s="6" t="n">
        <v>5.0</v>
      </c>
      <c r="X3" s="6" t="n">
        <v>5.0</v>
      </c>
      <c r="Y3" s="6" t="n">
        <v>5.0</v>
      </c>
      <c r="Z3" s="6" t="n">
        <v>4.0</v>
      </c>
      <c r="AA3" s="6" t="n">
        <v>7.0</v>
      </c>
      <c r="AB3" s="6" t="n">
        <v>7.0</v>
      </c>
      <c r="AC3" s="6" t="n">
        <v>8.0</v>
      </c>
      <c r="AD3" s="6" t="n">
        <v>8.0</v>
      </c>
      <c r="AE3" s="6" t="n">
        <v>9.0</v>
      </c>
      <c r="AF3" s="6" t="n">
        <v>8.0</v>
      </c>
      <c r="AG3" s="6" t="n">
        <v>8.0</v>
      </c>
      <c r="AH3" s="6" t="n">
        <v>7.0</v>
      </c>
      <c r="AI3" s="6" t="n">
        <v>2.0</v>
      </c>
      <c r="AJ3" s="6" t="n">
        <v>1.0</v>
      </c>
      <c r="AK3" s="6" t="n">
        <v>1.0</v>
      </c>
      <c r="AL3" s="6" t="n">
        <v>2.0</v>
      </c>
      <c r="AM3" s="6"/>
      <c r="AN3" s="67" t="n">
        <f t="shared" ref="AN3:AN8" si="0">SUM(I3:AM3)</f>
        <v>125.0</v>
      </c>
      <c r="AO3" s="85"/>
      <c r="AP3" s="85"/>
      <c r="AQ3" s="85"/>
      <c r="AR3" s="85"/>
      <c r="AS3" s="85"/>
      <c r="AT3" s="85"/>
    </row>
    <row r="4" spans="1:46" ht="50.25" customHeight="1" x14ac:dyDescent="0.2">
      <c r="A4" s="411"/>
      <c r="B4" s="413" t="s">
        <v>210</v>
      </c>
      <c r="C4" s="414"/>
      <c r="D4" s="414"/>
      <c r="E4" s="414"/>
      <c r="F4" s="414"/>
      <c r="G4" s="414"/>
      <c r="H4" s="414"/>
      <c r="I4" s="6" t="n">
        <v>1.0</v>
      </c>
      <c r="J4" s="6" t="n">
        <v>44.0</v>
      </c>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7" t="n">
        <f t="shared" si="0"/>
        <v>45.0</v>
      </c>
      <c r="AO4" s="85"/>
      <c r="AP4" s="85"/>
      <c r="AQ4" s="85"/>
      <c r="AR4" s="85"/>
      <c r="AS4" s="85"/>
      <c r="AT4" s="85"/>
    </row>
    <row r="5" spans="1:46" ht="50.25" customHeight="1" x14ac:dyDescent="0.2">
      <c r="A5" s="411"/>
      <c r="B5" s="415" t="s">
        <v>1</v>
      </c>
      <c r="C5" s="416"/>
      <c r="D5" s="416"/>
      <c r="E5" s="416"/>
      <c r="F5" s="416"/>
      <c r="G5" s="416"/>
      <c r="H5" s="41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7" t="n">
        <f t="shared" si="0"/>
        <v>0.0</v>
      </c>
      <c r="AO5" s="85"/>
      <c r="AP5" s="85"/>
      <c r="AQ5" s="85"/>
      <c r="AR5" s="85"/>
      <c r="AS5" s="85"/>
      <c r="AT5" s="85"/>
    </row>
    <row r="6" spans="1:46" ht="50.25" customHeight="1" x14ac:dyDescent="0.2">
      <c r="A6" s="411"/>
      <c r="B6" s="415" t="s">
        <v>1</v>
      </c>
      <c r="C6" s="416"/>
      <c r="D6" s="416"/>
      <c r="E6" s="416"/>
      <c r="F6" s="416"/>
      <c r="G6" s="416"/>
      <c r="H6" s="41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7" t="n">
        <f t="shared" si="0"/>
        <v>0.0</v>
      </c>
      <c r="AO6" s="85"/>
      <c r="AP6" s="85"/>
      <c r="AQ6" s="85"/>
      <c r="AR6" s="85"/>
      <c r="AS6" s="85"/>
      <c r="AT6" s="85"/>
    </row>
    <row r="7" spans="1:46" ht="50.25" customHeight="1" x14ac:dyDescent="0.2">
      <c r="A7" s="411"/>
      <c r="B7" s="415" t="s">
        <v>1</v>
      </c>
      <c r="C7" s="416"/>
      <c r="D7" s="416"/>
      <c r="E7" s="416"/>
      <c r="F7" s="416"/>
      <c r="G7" s="416"/>
      <c r="H7" s="41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7" t="n">
        <f t="shared" si="0"/>
        <v>0.0</v>
      </c>
      <c r="AO7" s="85"/>
      <c r="AP7" s="85"/>
      <c r="AQ7" s="85"/>
      <c r="AR7" s="85"/>
      <c r="AS7" s="85"/>
      <c r="AT7" s="85"/>
    </row>
    <row r="8" spans="1:46" ht="50.25" customHeight="1" thickBot="1" x14ac:dyDescent="0.25">
      <c r="A8" s="412"/>
      <c r="B8" s="415" t="s">
        <v>1</v>
      </c>
      <c r="C8" s="416"/>
      <c r="D8" s="416"/>
      <c r="E8" s="416"/>
      <c r="F8" s="416"/>
      <c r="G8" s="416"/>
      <c r="H8" s="41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7" t="n">
        <f t="shared" si="0"/>
        <v>0.0</v>
      </c>
      <c r="AO8" s="85"/>
      <c r="AP8" s="85"/>
      <c r="AQ8" s="85"/>
      <c r="AR8" s="85"/>
      <c r="AS8" s="85"/>
      <c r="AT8" s="85"/>
    </row>
    <row r="9" spans="1:46" ht="114.75" customHeight="1" thickBot="1" x14ac:dyDescent="0.25">
      <c r="B9" s="406" t="s">
        <v>12</v>
      </c>
      <c r="C9" s="406"/>
      <c r="D9" s="406"/>
      <c r="E9" s="406"/>
      <c r="F9" s="406"/>
      <c r="G9" s="406"/>
      <c r="H9" s="406"/>
      <c r="I9" s="429" t="s">
        <v>1</v>
      </c>
      <c r="J9" s="429"/>
      <c r="K9" s="429"/>
      <c r="L9" s="429"/>
      <c r="M9" s="429"/>
      <c r="N9" s="429"/>
      <c r="O9" s="429"/>
      <c r="P9" s="429"/>
      <c r="Q9" s="429"/>
      <c r="R9" s="429"/>
      <c r="S9" s="429"/>
      <c r="T9" s="429"/>
      <c r="U9" s="429"/>
      <c r="V9" s="429"/>
      <c r="W9" s="429"/>
      <c r="X9" s="429"/>
      <c r="Y9" s="429"/>
      <c r="Z9" s="429"/>
      <c r="AA9" s="429"/>
      <c r="AB9" s="429"/>
      <c r="AC9" s="429"/>
      <c r="AD9" s="429"/>
      <c r="AE9" s="429"/>
      <c r="AF9" s="429"/>
      <c r="AG9" s="429"/>
      <c r="AH9" s="429"/>
      <c r="AI9" s="429"/>
      <c r="AJ9" s="429"/>
      <c r="AK9" s="429"/>
      <c r="AL9" s="429"/>
      <c r="AM9" s="429"/>
      <c r="AN9" s="429"/>
      <c r="AO9" s="85"/>
      <c r="AP9" s="85"/>
      <c r="AQ9" s="85"/>
      <c r="AR9" s="85"/>
      <c r="AS9" s="85"/>
      <c r="AT9" s="85"/>
    </row>
    <row r="10" spans="1:46" s="91" customFormat="1" ht="49.5" customHeight="1" thickBot="1" x14ac:dyDescent="0.25">
      <c r="A10" s="410" t="s">
        <v>122</v>
      </c>
      <c r="B10" s="430" t="s">
        <v>5</v>
      </c>
      <c r="C10" s="431"/>
      <c r="D10" s="431"/>
      <c r="E10" s="431"/>
      <c r="F10" s="431"/>
      <c r="G10" s="431"/>
      <c r="H10" s="432"/>
      <c r="I10" s="88" t="n">
        <f>I11+I12</f>
        <v>7.0</v>
      </c>
      <c r="J10" s="89" t="n">
        <f t="shared" ref="J10:AM10" si="1">J11+J12</f>
        <v>53.0</v>
      </c>
      <c r="K10" s="89" t="n">
        <f t="shared" si="1"/>
        <v>7.0</v>
      </c>
      <c r="L10" s="89" t="n">
        <f t="shared" si="1"/>
        <v>12.0</v>
      </c>
      <c r="M10" s="89" t="n">
        <f t="shared" si="1"/>
        <v>9.0</v>
      </c>
      <c r="N10" s="89" t="n">
        <f t="shared" si="1"/>
        <v>8.0</v>
      </c>
      <c r="O10" s="89" t="n">
        <f t="shared" si="1"/>
        <v>12.0</v>
      </c>
      <c r="P10" s="89" t="n">
        <f t="shared" si="1"/>
        <v>1.0</v>
      </c>
      <c r="Q10" s="89" t="n">
        <f t="shared" si="1"/>
        <v>1.0</v>
      </c>
      <c r="R10" s="89" t="n">
        <f t="shared" si="1"/>
        <v>1.0</v>
      </c>
      <c r="S10" s="89" t="n">
        <f t="shared" si="1"/>
        <v>1.0</v>
      </c>
      <c r="T10" s="89" t="n">
        <f t="shared" si="1"/>
        <v>1.0</v>
      </c>
      <c r="U10" s="89" t="n">
        <f t="shared" si="1"/>
        <v>2.0</v>
      </c>
      <c r="V10" s="89" t="n">
        <f t="shared" si="1"/>
        <v>4.0</v>
      </c>
      <c r="W10" s="89" t="n">
        <f t="shared" si="1"/>
        <v>5.0</v>
      </c>
      <c r="X10" s="89" t="n">
        <f t="shared" si="1"/>
        <v>5.0</v>
      </c>
      <c r="Y10" s="89" t="n">
        <f t="shared" si="1"/>
        <v>5.0</v>
      </c>
      <c r="Z10" s="89" t="n">
        <f t="shared" si="1"/>
        <v>4.0</v>
      </c>
      <c r="AA10" s="89" t="n">
        <f t="shared" si="1"/>
        <v>7.0</v>
      </c>
      <c r="AB10" s="89" t="n">
        <f t="shared" si="1"/>
        <v>7.0</v>
      </c>
      <c r="AC10" s="89" t="n">
        <f t="shared" si="1"/>
        <v>8.0</v>
      </c>
      <c r="AD10" s="89" t="n">
        <f t="shared" si="1"/>
        <v>8.0</v>
      </c>
      <c r="AE10" s="89" t="n">
        <f t="shared" si="1"/>
        <v>9.0</v>
      </c>
      <c r="AF10" s="89" t="n">
        <f t="shared" si="1"/>
        <v>8.0</v>
      </c>
      <c r="AG10" s="89" t="n">
        <f t="shared" si="1"/>
        <v>8.0</v>
      </c>
      <c r="AH10" s="89" t="n">
        <f t="shared" si="1"/>
        <v>7.0</v>
      </c>
      <c r="AI10" s="89" t="n">
        <f t="shared" si="1"/>
        <v>2.0</v>
      </c>
      <c r="AJ10" s="89" t="n">
        <f t="shared" si="1"/>
        <v>1.0</v>
      </c>
      <c r="AK10" s="89" t="n">
        <f t="shared" si="1"/>
        <v>1.0</v>
      </c>
      <c r="AL10" s="89" t="n">
        <f t="shared" si="1"/>
        <v>2.0</v>
      </c>
      <c r="AM10" s="89" t="n">
        <f t="shared" si="1"/>
        <v>0.0</v>
      </c>
      <c r="AN10" s="90" t="n">
        <f>SUM(I10:AM10)</f>
        <v>206.0</v>
      </c>
      <c r="AO10" s="2"/>
      <c r="AP10" s="2"/>
      <c r="AQ10" s="2"/>
      <c r="AR10" s="2"/>
      <c r="AS10" s="2"/>
      <c r="AT10" s="2"/>
    </row>
    <row r="11" spans="1:46" s="91" customFormat="1" ht="49.5" customHeight="1" x14ac:dyDescent="0.2">
      <c r="A11" s="411"/>
      <c r="B11" s="433" t="s">
        <v>6</v>
      </c>
      <c r="C11" s="434"/>
      <c r="D11" s="434"/>
      <c r="E11" s="434"/>
      <c r="F11" s="434"/>
      <c r="G11" s="434"/>
      <c r="H11" s="434"/>
      <c r="I11" s="92" t="n">
        <v>5.0</v>
      </c>
      <c r="J11" s="92" t="n">
        <v>7.0</v>
      </c>
      <c r="K11" s="92" t="n">
        <v>4.0</v>
      </c>
      <c r="L11" s="92" t="n">
        <v>8.0</v>
      </c>
      <c r="M11" s="92" t="n">
        <v>4.0</v>
      </c>
      <c r="N11" s="92" t="n">
        <v>2.0</v>
      </c>
      <c r="O11" s="92" t="n">
        <v>6.0</v>
      </c>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3" t="n">
        <f>SUM(I11:AM11)</f>
        <v>36.0</v>
      </c>
      <c r="AO11" s="2"/>
      <c r="AP11" s="2"/>
      <c r="AQ11" s="2"/>
      <c r="AR11" s="2"/>
      <c r="AS11" s="2"/>
      <c r="AT11" s="2"/>
    </row>
    <row r="12" spans="1:46" s="91" customFormat="1" ht="49.5" customHeight="1" x14ac:dyDescent="0.2">
      <c r="A12" s="411"/>
      <c r="B12" s="435" t="s">
        <v>7</v>
      </c>
      <c r="C12" s="436"/>
      <c r="D12" s="436"/>
      <c r="E12" s="436"/>
      <c r="F12" s="436"/>
      <c r="G12" s="436"/>
      <c r="H12" s="436"/>
      <c r="I12" s="68" t="n">
        <f>SUM(I3:I8)</f>
        <v>2.0</v>
      </c>
      <c r="J12" s="68" t="n">
        <f t="shared" ref="J12:AM12" si="2">SUM(J3:J8)</f>
        <v>46.0</v>
      </c>
      <c r="K12" s="68" t="n">
        <f>SUM(K3:K8)</f>
        <v>3.0</v>
      </c>
      <c r="L12" s="68" t="n">
        <f t="shared" si="2"/>
        <v>4.0</v>
      </c>
      <c r="M12" s="68" t="n">
        <f t="shared" si="2"/>
        <v>5.0</v>
      </c>
      <c r="N12" s="68" t="n">
        <f t="shared" si="2"/>
        <v>6.0</v>
      </c>
      <c r="O12" s="68" t="n">
        <f t="shared" si="2"/>
        <v>6.0</v>
      </c>
      <c r="P12" s="68" t="n">
        <f t="shared" si="2"/>
        <v>1.0</v>
      </c>
      <c r="Q12" s="68" t="n">
        <f t="shared" si="2"/>
        <v>1.0</v>
      </c>
      <c r="R12" s="68" t="n">
        <f>SUM(R3:R8)</f>
        <v>1.0</v>
      </c>
      <c r="S12" s="68" t="n">
        <f t="shared" si="2"/>
        <v>1.0</v>
      </c>
      <c r="T12" s="68" t="n">
        <f t="shared" si="2"/>
        <v>1.0</v>
      </c>
      <c r="U12" s="68" t="n">
        <f t="shared" si="2"/>
        <v>2.0</v>
      </c>
      <c r="V12" s="68" t="n">
        <f t="shared" si="2"/>
        <v>4.0</v>
      </c>
      <c r="W12" s="68" t="n">
        <f t="shared" si="2"/>
        <v>5.0</v>
      </c>
      <c r="X12" s="68" t="n">
        <f t="shared" si="2"/>
        <v>5.0</v>
      </c>
      <c r="Y12" s="68" t="n">
        <f t="shared" si="2"/>
        <v>5.0</v>
      </c>
      <c r="Z12" s="68" t="n">
        <f t="shared" si="2"/>
        <v>4.0</v>
      </c>
      <c r="AA12" s="68" t="n">
        <f t="shared" si="2"/>
        <v>7.0</v>
      </c>
      <c r="AB12" s="68" t="n">
        <f t="shared" si="2"/>
        <v>7.0</v>
      </c>
      <c r="AC12" s="68" t="n">
        <f t="shared" si="2"/>
        <v>8.0</v>
      </c>
      <c r="AD12" s="68" t="n">
        <f t="shared" si="2"/>
        <v>8.0</v>
      </c>
      <c r="AE12" s="68" t="n">
        <f t="shared" si="2"/>
        <v>9.0</v>
      </c>
      <c r="AF12" s="68" t="n">
        <f t="shared" si="2"/>
        <v>8.0</v>
      </c>
      <c r="AG12" s="68" t="n">
        <f t="shared" si="2"/>
        <v>8.0</v>
      </c>
      <c r="AH12" s="68" t="n">
        <f t="shared" si="2"/>
        <v>7.0</v>
      </c>
      <c r="AI12" s="68" t="n">
        <f t="shared" si="2"/>
        <v>2.0</v>
      </c>
      <c r="AJ12" s="68" t="n">
        <f t="shared" si="2"/>
        <v>1.0</v>
      </c>
      <c r="AK12" s="68" t="n">
        <f t="shared" si="2"/>
        <v>1.0</v>
      </c>
      <c r="AL12" s="68" t="n">
        <f t="shared" si="2"/>
        <v>2.0</v>
      </c>
      <c r="AM12" s="68" t="n">
        <f t="shared" si="2"/>
        <v>0.0</v>
      </c>
      <c r="AN12" s="94" t="n">
        <f>SUM(I12:AM12)</f>
        <v>170.0</v>
      </c>
      <c r="AO12" s="2"/>
      <c r="AP12" s="2"/>
      <c r="AQ12" s="2"/>
      <c r="AR12" s="2"/>
      <c r="AS12" s="2"/>
      <c r="AT12" s="2"/>
    </row>
    <row r="13" spans="1:46" s="91" customFormat="1" ht="49.5" customHeight="1" thickBot="1" x14ac:dyDescent="0.25">
      <c r="A13" s="412"/>
      <c r="B13" s="437" t="s">
        <v>9</v>
      </c>
      <c r="C13" s="438"/>
      <c r="D13" s="438"/>
      <c r="E13" s="438"/>
      <c r="F13" s="438"/>
      <c r="G13" s="438"/>
      <c r="H13" s="438"/>
      <c r="I13" s="95" t="n">
        <f>(I12-I15)*100/I10</f>
        <v>-71.42857142857143</v>
      </c>
      <c r="J13" s="95" t="n">
        <f t="shared" ref="J13:AM13" si="3">(J12-J15)*100/J10</f>
        <v>75.47169811320755</v>
      </c>
      <c r="K13" s="95" t="n">
        <f t="shared" si="3"/>
        <v>-14.285714285714286</v>
      </c>
      <c r="L13" s="95" t="n">
        <f t="shared" si="3"/>
        <v>-41.666666666666664</v>
      </c>
      <c r="M13" s="95" t="n">
        <f t="shared" si="3"/>
        <v>0.0</v>
      </c>
      <c r="N13" s="95" t="n">
        <f t="shared" si="3"/>
        <v>12.5</v>
      </c>
      <c r="O13" s="95" t="n">
        <f t="shared" si="3"/>
        <v>50.0</v>
      </c>
      <c r="P13" s="95" t="n">
        <f t="shared" si="3"/>
        <v>100.0</v>
      </c>
      <c r="Q13" s="95" t="n">
        <f t="shared" si="3"/>
        <v>100.0</v>
      </c>
      <c r="R13" s="95" t="n">
        <f t="shared" si="3"/>
        <v>100.0</v>
      </c>
      <c r="S13" s="95" t="n">
        <f t="shared" si="3"/>
        <v>100.0</v>
      </c>
      <c r="T13" s="95" t="n">
        <f t="shared" si="3"/>
        <v>100.0</v>
      </c>
      <c r="U13" s="95" t="n">
        <f t="shared" si="3"/>
        <v>100.0</v>
      </c>
      <c r="V13" s="95" t="n">
        <f t="shared" si="3"/>
        <v>100.0</v>
      </c>
      <c r="W13" s="95" t="n">
        <f t="shared" si="3"/>
        <v>100.0</v>
      </c>
      <c r="X13" s="95" t="n">
        <f t="shared" si="3"/>
        <v>100.0</v>
      </c>
      <c r="Y13" s="95" t="n">
        <f t="shared" si="3"/>
        <v>100.0</v>
      </c>
      <c r="Z13" s="95" t="n">
        <f t="shared" si="3"/>
        <v>100.0</v>
      </c>
      <c r="AA13" s="95" t="n">
        <f t="shared" si="3"/>
        <v>100.0</v>
      </c>
      <c r="AB13" s="95" t="n">
        <f t="shared" si="3"/>
        <v>100.0</v>
      </c>
      <c r="AC13" s="95" t="n">
        <f t="shared" si="3"/>
        <v>100.0</v>
      </c>
      <c r="AD13" s="95" t="n">
        <f t="shared" si="3"/>
        <v>100.0</v>
      </c>
      <c r="AE13" s="95" t="n">
        <f t="shared" si="3"/>
        <v>100.0</v>
      </c>
      <c r="AF13" s="95" t="n">
        <f t="shared" si="3"/>
        <v>100.0</v>
      </c>
      <c r="AG13" s="95" t="n">
        <f t="shared" si="3"/>
        <v>100.0</v>
      </c>
      <c r="AH13" s="95" t="n">
        <f t="shared" si="3"/>
        <v>100.0</v>
      </c>
      <c r="AI13" s="95" t="n">
        <f t="shared" si="3"/>
        <v>100.0</v>
      </c>
      <c r="AJ13" s="95" t="n">
        <f t="shared" si="3"/>
        <v>100.0</v>
      </c>
      <c r="AK13" s="95" t="n">
        <f t="shared" si="3"/>
        <v>100.0</v>
      </c>
      <c r="AL13" s="95" t="n">
        <f t="shared" si="3"/>
        <v>100.0</v>
      </c>
      <c r="AM13" s="95" t="e">
        <f t="shared" si="3"/>
        <v>#DIV/0!</v>
      </c>
      <c r="AN13" s="96" t="n">
        <f>(AN12-AN15)*100/AN10</f>
        <v>65.04854368932038</v>
      </c>
      <c r="AO13" s="2"/>
      <c r="AP13" s="2"/>
      <c r="AQ13" s="2"/>
      <c r="AR13" s="2"/>
      <c r="AS13" s="2"/>
      <c r="AT13" s="2"/>
    </row>
    <row r="14" spans="1:46" s="101" customFormat="1" ht="30.75" customHeight="1" thickBot="1" x14ac:dyDescent="0.25">
      <c r="A14" s="97"/>
      <c r="B14" s="98"/>
      <c r="C14" s="98"/>
      <c r="D14" s="98"/>
      <c r="E14" s="98"/>
      <c r="F14" s="98"/>
      <c r="G14" s="98"/>
      <c r="H14" s="98"/>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c r="AI14" s="99"/>
      <c r="AJ14" s="99"/>
      <c r="AK14" s="99"/>
      <c r="AL14" s="99"/>
      <c r="AM14" s="99"/>
      <c r="AN14" s="99"/>
      <c r="AO14" s="100"/>
      <c r="AP14" s="100"/>
      <c r="AQ14" s="100"/>
      <c r="AR14" s="100"/>
      <c r="AS14" s="100"/>
      <c r="AT14" s="100"/>
    </row>
    <row r="15" spans="1:46" s="91" customFormat="1" ht="78" customHeight="1" x14ac:dyDescent="0.2">
      <c r="A15" s="404" t="s">
        <v>123</v>
      </c>
      <c r="B15" s="426" t="s">
        <v>8</v>
      </c>
      <c r="C15" s="427"/>
      <c r="D15" s="427"/>
      <c r="E15" s="427"/>
      <c r="F15" s="427"/>
      <c r="G15" s="427"/>
      <c r="H15" s="428"/>
      <c r="I15" s="102" t="n">
        <v>7.0</v>
      </c>
      <c r="J15" s="103" t="n">
        <v>6.0</v>
      </c>
      <c r="K15" s="103" t="n">
        <v>4.0</v>
      </c>
      <c r="L15" s="103" t="n">
        <v>9.0</v>
      </c>
      <c r="M15" s="103" t="n">
        <v>5.0</v>
      </c>
      <c r="N15" s="103" t="n">
        <v>5.0</v>
      </c>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4" t="n">
        <f>SUM(I15:AM15)</f>
        <v>36.0</v>
      </c>
      <c r="AO15" s="2"/>
      <c r="AP15" s="2"/>
      <c r="AQ15" s="2"/>
      <c r="AR15" s="2"/>
      <c r="AS15" s="2"/>
      <c r="AT15" s="2"/>
    </row>
    <row r="16" spans="1:46" s="91" customFormat="1" ht="78" customHeight="1" thickBot="1" x14ac:dyDescent="0.25">
      <c r="A16" s="405"/>
      <c r="B16" s="423" t="s">
        <v>10</v>
      </c>
      <c r="C16" s="424"/>
      <c r="D16" s="424"/>
      <c r="E16" s="424"/>
      <c r="F16" s="424"/>
      <c r="G16" s="424"/>
      <c r="H16" s="425"/>
      <c r="I16" s="105" t="n">
        <f>I15*100/I10</f>
        <v>100.0</v>
      </c>
      <c r="J16" s="106" t="n">
        <f>J15*100/J10</f>
        <v>11.320754716981131</v>
      </c>
      <c r="K16" s="106" t="n">
        <f>K15*100/K10</f>
        <v>57.142857142857146</v>
      </c>
      <c r="L16" s="106" t="n">
        <f t="shared" ref="L16:AM16" si="4">L15*100/L10</f>
        <v>75.0</v>
      </c>
      <c r="M16" s="106" t="n">
        <f t="shared" si="4"/>
        <v>55.55555555555556</v>
      </c>
      <c r="N16" s="106" t="n">
        <f t="shared" si="4"/>
        <v>62.5</v>
      </c>
      <c r="O16" s="106" t="n">
        <f t="shared" si="4"/>
        <v>0.0</v>
      </c>
      <c r="P16" s="106" t="n">
        <f t="shared" si="4"/>
        <v>0.0</v>
      </c>
      <c r="Q16" s="106" t="n">
        <f t="shared" si="4"/>
        <v>0.0</v>
      </c>
      <c r="R16" s="106" t="n">
        <f>R15*100/R10</f>
        <v>0.0</v>
      </c>
      <c r="S16" s="106" t="n">
        <f t="shared" si="4"/>
        <v>0.0</v>
      </c>
      <c r="T16" s="106" t="n">
        <f t="shared" si="4"/>
        <v>0.0</v>
      </c>
      <c r="U16" s="106" t="n">
        <f t="shared" si="4"/>
        <v>0.0</v>
      </c>
      <c r="V16" s="106" t="n">
        <f t="shared" si="4"/>
        <v>0.0</v>
      </c>
      <c r="W16" s="106" t="n">
        <f t="shared" si="4"/>
        <v>0.0</v>
      </c>
      <c r="X16" s="106" t="n">
        <f t="shared" si="4"/>
        <v>0.0</v>
      </c>
      <c r="Y16" s="106" t="n">
        <f t="shared" si="4"/>
        <v>0.0</v>
      </c>
      <c r="Z16" s="106" t="n">
        <f t="shared" si="4"/>
        <v>0.0</v>
      </c>
      <c r="AA16" s="106" t="n">
        <f t="shared" si="4"/>
        <v>0.0</v>
      </c>
      <c r="AB16" s="106" t="n">
        <f t="shared" si="4"/>
        <v>0.0</v>
      </c>
      <c r="AC16" s="106" t="n">
        <f t="shared" si="4"/>
        <v>0.0</v>
      </c>
      <c r="AD16" s="106" t="n">
        <f t="shared" si="4"/>
        <v>0.0</v>
      </c>
      <c r="AE16" s="106" t="n">
        <f t="shared" si="4"/>
        <v>0.0</v>
      </c>
      <c r="AF16" s="106" t="n">
        <f t="shared" si="4"/>
        <v>0.0</v>
      </c>
      <c r="AG16" s="106" t="n">
        <f t="shared" si="4"/>
        <v>0.0</v>
      </c>
      <c r="AH16" s="106" t="n">
        <f t="shared" si="4"/>
        <v>0.0</v>
      </c>
      <c r="AI16" s="106" t="n">
        <f t="shared" si="4"/>
        <v>0.0</v>
      </c>
      <c r="AJ16" s="106" t="n">
        <f t="shared" si="4"/>
        <v>0.0</v>
      </c>
      <c r="AK16" s="106" t="n">
        <f t="shared" si="4"/>
        <v>0.0</v>
      </c>
      <c r="AL16" s="106" t="n">
        <f t="shared" si="4"/>
        <v>0.0</v>
      </c>
      <c r="AM16" s="106" t="e">
        <f t="shared" si="4"/>
        <v>#DIV/0!</v>
      </c>
      <c r="AN16" s="107" t="n">
        <f>AN15*100/AN10</f>
        <v>17.475728155339805</v>
      </c>
      <c r="AO16" s="2"/>
      <c r="AP16" s="2"/>
      <c r="AQ16" s="2"/>
      <c r="AR16" s="2"/>
      <c r="AS16" s="2"/>
      <c r="AT16" s="2"/>
    </row>
    <row r="17" spans="1:46" s="91" customFormat="1" ht="30.75" customHeight="1" thickBot="1" x14ac:dyDescent="0.25">
      <c r="A17" s="108"/>
      <c r="B17" s="109"/>
      <c r="C17" s="109"/>
      <c r="D17" s="109"/>
      <c r="E17" s="109"/>
      <c r="F17" s="109"/>
      <c r="G17" s="109"/>
      <c r="H17" s="109"/>
      <c r="I17" s="110"/>
      <c r="J17" s="111"/>
      <c r="K17" s="111"/>
      <c r="L17" s="110"/>
      <c r="M17" s="111"/>
      <c r="N17" s="111"/>
      <c r="O17" s="110"/>
      <c r="P17" s="111"/>
      <c r="Q17" s="110"/>
      <c r="R17" s="110"/>
      <c r="S17" s="111"/>
      <c r="T17" s="111"/>
      <c r="U17" s="110"/>
      <c r="V17" s="111"/>
      <c r="W17" s="110"/>
      <c r="X17" s="110"/>
      <c r="Y17" s="110"/>
      <c r="Z17" s="110"/>
      <c r="AA17" s="111"/>
      <c r="AB17" s="111"/>
      <c r="AC17" s="110"/>
      <c r="AD17" s="110"/>
      <c r="AE17" s="110"/>
      <c r="AF17" s="110"/>
      <c r="AG17" s="110"/>
      <c r="AH17" s="111"/>
      <c r="AI17" s="111"/>
      <c r="AJ17" s="111"/>
      <c r="AK17" s="111"/>
      <c r="AL17" s="111"/>
      <c r="AM17" s="111"/>
      <c r="AN17" s="110"/>
      <c r="AO17" s="2"/>
      <c r="AP17" s="2"/>
      <c r="AQ17" s="2"/>
      <c r="AR17" s="2"/>
      <c r="AS17" s="2"/>
      <c r="AT17" s="2"/>
    </row>
    <row r="18" spans="1:46" s="91" customFormat="1" ht="72" customHeight="1" x14ac:dyDescent="0.2">
      <c r="A18" s="404" t="s">
        <v>124</v>
      </c>
      <c r="B18" s="417" t="s">
        <v>11</v>
      </c>
      <c r="C18" s="418"/>
      <c r="D18" s="418"/>
      <c r="E18" s="418"/>
      <c r="F18" s="418"/>
      <c r="G18" s="418"/>
      <c r="H18" s="419"/>
      <c r="I18" s="112" t="n">
        <f>I12-I15</f>
        <v>-5.0</v>
      </c>
      <c r="J18" s="113" t="n">
        <f>J12-J15</f>
        <v>40.0</v>
      </c>
      <c r="K18" s="113" t="n">
        <f t="shared" ref="K18:AM18" si="5">K12-K15</f>
        <v>-1.0</v>
      </c>
      <c r="L18" s="113" t="n">
        <f t="shared" si="5"/>
        <v>-5.0</v>
      </c>
      <c r="M18" s="113" t="n">
        <f t="shared" si="5"/>
        <v>0.0</v>
      </c>
      <c r="N18" s="113" t="n">
        <f t="shared" si="5"/>
        <v>1.0</v>
      </c>
      <c r="O18" s="113" t="n">
        <f t="shared" si="5"/>
        <v>6.0</v>
      </c>
      <c r="P18" s="113" t="n">
        <f t="shared" si="5"/>
        <v>1.0</v>
      </c>
      <c r="Q18" s="113" t="n">
        <f>Q12-Q15</f>
        <v>1.0</v>
      </c>
      <c r="R18" s="113" t="n">
        <f t="shared" si="5"/>
        <v>1.0</v>
      </c>
      <c r="S18" s="113" t="n">
        <f t="shared" si="5"/>
        <v>1.0</v>
      </c>
      <c r="T18" s="113" t="n">
        <f t="shared" si="5"/>
        <v>1.0</v>
      </c>
      <c r="U18" s="113" t="n">
        <f t="shared" si="5"/>
        <v>2.0</v>
      </c>
      <c r="V18" s="113" t="n">
        <f t="shared" si="5"/>
        <v>4.0</v>
      </c>
      <c r="W18" s="113" t="n">
        <f t="shared" si="5"/>
        <v>5.0</v>
      </c>
      <c r="X18" s="113" t="n">
        <f t="shared" si="5"/>
        <v>5.0</v>
      </c>
      <c r="Y18" s="113" t="n">
        <f t="shared" si="5"/>
        <v>5.0</v>
      </c>
      <c r="Z18" s="113" t="n">
        <f t="shared" si="5"/>
        <v>4.0</v>
      </c>
      <c r="AA18" s="113" t="n">
        <f t="shared" si="5"/>
        <v>7.0</v>
      </c>
      <c r="AB18" s="113" t="n">
        <f t="shared" si="5"/>
        <v>7.0</v>
      </c>
      <c r="AC18" s="113" t="n">
        <f t="shared" si="5"/>
        <v>8.0</v>
      </c>
      <c r="AD18" s="113" t="n">
        <f t="shared" si="5"/>
        <v>8.0</v>
      </c>
      <c r="AE18" s="113" t="n">
        <f t="shared" si="5"/>
        <v>9.0</v>
      </c>
      <c r="AF18" s="113" t="n">
        <f t="shared" si="5"/>
        <v>8.0</v>
      </c>
      <c r="AG18" s="113" t="n">
        <f t="shared" si="5"/>
        <v>8.0</v>
      </c>
      <c r="AH18" s="113" t="n">
        <f>AH12-AH15</f>
        <v>7.0</v>
      </c>
      <c r="AI18" s="113" t="n">
        <f t="shared" si="5"/>
        <v>2.0</v>
      </c>
      <c r="AJ18" s="113" t="n">
        <f t="shared" si="5"/>
        <v>1.0</v>
      </c>
      <c r="AK18" s="113" t="n">
        <f t="shared" si="5"/>
        <v>1.0</v>
      </c>
      <c r="AL18" s="113" t="n">
        <f t="shared" si="5"/>
        <v>2.0</v>
      </c>
      <c r="AM18" s="113" t="n">
        <f t="shared" si="5"/>
        <v>0.0</v>
      </c>
      <c r="AN18" s="114" t="n">
        <f>AN12-AN15</f>
        <v>134.0</v>
      </c>
      <c r="AO18" s="2"/>
      <c r="AP18" s="2"/>
      <c r="AQ18" s="2"/>
      <c r="AR18" s="2"/>
      <c r="AS18" s="2"/>
      <c r="AT18" s="2"/>
    </row>
    <row r="19" spans="1:46" s="91" customFormat="1" ht="72" customHeight="1" thickBot="1" x14ac:dyDescent="0.25">
      <c r="A19" s="405"/>
      <c r="B19" s="420" t="s">
        <v>98</v>
      </c>
      <c r="C19" s="421"/>
      <c r="D19" s="421"/>
      <c r="E19" s="421"/>
      <c r="F19" s="421"/>
      <c r="G19" s="421"/>
      <c r="H19" s="422"/>
      <c r="I19" s="115" t="n">
        <f t="shared" ref="I19:AK19" si="6">SUM(I11+I15)</f>
        <v>12.0</v>
      </c>
      <c r="J19" s="116" t="n">
        <f t="shared" si="6"/>
        <v>13.0</v>
      </c>
      <c r="K19" s="116" t="n">
        <f t="shared" si="6"/>
        <v>8.0</v>
      </c>
      <c r="L19" s="116" t="n">
        <f t="shared" si="6"/>
        <v>17.0</v>
      </c>
      <c r="M19" s="116" t="n">
        <f t="shared" si="6"/>
        <v>9.0</v>
      </c>
      <c r="N19" s="116" t="n">
        <f t="shared" si="6"/>
        <v>7.0</v>
      </c>
      <c r="O19" s="116" t="n">
        <f t="shared" si="6"/>
        <v>6.0</v>
      </c>
      <c r="P19" s="116" t="n">
        <f t="shared" si="6"/>
        <v>0.0</v>
      </c>
      <c r="Q19" s="116" t="n">
        <f>SUM(Q11+Q15)</f>
        <v>0.0</v>
      </c>
      <c r="R19" s="116" t="n">
        <f t="shared" si="6"/>
        <v>0.0</v>
      </c>
      <c r="S19" s="116" t="n">
        <f t="shared" si="6"/>
        <v>0.0</v>
      </c>
      <c r="T19" s="116" t="n">
        <f t="shared" si="6"/>
        <v>0.0</v>
      </c>
      <c r="U19" s="116" t="n">
        <f t="shared" si="6"/>
        <v>0.0</v>
      </c>
      <c r="V19" s="116" t="n">
        <f t="shared" si="6"/>
        <v>0.0</v>
      </c>
      <c r="W19" s="116" t="n">
        <f t="shared" si="6"/>
        <v>0.0</v>
      </c>
      <c r="X19" s="116" t="n">
        <f t="shared" si="6"/>
        <v>0.0</v>
      </c>
      <c r="Y19" s="116" t="n">
        <f t="shared" si="6"/>
        <v>0.0</v>
      </c>
      <c r="Z19" s="116" t="n">
        <f t="shared" si="6"/>
        <v>0.0</v>
      </c>
      <c r="AA19" s="116" t="n">
        <f t="shared" si="6"/>
        <v>0.0</v>
      </c>
      <c r="AB19" s="116" t="n">
        <f t="shared" si="6"/>
        <v>0.0</v>
      </c>
      <c r="AC19" s="116" t="n">
        <f t="shared" si="6"/>
        <v>0.0</v>
      </c>
      <c r="AD19" s="116" t="n">
        <f t="shared" si="6"/>
        <v>0.0</v>
      </c>
      <c r="AE19" s="116" t="n">
        <f t="shared" si="6"/>
        <v>0.0</v>
      </c>
      <c r="AF19" s="116" t="n">
        <f t="shared" si="6"/>
        <v>0.0</v>
      </c>
      <c r="AG19" s="116" t="n">
        <f t="shared" si="6"/>
        <v>0.0</v>
      </c>
      <c r="AH19" s="116" t="n">
        <f t="shared" si="6"/>
        <v>0.0</v>
      </c>
      <c r="AI19" s="116" t="n">
        <f t="shared" si="6"/>
        <v>0.0</v>
      </c>
      <c r="AJ19" s="116" t="n">
        <f t="shared" si="6"/>
        <v>0.0</v>
      </c>
      <c r="AK19" s="116" t="n">
        <f t="shared" si="6"/>
        <v>0.0</v>
      </c>
      <c r="AL19" s="116" t="n">
        <f>SUM(AL11+AL15)</f>
        <v>0.0</v>
      </c>
      <c r="AM19" s="116" t="n">
        <f>SUM(AM11+AM15)</f>
        <v>0.0</v>
      </c>
      <c r="AN19" s="117" t="n">
        <f>SUM(I19:AM19)</f>
        <v>72.0</v>
      </c>
      <c r="AO19" s="2"/>
      <c r="AP19" s="2"/>
      <c r="AQ19" s="2"/>
      <c r="AR19" s="2"/>
      <c r="AS19" s="2"/>
      <c r="AT19" s="2"/>
    </row>
    <row r="20" spans="1:46" ht="12.75" customHeight="1" x14ac:dyDescent="0.2">
      <c r="B20" s="85"/>
      <c r="C20" s="85"/>
      <c r="D20" s="1"/>
      <c r="E20" s="1"/>
      <c r="F20" s="1"/>
      <c r="G20" s="1"/>
      <c r="H20" s="1"/>
      <c r="I20" s="1"/>
      <c r="J20" s="1"/>
      <c r="K20" s="1"/>
      <c r="L20" s="1"/>
      <c r="M20" s="1"/>
      <c r="N20" s="1"/>
      <c r="O20" s="1"/>
      <c r="P20" s="1"/>
      <c r="Q20" s="1"/>
      <c r="R20" s="1"/>
      <c r="S20" s="1"/>
      <c r="T20" s="1"/>
      <c r="U20" s="1"/>
      <c r="V20" s="1"/>
      <c r="W20" s="1"/>
      <c r="X20" s="1"/>
      <c r="Y20" s="1"/>
      <c r="Z20" s="1"/>
      <c r="AA20" s="1"/>
      <c r="AB20" s="85"/>
      <c r="AC20" s="85"/>
      <c r="AD20" s="85"/>
      <c r="AE20" s="85"/>
      <c r="AF20" s="85"/>
      <c r="AG20" s="85"/>
      <c r="AH20" s="85"/>
      <c r="AI20" s="85"/>
      <c r="AJ20" s="85"/>
      <c r="AK20" s="85"/>
      <c r="AL20" s="85"/>
      <c r="AM20" s="85"/>
      <c r="AN20" s="85"/>
      <c r="AO20" s="85"/>
      <c r="AP20" s="85"/>
      <c r="AQ20" s="85"/>
      <c r="AR20" s="85"/>
      <c r="AS20" s="85"/>
      <c r="AT20" s="85"/>
    </row>
    <row r="21" spans="1:46" x14ac:dyDescent="0.2">
      <c r="B21" s="85"/>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c r="AF21" s="85"/>
      <c r="AG21" s="85"/>
      <c r="AH21" s="85"/>
      <c r="AI21" s="85"/>
      <c r="AJ21" s="85"/>
      <c r="AK21" s="85"/>
      <c r="AL21" s="85"/>
      <c r="AM21" s="85"/>
      <c r="AN21" s="85"/>
      <c r="AO21" s="85"/>
      <c r="AP21" s="85"/>
      <c r="AQ21" s="85"/>
      <c r="AR21" s="85"/>
      <c r="AS21" s="85"/>
      <c r="AT21" s="85"/>
    </row>
    <row r="22" spans="1:46" x14ac:dyDescent="0.2">
      <c r="B22" s="8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85"/>
      <c r="AG22" s="85"/>
      <c r="AH22" s="85"/>
      <c r="AI22" s="85"/>
      <c r="AJ22" s="85"/>
      <c r="AK22" s="85"/>
      <c r="AL22" s="85"/>
      <c r="AM22" s="85"/>
      <c r="AN22" s="85"/>
      <c r="AO22" s="85"/>
      <c r="AP22" s="85"/>
      <c r="AQ22" s="85"/>
      <c r="AR22" s="85"/>
      <c r="AS22" s="85"/>
      <c r="AT22" s="85"/>
    </row>
    <row r="23" spans="1:46" x14ac:dyDescent="0.2">
      <c r="B23" s="85"/>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85"/>
      <c r="AI23" s="85"/>
      <c r="AJ23" s="85"/>
      <c r="AK23" s="85"/>
      <c r="AL23" s="85"/>
      <c r="AM23" s="85"/>
      <c r="AN23" s="85"/>
      <c r="AO23" s="85"/>
      <c r="AP23" s="85"/>
      <c r="AQ23" s="85"/>
      <c r="AR23" s="85"/>
      <c r="AS23" s="85"/>
      <c r="AT23" s="85"/>
    </row>
    <row r="24" spans="1:46" x14ac:dyDescent="0.2">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85"/>
      <c r="AI24" s="85"/>
      <c r="AJ24" s="85"/>
      <c r="AK24" s="85"/>
      <c r="AL24" s="85"/>
      <c r="AM24" s="85"/>
      <c r="AN24" s="85"/>
      <c r="AO24" s="85"/>
      <c r="AP24" s="85"/>
      <c r="AQ24" s="85"/>
      <c r="AR24" s="85"/>
      <c r="AS24" s="85"/>
      <c r="AT24" s="85"/>
    </row>
    <row r="25" spans="1:46" x14ac:dyDescent="0.2">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85"/>
      <c r="AI25" s="85"/>
      <c r="AJ25" s="85"/>
      <c r="AK25" s="85"/>
      <c r="AL25" s="85"/>
      <c r="AM25" s="85"/>
      <c r="AN25" s="85"/>
      <c r="AO25" s="85"/>
      <c r="AP25" s="85"/>
      <c r="AQ25" s="85"/>
      <c r="AR25" s="85"/>
      <c r="AS25" s="85"/>
      <c r="AT25" s="85"/>
    </row>
    <row r="26" spans="1:46" x14ac:dyDescent="0.2">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row>
    <row r="27" spans="1:46" x14ac:dyDescent="0.2">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row>
    <row r="28" spans="1:46" x14ac:dyDescent="0.2">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row>
    <row r="29" spans="1:46" x14ac:dyDescent="0.2">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row>
    <row r="30" spans="1:46" x14ac:dyDescent="0.2">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row>
    <row r="31" spans="1:46" x14ac:dyDescent="0.2">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row>
    <row r="32" spans="1:46" x14ac:dyDescent="0.2">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row>
    <row r="33" spans="2:46" x14ac:dyDescent="0.2">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row>
    <row r="34" spans="2:46" x14ac:dyDescent="0.2">
      <c r="B34" s="85"/>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row>
    <row r="35" spans="2:46" x14ac:dyDescent="0.2">
      <c r="B35" s="85"/>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row>
    <row r="36" spans="2:46" x14ac:dyDescent="0.2">
      <c r="B36" s="85"/>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row>
    <row r="37" spans="2:46" x14ac:dyDescent="0.2">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c r="AF37" s="85"/>
      <c r="AG37" s="85"/>
      <c r="AH37" s="85"/>
      <c r="AI37" s="85"/>
      <c r="AJ37" s="85"/>
      <c r="AK37" s="85"/>
      <c r="AL37" s="85"/>
      <c r="AM37" s="85"/>
      <c r="AN37" s="85"/>
      <c r="AO37" s="85"/>
      <c r="AP37" s="85"/>
      <c r="AQ37" s="85"/>
      <c r="AR37" s="85"/>
      <c r="AS37" s="85"/>
      <c r="AT37" s="85"/>
    </row>
    <row r="38" spans="2:46" x14ac:dyDescent="0.2">
      <c r="B38" s="85"/>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c r="AF38" s="85"/>
      <c r="AG38" s="85"/>
      <c r="AH38" s="85"/>
      <c r="AI38" s="85"/>
      <c r="AJ38" s="85"/>
      <c r="AK38" s="85"/>
      <c r="AL38" s="85"/>
      <c r="AM38" s="85"/>
      <c r="AN38" s="85"/>
      <c r="AO38" s="85"/>
      <c r="AP38" s="85"/>
      <c r="AQ38" s="85"/>
      <c r="AR38" s="85"/>
      <c r="AS38" s="85"/>
      <c r="AT38" s="85"/>
    </row>
    <row r="39" spans="2:46" x14ac:dyDescent="0.2">
      <c r="B39" s="85"/>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c r="AF39" s="85"/>
      <c r="AG39" s="85"/>
      <c r="AH39" s="85"/>
      <c r="AI39" s="85"/>
      <c r="AJ39" s="85"/>
      <c r="AK39" s="85"/>
      <c r="AL39" s="85"/>
      <c r="AM39" s="85"/>
      <c r="AN39" s="85"/>
      <c r="AO39" s="85"/>
      <c r="AP39" s="85"/>
      <c r="AQ39" s="85"/>
      <c r="AR39" s="85"/>
      <c r="AS39" s="85"/>
      <c r="AT39" s="85"/>
    </row>
    <row r="40" spans="2:46" x14ac:dyDescent="0.2">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row>
    <row r="41" spans="2:46" x14ac:dyDescent="0.2">
      <c r="B41" s="85"/>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c r="AF41" s="85"/>
      <c r="AG41" s="85"/>
      <c r="AH41" s="85"/>
      <c r="AI41" s="85"/>
      <c r="AJ41" s="85"/>
      <c r="AK41" s="85"/>
      <c r="AL41" s="85"/>
      <c r="AM41" s="85"/>
      <c r="AN41" s="85"/>
      <c r="AO41" s="85"/>
      <c r="AP41" s="85"/>
      <c r="AQ41" s="85"/>
      <c r="AR41" s="85"/>
      <c r="AS41" s="85"/>
      <c r="AT41" s="85"/>
    </row>
    <row r="42" spans="2:46" x14ac:dyDescent="0.2">
      <c r="B42" s="8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row>
    <row r="43" spans="2:46" x14ac:dyDescent="0.2">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c r="AF43" s="85"/>
      <c r="AG43" s="85"/>
      <c r="AH43" s="85"/>
      <c r="AI43" s="85"/>
      <c r="AJ43" s="85"/>
      <c r="AK43" s="85"/>
      <c r="AL43" s="85"/>
      <c r="AM43" s="85"/>
      <c r="AN43" s="85"/>
      <c r="AO43" s="85"/>
      <c r="AP43" s="85"/>
      <c r="AQ43" s="85"/>
      <c r="AR43" s="85"/>
      <c r="AS43" s="85"/>
      <c r="AT43" s="85"/>
    </row>
    <row r="44" spans="2:46" x14ac:dyDescent="0.2">
      <c r="B44" s="85"/>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c r="AF44" s="85"/>
      <c r="AG44" s="85"/>
      <c r="AH44" s="85"/>
      <c r="AI44" s="85"/>
      <c r="AJ44" s="85"/>
      <c r="AK44" s="85"/>
      <c r="AL44" s="85"/>
      <c r="AM44" s="85"/>
      <c r="AN44" s="85"/>
      <c r="AO44" s="85"/>
      <c r="AP44" s="85"/>
      <c r="AQ44" s="85"/>
      <c r="AR44" s="85"/>
      <c r="AS44" s="85"/>
      <c r="AT44" s="85"/>
    </row>
    <row r="45" spans="2:46" x14ac:dyDescent="0.2">
      <c r="B45" s="85"/>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c r="AF45" s="85"/>
      <c r="AG45" s="85"/>
      <c r="AH45" s="85"/>
      <c r="AI45" s="85"/>
      <c r="AJ45" s="85"/>
      <c r="AK45" s="85"/>
      <c r="AL45" s="85"/>
      <c r="AM45" s="85"/>
      <c r="AN45" s="85"/>
      <c r="AO45" s="85"/>
      <c r="AP45" s="85"/>
      <c r="AQ45" s="85"/>
      <c r="AR45" s="85"/>
      <c r="AS45" s="85"/>
      <c r="AT45" s="85"/>
    </row>
    <row r="46" spans="2:46" x14ac:dyDescent="0.2">
      <c r="B46" s="85"/>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c r="AF46" s="85"/>
      <c r="AG46" s="85"/>
      <c r="AH46" s="85"/>
      <c r="AI46" s="85"/>
      <c r="AJ46" s="85"/>
      <c r="AK46" s="85"/>
      <c r="AL46" s="85"/>
      <c r="AM46" s="85"/>
      <c r="AN46" s="85"/>
      <c r="AO46" s="85"/>
      <c r="AP46" s="85"/>
      <c r="AQ46" s="85"/>
      <c r="AR46" s="85"/>
      <c r="AS46" s="85"/>
      <c r="AT46" s="85"/>
    </row>
  </sheetData>
  <sheetProtection selectLockedCells="1" selectUnlockedCells="1"/>
  <mergeCells count="24">
    <mergeCell ref="A15:A16"/>
    <mergeCell ref="B15:H15"/>
    <mergeCell ref="I9:AN9"/>
    <mergeCell ref="A10:A13"/>
    <mergeCell ref="B10:H10"/>
    <mergeCell ref="B11:H11"/>
    <mergeCell ref="B12:H12"/>
    <mergeCell ref="B13:H13"/>
    <mergeCell ref="A18:A19"/>
    <mergeCell ref="B9:H9"/>
    <mergeCell ref="B1:H1"/>
    <mergeCell ref="I1:AI1"/>
    <mergeCell ref="AJ1:AN1"/>
    <mergeCell ref="B2:H2"/>
    <mergeCell ref="A3:A8"/>
    <mergeCell ref="B3:H3"/>
    <mergeCell ref="B4:H4"/>
    <mergeCell ref="B5:H5"/>
    <mergeCell ref="B6:H6"/>
    <mergeCell ref="B7:H7"/>
    <mergeCell ref="B8:H8"/>
    <mergeCell ref="B18:H18"/>
    <mergeCell ref="B19:H19"/>
    <mergeCell ref="B16:H16"/>
  </mergeCells>
  <phoneticPr fontId="2" type="noConversion"/>
  <conditionalFormatting sqref="I16:AN17">
    <cfRule type="cellIs" dxfId="5" priority="2" stopIfTrue="1" operator="notEqual">
      <formula>0</formula>
    </cfRule>
  </conditionalFormatting>
  <conditionalFormatting sqref="I18:AN18">
    <cfRule type="cellIs" dxfId="4" priority="3" stopIfTrue="1" operator="notEqual">
      <formula>0</formula>
    </cfRule>
  </conditionalFormatting>
  <conditionalFormatting sqref="I14:AN14 I11:AN12">
    <cfRule type="cellIs" dxfId="3" priority="4" stopIfTrue="1" operator="equal">
      <formula>0</formula>
    </cfRule>
  </conditionalFormatting>
  <conditionalFormatting sqref="I15:AN15">
    <cfRule type="cellIs" dxfId="2" priority="5" stopIfTrue="1" operator="equal">
      <formula>0</formula>
    </cfRule>
  </conditionalFormatting>
  <conditionalFormatting sqref="I19:AN19">
    <cfRule type="cellIs" dxfId="1" priority="6" stopIfTrue="1" operator="equal">
      <formula>0</formula>
    </cfRule>
  </conditionalFormatting>
  <conditionalFormatting sqref="I13:AN13">
    <cfRule type="cellIs" dxfId="0" priority="1" stopIfTrue="1" operator="not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CDATA[&C&26&P de &N&R&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42"/>
  <sheetViews>
    <sheetView showGridLines="0" zoomScaleNormal="100" workbookViewId="0">
      <selection activeCell="J1" sqref="J1:K1"/>
    </sheetView>
  </sheetViews>
  <sheetFormatPr baseColWidth="10" defaultRowHeight="12.75" x14ac:dyDescent="0.2"/>
  <sheetData>
    <row r="1" spans="1:14" ht="76.5" customHeight="1" x14ac:dyDescent="0.2">
      <c r="A1" s="339"/>
      <c r="B1" s="339"/>
      <c r="C1" s="359" t="s">
        <v>90</v>
      </c>
      <c r="D1" s="359"/>
      <c r="E1" s="359"/>
      <c r="F1" s="359"/>
      <c r="G1" s="359"/>
      <c r="H1" s="359"/>
      <c r="I1" s="359"/>
      <c r="J1" s="233" t="s">
        <v>99</v>
      </c>
      <c r="K1" s="339"/>
    </row>
    <row r="2" spans="1:14" x14ac:dyDescent="0.2">
      <c r="A2" s="368"/>
      <c r="B2" s="370"/>
      <c r="C2" s="370"/>
      <c r="D2" s="370"/>
      <c r="E2" s="370"/>
      <c r="F2" s="370"/>
      <c r="G2" s="370"/>
      <c r="H2" s="370"/>
      <c r="I2" s="370"/>
      <c r="J2" s="370"/>
      <c r="K2" s="369"/>
    </row>
    <row r="3" spans="1:14" x14ac:dyDescent="0.2">
      <c r="A3" s="376"/>
      <c r="B3" s="377"/>
      <c r="C3" s="377"/>
      <c r="D3" s="377"/>
      <c r="E3" s="377"/>
      <c r="F3" s="377"/>
      <c r="G3" s="377"/>
      <c r="H3" s="377"/>
      <c r="I3" s="377"/>
      <c r="J3" s="377"/>
      <c r="K3" s="439"/>
    </row>
    <row r="4" spans="1:14" x14ac:dyDescent="0.2">
      <c r="A4" s="376"/>
      <c r="B4" s="377"/>
      <c r="C4" s="377"/>
      <c r="D4" s="377"/>
      <c r="E4" s="377"/>
      <c r="F4" s="377"/>
      <c r="G4" s="377"/>
      <c r="H4" s="377"/>
      <c r="I4" s="377"/>
      <c r="J4" s="377"/>
      <c r="K4" s="439"/>
    </row>
    <row r="5" spans="1:14" x14ac:dyDescent="0.2">
      <c r="A5" s="376"/>
      <c r="B5" s="377"/>
      <c r="C5" s="377"/>
      <c r="D5" s="377"/>
      <c r="E5" s="377"/>
      <c r="F5" s="377"/>
      <c r="G5" s="377"/>
      <c r="H5" s="377"/>
      <c r="I5" s="377"/>
      <c r="J5" s="377"/>
      <c r="K5" s="439"/>
      <c r="N5" s="5"/>
    </row>
    <row r="6" spans="1:14" x14ac:dyDescent="0.2">
      <c r="A6" s="376"/>
      <c r="B6" s="377"/>
      <c r="C6" s="377"/>
      <c r="D6" s="377"/>
      <c r="E6" s="377"/>
      <c r="F6" s="377"/>
      <c r="G6" s="377"/>
      <c r="H6" s="377"/>
      <c r="I6" s="377"/>
      <c r="J6" s="377"/>
      <c r="K6" s="439"/>
    </row>
    <row r="7" spans="1:14" x14ac:dyDescent="0.2">
      <c r="A7" s="376"/>
      <c r="B7" s="377"/>
      <c r="C7" s="377"/>
      <c r="D7" s="377"/>
      <c r="E7" s="377"/>
      <c r="F7" s="377"/>
      <c r="G7" s="377"/>
      <c r="H7" s="377"/>
      <c r="I7" s="377"/>
      <c r="J7" s="377"/>
      <c r="K7" s="439"/>
    </row>
    <row r="8" spans="1:14" x14ac:dyDescent="0.2">
      <c r="A8" s="376"/>
      <c r="B8" s="377"/>
      <c r="C8" s="377"/>
      <c r="D8" s="377"/>
      <c r="E8" s="377"/>
      <c r="F8" s="377"/>
      <c r="G8" s="377"/>
      <c r="H8" s="377"/>
      <c r="I8" s="377"/>
      <c r="J8" s="377"/>
      <c r="K8" s="439"/>
    </row>
    <row r="9" spans="1:14" x14ac:dyDescent="0.2">
      <c r="A9" s="376"/>
      <c r="B9" s="377"/>
      <c r="C9" s="377"/>
      <c r="D9" s="377"/>
      <c r="E9" s="377"/>
      <c r="F9" s="377"/>
      <c r="G9" s="377"/>
      <c r="H9" s="377"/>
      <c r="I9" s="377"/>
      <c r="J9" s="377"/>
      <c r="K9" s="439"/>
    </row>
    <row r="10" spans="1:14" x14ac:dyDescent="0.2">
      <c r="A10" s="376"/>
      <c r="B10" s="377"/>
      <c r="C10" s="377"/>
      <c r="D10" s="377"/>
      <c r="E10" s="377"/>
      <c r="F10" s="377"/>
      <c r="G10" s="377"/>
      <c r="H10" s="377"/>
      <c r="I10" s="377"/>
      <c r="J10" s="377"/>
      <c r="K10" s="439"/>
    </row>
    <row r="11" spans="1:14" x14ac:dyDescent="0.2">
      <c r="A11" s="376"/>
      <c r="B11" s="377"/>
      <c r="C11" s="377"/>
      <c r="D11" s="377"/>
      <c r="E11" s="377"/>
      <c r="F11" s="377"/>
      <c r="G11" s="377"/>
      <c r="H11" s="377"/>
      <c r="I11" s="377"/>
      <c r="J11" s="377"/>
      <c r="K11" s="439"/>
    </row>
    <row r="12" spans="1:14" x14ac:dyDescent="0.2">
      <c r="A12" s="376"/>
      <c r="B12" s="377"/>
      <c r="C12" s="377"/>
      <c r="D12" s="377"/>
      <c r="E12" s="377"/>
      <c r="F12" s="377"/>
      <c r="G12" s="377"/>
      <c r="H12" s="377"/>
      <c r="I12" s="377"/>
      <c r="J12" s="377"/>
      <c r="K12" s="439"/>
    </row>
    <row r="13" spans="1:14" x14ac:dyDescent="0.2">
      <c r="A13" s="376"/>
      <c r="B13" s="377"/>
      <c r="C13" s="377"/>
      <c r="D13" s="377"/>
      <c r="E13" s="377"/>
      <c r="F13" s="377"/>
      <c r="G13" s="377"/>
      <c r="H13" s="377"/>
      <c r="I13" s="377"/>
      <c r="J13" s="377"/>
      <c r="K13" s="439"/>
    </row>
    <row r="14" spans="1:14" x14ac:dyDescent="0.2">
      <c r="A14" s="376"/>
      <c r="B14" s="377"/>
      <c r="C14" s="377"/>
      <c r="D14" s="377"/>
      <c r="E14" s="377"/>
      <c r="F14" s="377"/>
      <c r="G14" s="377"/>
      <c r="H14" s="377"/>
      <c r="I14" s="377"/>
      <c r="J14" s="377"/>
      <c r="K14" s="439"/>
    </row>
    <row r="15" spans="1:14" x14ac:dyDescent="0.2">
      <c r="A15" s="376"/>
      <c r="B15" s="377"/>
      <c r="C15" s="377"/>
      <c r="D15" s="377"/>
      <c r="E15" s="377"/>
      <c r="F15" s="377"/>
      <c r="G15" s="377"/>
      <c r="H15" s="377"/>
      <c r="I15" s="377"/>
      <c r="J15" s="377"/>
      <c r="K15" s="439"/>
    </row>
    <row r="16" spans="1:14" x14ac:dyDescent="0.2">
      <c r="A16" s="376"/>
      <c r="B16" s="377"/>
      <c r="C16" s="377"/>
      <c r="D16" s="377"/>
      <c r="E16" s="377"/>
      <c r="F16" s="377"/>
      <c r="G16" s="377"/>
      <c r="H16" s="377"/>
      <c r="I16" s="377"/>
      <c r="J16" s="377"/>
      <c r="K16" s="439"/>
    </row>
    <row r="17" spans="1:11" x14ac:dyDescent="0.2">
      <c r="A17" s="376"/>
      <c r="B17" s="377"/>
      <c r="C17" s="377"/>
      <c r="D17" s="377"/>
      <c r="E17" s="377"/>
      <c r="F17" s="377"/>
      <c r="G17" s="377"/>
      <c r="H17" s="377"/>
      <c r="I17" s="377"/>
      <c r="J17" s="377"/>
      <c r="K17" s="439"/>
    </row>
    <row r="18" spans="1:11" x14ac:dyDescent="0.2">
      <c r="A18" s="376"/>
      <c r="B18" s="377"/>
      <c r="C18" s="377"/>
      <c r="D18" s="377"/>
      <c r="E18" s="377"/>
      <c r="F18" s="377"/>
      <c r="G18" s="377"/>
      <c r="H18" s="377"/>
      <c r="I18" s="377"/>
      <c r="J18" s="377"/>
      <c r="K18" s="439"/>
    </row>
    <row r="19" spans="1:11" x14ac:dyDescent="0.2">
      <c r="A19" s="376"/>
      <c r="B19" s="377"/>
      <c r="C19" s="377"/>
      <c r="D19" s="377"/>
      <c r="E19" s="377"/>
      <c r="F19" s="377"/>
      <c r="G19" s="377"/>
      <c r="H19" s="377"/>
      <c r="I19" s="377"/>
      <c r="J19" s="377"/>
      <c r="K19" s="439"/>
    </row>
    <row r="20" spans="1:11" x14ac:dyDescent="0.2">
      <c r="A20" s="376"/>
      <c r="B20" s="377"/>
      <c r="C20" s="377"/>
      <c r="D20" s="377"/>
      <c r="E20" s="377"/>
      <c r="F20" s="377"/>
      <c r="G20" s="377"/>
      <c r="H20" s="377"/>
      <c r="I20" s="377"/>
      <c r="J20" s="377"/>
      <c r="K20" s="439"/>
    </row>
    <row r="21" spans="1:11" x14ac:dyDescent="0.2">
      <c r="A21" s="376"/>
      <c r="B21" s="377"/>
      <c r="C21" s="377"/>
      <c r="D21" s="377"/>
      <c r="E21" s="377"/>
      <c r="F21" s="377"/>
      <c r="G21" s="377"/>
      <c r="H21" s="377"/>
      <c r="I21" s="377"/>
      <c r="J21" s="377"/>
      <c r="K21" s="439"/>
    </row>
    <row r="22" spans="1:11" x14ac:dyDescent="0.2">
      <c r="A22" s="376"/>
      <c r="B22" s="377"/>
      <c r="C22" s="377"/>
      <c r="D22" s="377"/>
      <c r="E22" s="377"/>
      <c r="F22" s="377"/>
      <c r="G22" s="377"/>
      <c r="H22" s="377"/>
      <c r="I22" s="377"/>
      <c r="J22" s="377"/>
      <c r="K22" s="439"/>
    </row>
    <row r="23" spans="1:11" x14ac:dyDescent="0.2">
      <c r="A23" s="376"/>
      <c r="B23" s="377"/>
      <c r="C23" s="377"/>
      <c r="D23" s="377"/>
      <c r="E23" s="377"/>
      <c r="F23" s="377"/>
      <c r="G23" s="377"/>
      <c r="H23" s="377"/>
      <c r="I23" s="377"/>
      <c r="J23" s="377"/>
      <c r="K23" s="439"/>
    </row>
    <row r="24" spans="1:11" x14ac:dyDescent="0.2">
      <c r="A24" s="387"/>
      <c r="B24" s="388"/>
      <c r="C24" s="388"/>
      <c r="D24" s="388"/>
      <c r="E24" s="388"/>
      <c r="F24" s="388"/>
      <c r="G24" s="388"/>
      <c r="H24" s="388"/>
      <c r="I24" s="388"/>
      <c r="J24" s="388"/>
      <c r="K24" s="440"/>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horizontalDpi="200" verticalDpi="200"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0"/>
  <sheetViews>
    <sheetView workbookViewId="0">
      <selection activeCell="N12" sqref="N12"/>
    </sheetView>
  </sheetViews>
  <sheetFormatPr baseColWidth="10" defaultRowHeight="12.75" x14ac:dyDescent="0.2"/>
  <cols>
    <col min="1" max="1" customWidth="true" width="11.42578125" collapsed="true"/>
    <col min="2" max="2" bestFit="true" customWidth="true" width="13.5703125" collapsed="true"/>
    <col min="3" max="3" customWidth="true" width="15.5703125" collapsed="true"/>
    <col min="4" max="4" customWidth="true" width="9.28515625" collapsed="true"/>
    <col min="5" max="8" customWidth="true" width="13.5703125" collapsed="true"/>
  </cols>
  <sheetData>
    <row r="1" spans="1:8" ht="67.5" customHeight="1" x14ac:dyDescent="0.2">
      <c r="A1" s="441"/>
      <c r="B1" s="442"/>
      <c r="C1" s="443" t="s">
        <v>132</v>
      </c>
      <c r="D1" s="444"/>
      <c r="E1" s="444"/>
      <c r="F1" s="445"/>
      <c r="G1" s="446" t="s">
        <v>133</v>
      </c>
      <c r="H1" s="447"/>
    </row>
    <row r="2" spans="1:8" ht="15" customHeight="1" x14ac:dyDescent="0.2">
      <c r="A2" s="118" t="s">
        <v>13</v>
      </c>
      <c r="B2" s="118" t="s">
        <v>134</v>
      </c>
      <c r="C2" s="118" t="s">
        <v>135</v>
      </c>
      <c r="D2" s="118" t="s">
        <v>136</v>
      </c>
      <c r="E2" s="119" t="s">
        <v>137</v>
      </c>
      <c r="F2" s="120" t="s">
        <v>138</v>
      </c>
      <c r="G2" s="121" t="s">
        <v>139</v>
      </c>
      <c r="H2" s="121" t="s">
        <v>140</v>
      </c>
    </row>
    <row r="3" spans="1:8" ht="15" customHeight="1" x14ac:dyDescent="0.2">
      <c r="A3" s="122"/>
      <c r="B3" s="123"/>
      <c r="C3" s="124"/>
      <c r="D3" s="125"/>
      <c r="E3" s="126" t="n">
        <f>SUM(E4:E160)</f>
        <v>0.0</v>
      </c>
      <c r="F3" s="127" t="n">
        <f>SUM(F4:F160)</f>
        <v>0.0</v>
      </c>
      <c r="G3" s="128" t="n">
        <f>SUM(G4:G160)</f>
        <v>0.0</v>
      </c>
      <c r="H3" s="128" t="n">
        <f>SUM(E3:G3)</f>
        <v>0.0</v>
      </c>
    </row>
    <row r="4" spans="1:8" ht="15" customHeight="1" x14ac:dyDescent="0.2">
      <c r="A4" s="129"/>
      <c r="B4" s="129"/>
      <c r="C4" s="129"/>
      <c r="D4" s="129"/>
      <c r="E4" s="130"/>
      <c r="F4" s="130"/>
      <c r="G4" s="130"/>
      <c r="H4" s="130"/>
    </row>
    <row r="5" spans="1:8" ht="15" customHeight="1" x14ac:dyDescent="0.2">
      <c r="A5" s="130"/>
      <c r="B5" s="130"/>
      <c r="C5" s="130"/>
      <c r="D5" s="130"/>
      <c r="E5" s="130"/>
      <c r="F5" s="130"/>
      <c r="G5" s="130"/>
      <c r="H5" s="130"/>
    </row>
    <row r="6" spans="1:8" ht="15" customHeight="1" x14ac:dyDescent="0.2">
      <c r="A6" s="130"/>
      <c r="B6" s="130"/>
      <c r="C6" s="130"/>
      <c r="D6" s="130"/>
      <c r="E6" s="130"/>
      <c r="F6" s="130"/>
      <c r="G6" s="130"/>
      <c r="H6" s="130"/>
    </row>
    <row r="7" spans="1:8" ht="15" customHeight="1" x14ac:dyDescent="0.2">
      <c r="A7" s="130"/>
      <c r="B7" s="130"/>
      <c r="C7" s="130"/>
      <c r="D7" s="130"/>
      <c r="E7" s="130"/>
      <c r="F7" s="130"/>
      <c r="G7" s="130"/>
      <c r="H7" s="130"/>
    </row>
    <row r="8" spans="1:8" ht="15" customHeight="1" x14ac:dyDescent="0.2">
      <c r="A8" s="130"/>
      <c r="B8" s="130"/>
      <c r="C8" s="130"/>
      <c r="D8" s="130"/>
      <c r="E8" s="130"/>
      <c r="F8" s="130"/>
      <c r="G8" s="130"/>
      <c r="H8" s="130"/>
    </row>
    <row r="9" spans="1:8" ht="15" customHeight="1" x14ac:dyDescent="0.2">
      <c r="A9" s="130"/>
      <c r="B9" s="130"/>
      <c r="C9" s="130"/>
      <c r="D9" s="130"/>
      <c r="E9" s="130"/>
      <c r="F9" s="130"/>
      <c r="G9" s="130"/>
      <c r="H9" s="130"/>
    </row>
    <row r="10" spans="1:8" ht="15" customHeight="1" x14ac:dyDescent="0.2">
      <c r="A10" s="130"/>
      <c r="B10" s="130"/>
      <c r="C10" s="130"/>
      <c r="D10" s="130"/>
      <c r="E10" s="130"/>
      <c r="F10" s="130"/>
      <c r="G10" s="130"/>
      <c r="H10" s="130"/>
    </row>
    <row r="11" spans="1:8" ht="15" customHeight="1" x14ac:dyDescent="0.2">
      <c r="A11" s="130"/>
      <c r="B11" s="130"/>
      <c r="C11" s="130"/>
      <c r="D11" s="130"/>
      <c r="E11" s="130"/>
      <c r="F11" s="130"/>
      <c r="G11" s="130"/>
      <c r="H11" s="130"/>
    </row>
    <row r="12" spans="1:8" ht="15" customHeight="1" x14ac:dyDescent="0.2">
      <c r="A12" s="130"/>
      <c r="B12" s="130"/>
      <c r="C12" s="130"/>
      <c r="D12" s="130"/>
      <c r="E12" s="130"/>
      <c r="F12" s="130"/>
      <c r="G12" s="130"/>
      <c r="H12" s="130"/>
    </row>
    <row r="13" spans="1:8" ht="15" customHeight="1" x14ac:dyDescent="0.2">
      <c r="A13" s="130"/>
      <c r="B13" s="130"/>
      <c r="C13" s="130"/>
      <c r="D13" s="130"/>
      <c r="E13" s="130"/>
      <c r="F13" s="130"/>
      <c r="G13" s="130"/>
      <c r="H13" s="130"/>
    </row>
    <row r="14" spans="1:8" ht="15" customHeight="1" x14ac:dyDescent="0.2">
      <c r="A14" s="130"/>
      <c r="B14" s="130"/>
      <c r="C14" s="130"/>
      <c r="D14" s="130"/>
      <c r="E14" s="130"/>
      <c r="F14" s="130"/>
      <c r="G14" s="130"/>
      <c r="H14" s="130"/>
    </row>
    <row r="15" spans="1:8" ht="15" customHeight="1" x14ac:dyDescent="0.2">
      <c r="A15" s="130"/>
      <c r="B15" s="130"/>
      <c r="C15" s="130"/>
      <c r="D15" s="130"/>
      <c r="E15" s="130"/>
      <c r="F15" s="130"/>
      <c r="G15" s="130"/>
      <c r="H15" s="130"/>
    </row>
    <row r="16" spans="1:8" ht="15" customHeight="1" x14ac:dyDescent="0.2">
      <c r="A16" s="130"/>
      <c r="B16" s="130"/>
      <c r="C16" s="130"/>
      <c r="D16" s="130"/>
      <c r="E16" s="130"/>
      <c r="F16" s="130"/>
      <c r="G16" s="130"/>
      <c r="H16" s="130"/>
    </row>
    <row r="17" spans="1:8" ht="15" customHeight="1" x14ac:dyDescent="0.2">
      <c r="A17" s="130"/>
      <c r="B17" s="130"/>
      <c r="C17" s="130"/>
      <c r="D17" s="130"/>
      <c r="E17" s="130"/>
      <c r="F17" s="130"/>
      <c r="G17" s="130"/>
      <c r="H17" s="130"/>
    </row>
    <row r="18" spans="1:8" ht="15" customHeight="1" x14ac:dyDescent="0.2">
      <c r="A18" s="130"/>
      <c r="B18" s="130"/>
      <c r="C18" s="130"/>
      <c r="D18" s="130"/>
      <c r="E18" s="130"/>
      <c r="F18" s="130"/>
      <c r="G18" s="130"/>
      <c r="H18" s="130"/>
    </row>
    <row r="19" spans="1:8" ht="15" customHeight="1" x14ac:dyDescent="0.2">
      <c r="A19" s="130"/>
      <c r="B19" s="130"/>
      <c r="C19" s="130"/>
      <c r="D19" s="130"/>
      <c r="E19" s="130"/>
      <c r="F19" s="130"/>
      <c r="G19" s="130"/>
      <c r="H19" s="130"/>
    </row>
    <row r="20" spans="1:8" ht="15" customHeight="1" x14ac:dyDescent="0.2">
      <c r="A20" s="130"/>
      <c r="B20" s="130"/>
      <c r="C20" s="130"/>
      <c r="D20" s="130"/>
      <c r="E20" s="130"/>
      <c r="F20" s="130"/>
      <c r="G20" s="130"/>
      <c r="H20" s="130"/>
    </row>
    <row r="21" spans="1:8" ht="15" customHeight="1" x14ac:dyDescent="0.2">
      <c r="A21" s="130"/>
      <c r="B21" s="130"/>
      <c r="C21" s="130"/>
      <c r="D21" s="130"/>
      <c r="E21" s="130"/>
      <c r="F21" s="130"/>
      <c r="G21" s="130"/>
      <c r="H21" s="130"/>
    </row>
    <row r="22" spans="1:8" ht="15" customHeight="1" x14ac:dyDescent="0.2">
      <c r="A22" s="130"/>
      <c r="B22" s="130"/>
      <c r="C22" s="130"/>
      <c r="D22" s="130"/>
      <c r="E22" s="130"/>
      <c r="F22" s="130"/>
      <c r="G22" s="130"/>
      <c r="H22" s="130"/>
    </row>
    <row r="23" spans="1:8" ht="15" customHeight="1" x14ac:dyDescent="0.2">
      <c r="A23" s="130"/>
      <c r="B23" s="130"/>
      <c r="C23" s="130"/>
      <c r="D23" s="130"/>
      <c r="E23" s="130"/>
      <c r="F23" s="130"/>
      <c r="G23" s="130"/>
      <c r="H23" s="130"/>
    </row>
    <row r="24" spans="1:8" ht="15" customHeight="1" x14ac:dyDescent="0.2">
      <c r="A24" s="130"/>
      <c r="B24" s="130"/>
      <c r="C24" s="130"/>
      <c r="D24" s="130"/>
      <c r="E24" s="130"/>
      <c r="F24" s="130"/>
      <c r="G24" s="130"/>
      <c r="H24" s="130"/>
    </row>
    <row r="25" spans="1:8" ht="15" customHeight="1" x14ac:dyDescent="0.2">
      <c r="A25" s="130"/>
      <c r="B25" s="130"/>
      <c r="C25" s="130"/>
      <c r="D25" s="130"/>
      <c r="E25" s="130"/>
      <c r="F25" s="130"/>
      <c r="G25" s="130"/>
      <c r="H25" s="130"/>
    </row>
    <row r="26" spans="1:8" ht="15" customHeight="1" x14ac:dyDescent="0.2">
      <c r="A26" s="130"/>
      <c r="B26" s="130"/>
      <c r="C26" s="130"/>
      <c r="D26" s="130"/>
      <c r="E26" s="130"/>
      <c r="F26" s="130"/>
      <c r="G26" s="130"/>
      <c r="H26" s="130"/>
    </row>
    <row r="27" spans="1:8" ht="15" customHeight="1" x14ac:dyDescent="0.2">
      <c r="A27" s="130"/>
      <c r="B27" s="130"/>
      <c r="C27" s="130"/>
      <c r="D27" s="130"/>
      <c r="E27" s="130"/>
      <c r="F27" s="130"/>
      <c r="G27" s="130"/>
      <c r="H27" s="130"/>
    </row>
    <row r="28" spans="1:8" ht="15" customHeight="1" x14ac:dyDescent="0.2">
      <c r="A28" s="130"/>
      <c r="B28" s="130"/>
      <c r="C28" s="130"/>
      <c r="D28" s="130"/>
      <c r="E28" s="130"/>
      <c r="F28" s="130"/>
      <c r="G28" s="130"/>
      <c r="H28" s="130"/>
    </row>
    <row r="29" spans="1:8" ht="15" customHeight="1" x14ac:dyDescent="0.2">
      <c r="A29" s="130"/>
      <c r="B29" s="130"/>
      <c r="C29" s="130"/>
      <c r="D29" s="130"/>
      <c r="E29" s="130"/>
      <c r="F29" s="130"/>
      <c r="G29" s="130"/>
      <c r="H29" s="130"/>
    </row>
    <row r="30" spans="1:8" ht="15" customHeight="1" x14ac:dyDescent="0.2">
      <c r="A30" s="130"/>
      <c r="B30" s="130"/>
      <c r="C30" s="130"/>
      <c r="D30" s="130"/>
      <c r="E30" s="130"/>
      <c r="F30" s="130"/>
      <c r="G30" s="130"/>
      <c r="H30" s="130"/>
    </row>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17"/>
  <sheetViews>
    <sheetView showGridLines="0" zoomScaleNormal="100" workbookViewId="0">
      <selection activeCell="AL7" sqref="AL7"/>
    </sheetView>
  </sheetViews>
  <sheetFormatPr baseColWidth="10" defaultRowHeight="12.75" x14ac:dyDescent="0.2"/>
  <cols>
    <col min="2" max="2" customWidth="true" width="7.28515625" collapsed="true"/>
    <col min="3" max="33" customWidth="true" width="4.0" collapsed="true"/>
    <col min="34" max="34" customWidth="true" width="5.0" collapsed="true"/>
  </cols>
  <sheetData>
    <row r="1" spans="1:34" ht="60.75" customHeight="1" x14ac:dyDescent="0.2">
      <c r="A1" s="450"/>
      <c r="B1" s="451"/>
      <c r="C1" s="452"/>
      <c r="D1" s="443" t="s">
        <v>91</v>
      </c>
      <c r="E1" s="444"/>
      <c r="F1" s="444"/>
      <c r="G1" s="444"/>
      <c r="H1" s="444"/>
      <c r="I1" s="444"/>
      <c r="J1" s="444"/>
      <c r="K1" s="444"/>
      <c r="L1" s="444"/>
      <c r="M1" s="444"/>
      <c r="N1" s="444"/>
      <c r="O1" s="444"/>
      <c r="P1" s="444"/>
      <c r="Q1" s="444"/>
      <c r="R1" s="444"/>
      <c r="S1" s="444"/>
      <c r="T1" s="444"/>
      <c r="U1" s="444"/>
      <c r="V1" s="444"/>
      <c r="W1" s="444"/>
      <c r="X1" s="444"/>
      <c r="Y1" s="444"/>
      <c r="Z1" s="444"/>
      <c r="AA1" s="444"/>
      <c r="AB1" s="444"/>
      <c r="AC1" s="445"/>
      <c r="AD1" s="453" t="s">
        <v>126</v>
      </c>
      <c r="AE1" s="454"/>
      <c r="AF1" s="454"/>
      <c r="AG1" s="454"/>
      <c r="AH1" s="455"/>
    </row>
    <row r="2" spans="1:34" ht="45.75" customHeight="1" x14ac:dyDescent="0.2">
      <c r="A2" s="456" t="s">
        <v>92</v>
      </c>
      <c r="B2" s="457"/>
      <c r="C2" s="70">
        <v>41791</v>
      </c>
      <c r="D2" s="69">
        <v>41792</v>
      </c>
      <c r="E2" s="69">
        <v>41793</v>
      </c>
      <c r="F2" s="69">
        <v>41794</v>
      </c>
      <c r="G2" s="69">
        <v>41795</v>
      </c>
      <c r="H2" s="69">
        <v>41796</v>
      </c>
      <c r="I2" s="70">
        <v>41797</v>
      </c>
      <c r="J2" s="70">
        <v>41798</v>
      </c>
      <c r="K2" s="69">
        <v>41799</v>
      </c>
      <c r="L2" s="69">
        <v>41800</v>
      </c>
      <c r="M2" s="69">
        <v>41801</v>
      </c>
      <c r="N2" s="69">
        <v>41802</v>
      </c>
      <c r="O2" s="69">
        <v>41803</v>
      </c>
      <c r="P2" s="70">
        <v>41804</v>
      </c>
      <c r="Q2" s="70">
        <v>41805</v>
      </c>
      <c r="R2" s="69">
        <v>41806</v>
      </c>
      <c r="S2" s="69">
        <v>41807</v>
      </c>
      <c r="T2" s="69">
        <v>41808</v>
      </c>
      <c r="U2" s="69">
        <v>41809</v>
      </c>
      <c r="V2" s="69">
        <v>41810</v>
      </c>
      <c r="W2" s="70">
        <v>41811</v>
      </c>
      <c r="X2" s="70">
        <v>41812</v>
      </c>
      <c r="Y2" s="69">
        <v>41813</v>
      </c>
      <c r="Z2" s="69">
        <v>41814</v>
      </c>
      <c r="AA2" s="69">
        <v>41815</v>
      </c>
      <c r="AB2" s="69">
        <v>41816</v>
      </c>
      <c r="AC2" s="69">
        <v>41817</v>
      </c>
      <c r="AD2" s="70">
        <v>41818</v>
      </c>
      <c r="AE2" s="70">
        <v>41819</v>
      </c>
      <c r="AF2" s="69">
        <v>41820</v>
      </c>
      <c r="AG2" s="69">
        <v>41821</v>
      </c>
      <c r="AH2" s="71" t="s">
        <v>0</v>
      </c>
    </row>
    <row r="3" spans="1:34" ht="23.25" customHeight="1" x14ac:dyDescent="0.2">
      <c r="A3" s="458" t="s">
        <v>4</v>
      </c>
      <c r="B3" s="458"/>
      <c r="C3" s="39"/>
      <c r="D3" s="39"/>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72" t="n">
        <f t="shared" ref="AH3:AH9" si="0">SUM(C3:AG3)</f>
        <v>0.0</v>
      </c>
    </row>
    <row r="4" spans="1:34" ht="23.25" customHeight="1" x14ac:dyDescent="0.2">
      <c r="A4" s="448" t="s">
        <v>141</v>
      </c>
      <c r="B4" s="449"/>
      <c r="C4" s="39"/>
      <c r="D4" s="39"/>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72" t="n">
        <f t="shared" si="0"/>
        <v>0.0</v>
      </c>
    </row>
    <row r="5" spans="1:34" ht="23.25" customHeight="1" x14ac:dyDescent="0.2">
      <c r="A5" s="448" t="s">
        <v>142</v>
      </c>
      <c r="B5" s="449"/>
      <c r="C5" s="39"/>
      <c r="D5" s="39"/>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72" t="n">
        <f t="shared" si="0"/>
        <v>0.0</v>
      </c>
    </row>
    <row r="6" spans="1:34" ht="23.25" customHeight="1" x14ac:dyDescent="0.2">
      <c r="A6" s="448" t="s">
        <v>143</v>
      </c>
      <c r="B6" s="449"/>
      <c r="C6" s="39"/>
      <c r="D6" s="39"/>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72" t="n">
        <f t="shared" si="0"/>
        <v>0.0</v>
      </c>
    </row>
    <row r="7" spans="1:34" ht="23.25" customHeight="1" x14ac:dyDescent="0.2">
      <c r="A7" s="458" t="s">
        <v>3</v>
      </c>
      <c r="B7" s="458"/>
      <c r="C7" s="39"/>
      <c r="D7" s="39"/>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72" t="n">
        <f t="shared" si="0"/>
        <v>0.0</v>
      </c>
    </row>
    <row r="8" spans="1:34" ht="23.25" customHeight="1" x14ac:dyDescent="0.2">
      <c r="A8" s="458" t="s">
        <v>127</v>
      </c>
      <c r="B8" s="458"/>
      <c r="C8" s="39"/>
      <c r="D8" s="39"/>
      <c r="E8" s="40"/>
      <c r="F8" s="40"/>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131" t="n">
        <f t="shared" si="0"/>
        <v>0.0</v>
      </c>
    </row>
    <row r="9" spans="1:34" ht="23.25" customHeight="1" x14ac:dyDescent="0.2">
      <c r="A9" s="458" t="s">
        <v>128</v>
      </c>
      <c r="B9" s="458"/>
      <c r="C9" s="39"/>
      <c r="D9" s="39"/>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131" t="n">
        <f t="shared" si="0"/>
        <v>0.0</v>
      </c>
    </row>
    <row r="10" spans="1:34" ht="23.25" customHeight="1" x14ac:dyDescent="0.2">
      <c r="A10" s="458" t="s">
        <v>129</v>
      </c>
      <c r="B10" s="458"/>
      <c r="C10" s="39"/>
      <c r="D10" s="39"/>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131" t="n">
        <f>SUM(C10:AG10)</f>
        <v>0.0</v>
      </c>
    </row>
    <row r="11" spans="1:34" ht="23.25" customHeight="1" x14ac:dyDescent="0.2">
      <c r="A11" s="458" t="s">
        <v>130</v>
      </c>
      <c r="B11" s="458"/>
      <c r="C11" s="40"/>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72" t="n">
        <f>SUM(C11:AG11)</f>
        <v>0.0</v>
      </c>
    </row>
    <row r="12" spans="1:34" ht="23.25" customHeight="1" x14ac:dyDescent="0.2">
      <c r="A12" s="448" t="s">
        <v>131</v>
      </c>
      <c r="B12" s="449"/>
      <c r="C12" s="40"/>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72" t="n">
        <f>SUM(C12:AG12)</f>
        <v>0.0</v>
      </c>
    </row>
    <row r="13" spans="1:34" ht="23.25" customHeight="1" x14ac:dyDescent="0.2">
      <c r="A13" s="448" t="s">
        <v>125</v>
      </c>
      <c r="B13" s="449"/>
      <c r="C13" s="40"/>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72" t="n">
        <f>SUM(C13:AG13)</f>
        <v>0.0</v>
      </c>
    </row>
    <row r="14" spans="1:34" ht="23.25" customHeight="1" x14ac:dyDescent="0.2">
      <c r="A14" s="458" t="s">
        <v>106</v>
      </c>
      <c r="B14" s="458"/>
      <c r="C14" s="40"/>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72" t="n">
        <f>SUM(C14:AG14)</f>
        <v>0.0</v>
      </c>
    </row>
    <row r="15" spans="1:34" ht="21.75" customHeight="1" x14ac:dyDescent="0.2">
      <c r="A15" s="459"/>
      <c r="B15" s="460"/>
      <c r="C15" s="460"/>
      <c r="D15" s="460"/>
      <c r="E15" s="460"/>
      <c r="F15" s="460"/>
      <c r="G15" s="460"/>
      <c r="H15" s="460"/>
      <c r="I15" s="460"/>
      <c r="J15" s="460"/>
      <c r="K15" s="460"/>
      <c r="L15" s="460"/>
      <c r="M15" s="460"/>
      <c r="N15" s="460"/>
      <c r="O15" s="460"/>
      <c r="P15" s="460"/>
      <c r="Q15" s="460"/>
      <c r="R15" s="460"/>
      <c r="S15" s="460"/>
      <c r="T15" s="460"/>
      <c r="U15" s="460"/>
      <c r="V15" s="460"/>
      <c r="W15" s="460"/>
      <c r="X15" s="460"/>
      <c r="Y15" s="460"/>
      <c r="Z15" s="460"/>
      <c r="AA15" s="460"/>
      <c r="AB15" s="460"/>
      <c r="AC15" s="45"/>
      <c r="AD15" s="46"/>
      <c r="AE15" s="46"/>
      <c r="AF15" s="46"/>
      <c r="AG15" s="46"/>
      <c r="AH15" s="73" t="n">
        <f>SUM(AH3:AH14)</f>
        <v>0.0</v>
      </c>
    </row>
    <row r="16" spans="1:34" ht="21.75" customHeight="1" x14ac:dyDescent="0.2">
      <c r="A16" s="461"/>
      <c r="B16" s="462"/>
      <c r="C16" s="462"/>
      <c r="D16" s="462"/>
      <c r="E16" s="462"/>
      <c r="F16" s="462"/>
      <c r="G16" s="462"/>
      <c r="H16" s="462"/>
      <c r="I16" s="462"/>
      <c r="J16" s="462"/>
      <c r="K16" s="462"/>
      <c r="L16" s="462"/>
      <c r="M16" s="462"/>
      <c r="N16" s="462"/>
      <c r="O16" s="462"/>
      <c r="P16" s="462"/>
      <c r="Q16" s="462"/>
      <c r="R16" s="462"/>
      <c r="S16" s="462"/>
      <c r="T16" s="462"/>
      <c r="U16" s="462"/>
      <c r="V16" s="462"/>
      <c r="W16" s="462"/>
      <c r="X16" s="462"/>
      <c r="Y16" s="462"/>
      <c r="Z16" s="462"/>
      <c r="AA16" s="462"/>
      <c r="AB16" s="462"/>
      <c r="AC16" s="463" t="s">
        <v>2</v>
      </c>
      <c r="AD16" s="464"/>
      <c r="AE16" s="465" t="n">
        <f>(AH3+AH11+AH12)*17.98+(AH4+AH5)*25.17+AH6*29.67+AH7*22.48+AH14+AH13*70</f>
        <v>0.0</v>
      </c>
      <c r="AF16" s="465"/>
      <c r="AG16" s="465"/>
      <c r="AH16" s="466"/>
    </row>
    <row r="17" spans="1:34" x14ac:dyDescent="0.2">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row>
  </sheetData>
  <mergeCells count="19">
    <mergeCell ref="A13:B13"/>
    <mergeCell ref="A14:B14"/>
    <mergeCell ref="A15:AB16"/>
    <mergeCell ref="AC16:AD16"/>
    <mergeCell ref="AE16:AH16"/>
    <mergeCell ref="A12:B12"/>
    <mergeCell ref="A1:C1"/>
    <mergeCell ref="D1:AC1"/>
    <mergeCell ref="AD1:AH1"/>
    <mergeCell ref="A2:B2"/>
    <mergeCell ref="A3:B3"/>
    <mergeCell ref="A5:B5"/>
    <mergeCell ref="A4:B4"/>
    <mergeCell ref="A6:B6"/>
    <mergeCell ref="A7:B7"/>
    <mergeCell ref="A8:B8"/>
    <mergeCell ref="A10:B10"/>
    <mergeCell ref="A9:B9"/>
    <mergeCell ref="A11:B11"/>
  </mergeCells>
  <printOptions horizontalCentered="1" verticalCentered="1"/>
  <pageMargins left="0.39370078740157483" right="0.39370078740157483" top="0.74803149606299213" bottom="0.74803149606299213" header="0.31496062992125984" footer="0.51181102362204722"/>
  <pageSetup paperSize="9" scale="96" orientation="landscape" horizontalDpi="200" verticalDpi="200"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I51"/>
  <sheetViews>
    <sheetView workbookViewId="0">
      <selection activeCell="O13" sqref="O13"/>
    </sheetView>
  </sheetViews>
  <sheetFormatPr baseColWidth="10" defaultRowHeight="12.75" x14ac:dyDescent="0.2"/>
  <cols>
    <col min="1" max="1" customWidth="true" style="5" width="23.0" collapsed="true"/>
    <col min="2" max="5" style="5" width="11.42578125" collapsed="true"/>
    <col min="6" max="6" bestFit="true" customWidth="true" style="5" width="12.28515625" collapsed="true"/>
    <col min="7" max="16384" style="5" width="11.42578125" collapsed="true"/>
  </cols>
  <sheetData>
    <row r="1" spans="1:9" ht="72" customHeight="1" x14ac:dyDescent="0.2">
      <c r="A1" s="135"/>
      <c r="B1" s="147" t="s">
        <v>153</v>
      </c>
      <c r="C1" s="147"/>
      <c r="D1" s="147"/>
      <c r="E1" s="147"/>
      <c r="F1" s="147"/>
      <c r="G1" s="147"/>
      <c r="H1" s="148" t="s">
        <v>152</v>
      </c>
      <c r="I1" s="148"/>
    </row>
    <row r="2" spans="1:9" ht="27" customHeight="1" x14ac:dyDescent="0.2">
      <c r="A2" s="149" t="s">
        <v>154</v>
      </c>
      <c r="B2" s="149"/>
      <c r="C2" s="149"/>
      <c r="D2" s="149"/>
      <c r="E2" s="149"/>
      <c r="F2" s="149"/>
      <c r="G2" s="149"/>
      <c r="H2" s="149"/>
      <c r="I2" s="149"/>
    </row>
    <row r="4" spans="1:9" ht="12.75" customHeight="1" x14ac:dyDescent="0.2">
      <c r="A4" s="467" t="s">
        <v>162</v>
      </c>
      <c r="B4" s="468"/>
      <c r="C4" s="468"/>
      <c r="D4" s="468"/>
      <c r="E4" s="468"/>
      <c r="F4" s="468"/>
      <c r="G4" s="468"/>
      <c r="H4" s="468"/>
      <c r="I4" s="468"/>
    </row>
    <row r="5" spans="1:9" x14ac:dyDescent="0.2">
      <c r="A5" s="468"/>
      <c r="B5" s="468"/>
      <c r="C5" s="468"/>
      <c r="D5" s="468"/>
      <c r="E5" s="468"/>
      <c r="F5" s="468"/>
      <c r="G5" s="468"/>
      <c r="H5" s="468"/>
      <c r="I5" s="468"/>
    </row>
    <row r="8" spans="1:9" ht="23.25" customHeight="1" x14ac:dyDescent="0.2">
      <c r="E8" s="139" t="s">
        <v>156</v>
      </c>
      <c r="F8" s="137" t="s">
        <v>158</v>
      </c>
      <c r="G8" s="141"/>
      <c r="H8" s="141"/>
      <c r="I8" s="141"/>
    </row>
    <row r="9" spans="1:9" ht="13.5" customHeight="1" x14ac:dyDescent="0.2">
      <c r="A9" s="392" t="s">
        <v>151</v>
      </c>
      <c r="B9" s="393"/>
      <c r="C9" s="393"/>
      <c r="D9" s="394"/>
      <c r="E9" s="339"/>
      <c r="F9" s="471" t="n">
        <f>(E9+E11+E13)/3</f>
        <v>0.0</v>
      </c>
      <c r="G9" s="470"/>
      <c r="H9" s="470"/>
      <c r="I9" s="136"/>
    </row>
    <row r="10" spans="1:9" ht="13.5" customHeight="1" x14ac:dyDescent="0.2">
      <c r="A10" s="398"/>
      <c r="B10" s="399"/>
      <c r="C10" s="399"/>
      <c r="D10" s="400"/>
      <c r="E10" s="339"/>
      <c r="F10" s="471"/>
      <c r="G10" s="470"/>
      <c r="H10" s="470"/>
      <c r="I10" s="136"/>
    </row>
    <row r="11" spans="1:9" ht="13.5" customHeight="1" x14ac:dyDescent="0.2">
      <c r="A11" s="392" t="s">
        <v>160</v>
      </c>
      <c r="B11" s="393"/>
      <c r="C11" s="393"/>
      <c r="D11" s="394"/>
      <c r="E11" s="339"/>
      <c r="F11" s="471"/>
      <c r="G11" s="470"/>
      <c r="H11" s="470"/>
      <c r="I11" s="136"/>
    </row>
    <row r="12" spans="1:9" ht="13.5" customHeight="1" x14ac:dyDescent="0.2">
      <c r="A12" s="398"/>
      <c r="B12" s="399"/>
      <c r="C12" s="399"/>
      <c r="D12" s="400"/>
      <c r="E12" s="339"/>
      <c r="F12" s="471"/>
      <c r="G12" s="470"/>
      <c r="H12" s="470"/>
      <c r="I12" s="136"/>
    </row>
    <row r="13" spans="1:9" ht="13.5" customHeight="1" x14ac:dyDescent="0.2">
      <c r="A13" s="392" t="s">
        <v>155</v>
      </c>
      <c r="B13" s="393"/>
      <c r="C13" s="393"/>
      <c r="D13" s="394"/>
      <c r="E13" s="378"/>
      <c r="F13" s="471"/>
      <c r="G13" s="141"/>
      <c r="H13" s="141"/>
      <c r="I13" s="136"/>
    </row>
    <row r="14" spans="1:9" ht="13.5" customHeight="1" x14ac:dyDescent="0.2">
      <c r="A14" s="398"/>
      <c r="B14" s="399"/>
      <c r="C14" s="399"/>
      <c r="D14" s="400"/>
      <c r="E14" s="383"/>
      <c r="F14" s="471"/>
      <c r="G14" s="141"/>
      <c r="H14" s="141"/>
      <c r="I14" s="136"/>
    </row>
    <row r="15" spans="1:9" ht="13.5" customHeight="1" x14ac:dyDescent="0.2">
      <c r="A15" s="134"/>
      <c r="B15" s="134"/>
      <c r="C15" s="134"/>
      <c r="D15" s="134"/>
      <c r="E15" s="133"/>
      <c r="F15" s="133"/>
      <c r="G15" s="133"/>
      <c r="H15" s="133"/>
    </row>
    <row r="16" spans="1:9" x14ac:dyDescent="0.2">
      <c r="E16" s="469" t="s">
        <v>159</v>
      </c>
      <c r="F16" s="469"/>
      <c r="G16" s="469"/>
      <c r="H16" s="469"/>
      <c r="I16" s="469"/>
    </row>
    <row r="17" spans="1:9" x14ac:dyDescent="0.2">
      <c r="E17" s="140"/>
      <c r="F17" s="140"/>
      <c r="G17" s="140"/>
      <c r="H17" s="140"/>
      <c r="I17" s="140"/>
    </row>
    <row r="18" spans="1:9" x14ac:dyDescent="0.2">
      <c r="E18" s="140"/>
      <c r="F18" s="140"/>
      <c r="G18" s="140"/>
      <c r="H18" s="140"/>
      <c r="I18" s="140"/>
    </row>
    <row r="19" spans="1:9" x14ac:dyDescent="0.2">
      <c r="A19" s="472" t="s">
        <v>151</v>
      </c>
      <c r="B19" s="472"/>
      <c r="C19" s="472"/>
      <c r="D19" s="472" t="s">
        <v>163</v>
      </c>
      <c r="E19" s="472"/>
      <c r="F19" s="472"/>
      <c r="G19" s="472"/>
      <c r="H19" s="472"/>
      <c r="I19" s="472"/>
    </row>
    <row r="20" spans="1:9" x14ac:dyDescent="0.2">
      <c r="D20" s="472" t="s">
        <v>164</v>
      </c>
      <c r="E20" s="472"/>
      <c r="F20" s="472"/>
      <c r="G20" s="472"/>
      <c r="H20" s="472"/>
      <c r="I20" s="472"/>
    </row>
    <row r="21" spans="1:9" x14ac:dyDescent="0.2">
      <c r="D21" s="472" t="s">
        <v>165</v>
      </c>
      <c r="E21" s="472"/>
      <c r="F21" s="472"/>
      <c r="G21" s="472"/>
      <c r="H21" s="472"/>
      <c r="I21" s="472"/>
    </row>
    <row r="22" spans="1:9" x14ac:dyDescent="0.2">
      <c r="D22" s="142"/>
      <c r="E22" s="142"/>
      <c r="F22" s="142"/>
      <c r="G22" s="142"/>
      <c r="H22" s="142"/>
      <c r="I22" s="142"/>
    </row>
    <row r="23" spans="1:9" x14ac:dyDescent="0.2">
      <c r="A23" s="472" t="s">
        <v>160</v>
      </c>
      <c r="B23" s="472"/>
      <c r="C23" s="472"/>
      <c r="D23" s="472" t="s">
        <v>166</v>
      </c>
      <c r="E23" s="472"/>
      <c r="F23" s="472"/>
      <c r="G23" s="472"/>
      <c r="H23" s="472"/>
      <c r="I23" s="472"/>
    </row>
    <row r="24" spans="1:9" x14ac:dyDescent="0.2">
      <c r="A24" s="142"/>
      <c r="B24" s="142"/>
      <c r="C24" s="142"/>
      <c r="D24" s="472" t="s">
        <v>167</v>
      </c>
      <c r="E24" s="472"/>
      <c r="F24" s="472"/>
      <c r="G24" s="472"/>
      <c r="H24" s="472"/>
      <c r="I24" s="472"/>
    </row>
    <row r="25" spans="1:9" x14ac:dyDescent="0.2">
      <c r="A25" s="142"/>
      <c r="B25" s="142"/>
      <c r="C25" s="142"/>
      <c r="D25" s="472" t="s">
        <v>168</v>
      </c>
      <c r="E25" s="472"/>
      <c r="F25" s="472"/>
      <c r="G25" s="472"/>
      <c r="H25" s="472"/>
      <c r="I25" s="472"/>
    </row>
    <row r="26" spans="1:9" x14ac:dyDescent="0.2">
      <c r="A26" s="142"/>
      <c r="B26" s="142"/>
      <c r="C26" s="142"/>
      <c r="D26" s="142"/>
      <c r="E26" s="142"/>
      <c r="F26" s="142"/>
      <c r="G26" s="142"/>
      <c r="H26" s="142"/>
      <c r="I26" s="142"/>
    </row>
    <row r="27" spans="1:9" x14ac:dyDescent="0.2">
      <c r="A27" s="472" t="s">
        <v>155</v>
      </c>
      <c r="B27" s="472"/>
      <c r="C27" s="472"/>
      <c r="D27" s="472" t="s">
        <v>169</v>
      </c>
      <c r="E27" s="472"/>
      <c r="F27" s="472"/>
      <c r="G27" s="472"/>
      <c r="H27" s="472"/>
      <c r="I27" s="472"/>
    </row>
    <row r="28" spans="1:9" x14ac:dyDescent="0.2">
      <c r="D28" s="472" t="s">
        <v>170</v>
      </c>
      <c r="E28" s="472"/>
      <c r="F28" s="472"/>
      <c r="G28" s="472"/>
      <c r="H28" s="472"/>
      <c r="I28" s="472"/>
    </row>
    <row r="29" spans="1:9" x14ac:dyDescent="0.2">
      <c r="C29" s="143"/>
      <c r="D29" s="143"/>
      <c r="E29" s="143"/>
      <c r="F29" s="143"/>
    </row>
    <row r="30" spans="1:9" x14ac:dyDescent="0.2">
      <c r="A30" s="138" t="s">
        <v>157</v>
      </c>
      <c r="B30" s="64"/>
    </row>
    <row r="32" spans="1:9" x14ac:dyDescent="0.2">
      <c r="A32" s="339"/>
      <c r="B32" s="339"/>
      <c r="C32" s="339"/>
      <c r="D32" s="339"/>
      <c r="E32" s="339"/>
      <c r="F32" s="339"/>
      <c r="G32" s="339"/>
      <c r="H32" s="339"/>
      <c r="I32" s="339"/>
    </row>
    <row r="33" spans="1:9" x14ac:dyDescent="0.2">
      <c r="A33" s="339"/>
      <c r="B33" s="339"/>
      <c r="C33" s="339"/>
      <c r="D33" s="339"/>
      <c r="E33" s="339"/>
      <c r="F33" s="339"/>
      <c r="G33" s="339"/>
      <c r="H33" s="339"/>
      <c r="I33" s="339"/>
    </row>
    <row r="34" spans="1:9" x14ac:dyDescent="0.2">
      <c r="A34" s="339"/>
      <c r="B34" s="339"/>
      <c r="C34" s="339"/>
      <c r="D34" s="339"/>
      <c r="E34" s="339"/>
      <c r="F34" s="339"/>
      <c r="G34" s="339"/>
      <c r="H34" s="339"/>
      <c r="I34" s="339"/>
    </row>
    <row r="35" spans="1:9" x14ac:dyDescent="0.2">
      <c r="A35" s="339"/>
      <c r="B35" s="339"/>
      <c r="C35" s="339"/>
      <c r="D35" s="339"/>
      <c r="E35" s="339"/>
      <c r="F35" s="339"/>
      <c r="G35" s="339"/>
      <c r="H35" s="339"/>
      <c r="I35" s="339"/>
    </row>
    <row r="36" spans="1:9" x14ac:dyDescent="0.2">
      <c r="A36" s="339"/>
      <c r="B36" s="339"/>
      <c r="C36" s="339"/>
      <c r="D36" s="339"/>
      <c r="E36" s="339"/>
      <c r="F36" s="339"/>
      <c r="G36" s="339"/>
      <c r="H36" s="339"/>
      <c r="I36" s="339"/>
    </row>
    <row r="37" spans="1:9" x14ac:dyDescent="0.2">
      <c r="A37" s="339"/>
      <c r="B37" s="339"/>
      <c r="C37" s="339"/>
      <c r="D37" s="339"/>
      <c r="E37" s="339"/>
      <c r="F37" s="339"/>
      <c r="G37" s="339"/>
      <c r="H37" s="339"/>
      <c r="I37" s="339"/>
    </row>
    <row r="38" spans="1:9" x14ac:dyDescent="0.2">
      <c r="A38" s="339"/>
      <c r="B38" s="339"/>
      <c r="C38" s="339"/>
      <c r="D38" s="339"/>
      <c r="E38" s="339"/>
      <c r="F38" s="339"/>
      <c r="G38" s="339"/>
      <c r="H38" s="339"/>
      <c r="I38" s="339"/>
    </row>
    <row r="39" spans="1:9" x14ac:dyDescent="0.2">
      <c r="A39" s="339"/>
      <c r="B39" s="339"/>
      <c r="C39" s="339"/>
      <c r="D39" s="339"/>
      <c r="E39" s="339"/>
      <c r="F39" s="339"/>
      <c r="G39" s="339"/>
      <c r="H39" s="339"/>
      <c r="I39" s="339"/>
    </row>
    <row r="40" spans="1:9" x14ac:dyDescent="0.2">
      <c r="A40" s="339"/>
      <c r="B40" s="339"/>
      <c r="C40" s="339"/>
      <c r="D40" s="339"/>
      <c r="E40" s="339"/>
      <c r="F40" s="339"/>
      <c r="G40" s="339"/>
      <c r="H40" s="339"/>
      <c r="I40" s="339"/>
    </row>
    <row r="41" spans="1:9" x14ac:dyDescent="0.2">
      <c r="A41" s="339"/>
      <c r="B41" s="339"/>
      <c r="C41" s="339"/>
      <c r="D41" s="339"/>
      <c r="E41" s="339"/>
      <c r="F41" s="339"/>
      <c r="G41" s="339"/>
      <c r="H41" s="339"/>
      <c r="I41" s="339"/>
    </row>
    <row r="42" spans="1:9" x14ac:dyDescent="0.2">
      <c r="A42" s="339"/>
      <c r="B42" s="339"/>
      <c r="C42" s="339"/>
      <c r="D42" s="339"/>
      <c r="E42" s="339"/>
      <c r="F42" s="339"/>
      <c r="G42" s="339"/>
      <c r="H42" s="339"/>
      <c r="I42" s="339"/>
    </row>
    <row r="43" spans="1:9" x14ac:dyDescent="0.2">
      <c r="A43" s="339"/>
      <c r="B43" s="339"/>
      <c r="C43" s="339"/>
      <c r="D43" s="339"/>
      <c r="E43" s="339"/>
      <c r="F43" s="339"/>
      <c r="G43" s="339"/>
      <c r="H43" s="339"/>
      <c r="I43" s="339"/>
    </row>
    <row r="44" spans="1:9" x14ac:dyDescent="0.2">
      <c r="A44" s="339"/>
      <c r="B44" s="339"/>
      <c r="C44" s="339"/>
      <c r="D44" s="339"/>
      <c r="E44" s="339"/>
      <c r="F44" s="339"/>
      <c r="G44" s="339"/>
      <c r="H44" s="339"/>
      <c r="I44" s="339"/>
    </row>
    <row r="45" spans="1:9" x14ac:dyDescent="0.2">
      <c r="A45" s="339"/>
      <c r="B45" s="339"/>
      <c r="C45" s="339"/>
      <c r="D45" s="339"/>
      <c r="E45" s="339"/>
      <c r="F45" s="339"/>
      <c r="G45" s="339"/>
      <c r="H45" s="339"/>
      <c r="I45" s="339"/>
    </row>
    <row r="46" spans="1:9" x14ac:dyDescent="0.2">
      <c r="A46" s="339"/>
      <c r="B46" s="339"/>
      <c r="C46" s="339"/>
      <c r="D46" s="339"/>
      <c r="E46" s="339"/>
      <c r="F46" s="339"/>
      <c r="G46" s="339"/>
      <c r="H46" s="339"/>
      <c r="I46" s="339"/>
    </row>
    <row r="51" spans="1:5" ht="20.25" x14ac:dyDescent="0.2">
      <c r="A51" s="473" t="s">
        <v>161</v>
      </c>
      <c r="B51" s="473"/>
      <c r="C51" s="473"/>
      <c r="D51" s="473"/>
      <c r="E51" s="473"/>
    </row>
  </sheetData>
  <mergeCells count="29">
    <mergeCell ref="A51:E51"/>
    <mergeCell ref="D24:I24"/>
    <mergeCell ref="D25:I25"/>
    <mergeCell ref="A27:C27"/>
    <mergeCell ref="D27:I27"/>
    <mergeCell ref="D28:I28"/>
    <mergeCell ref="A32:I46"/>
    <mergeCell ref="A19:C19"/>
    <mergeCell ref="D19:I19"/>
    <mergeCell ref="D20:I20"/>
    <mergeCell ref="D21:I21"/>
    <mergeCell ref="A23:C23"/>
    <mergeCell ref="D23:I23"/>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0"/>
  <sheetViews>
    <sheetView topLeftCell="A10" workbookViewId="0">
      <selection activeCell="W3" sqref="W3"/>
    </sheetView>
  </sheetViews>
  <sheetFormatPr baseColWidth="10" defaultRowHeight="12.75" x14ac:dyDescent="0.2"/>
  <cols>
    <col min="1" max="1" customWidth="true" style="85" width="12.28515625" collapsed="true"/>
    <col min="2" max="3" customWidth="true" style="5" width="6.42578125" collapsed="true"/>
    <col min="4" max="4" customWidth="true" style="5" width="10.140625" collapsed="true"/>
    <col min="5" max="5" customWidth="true" style="5" width="8.28515625" collapsed="true"/>
    <col min="6" max="6" customWidth="true" style="5" width="8.140625" collapsed="true"/>
    <col min="7" max="14" customWidth="true" style="5" width="6.42578125" collapsed="true"/>
    <col min="15" max="15" customWidth="true" style="5" width="5.28515625" collapsed="true"/>
    <col min="16" max="16" customWidth="true" style="5" width="6.42578125" collapsed="true"/>
    <col min="17" max="17" customWidth="true" style="5" width="10.7109375" collapsed="true"/>
    <col min="18" max="19" customWidth="true" style="5" width="6.42578125" collapsed="true"/>
    <col min="20" max="20" customWidth="true" style="5" width="6.5703125" collapsed="true"/>
    <col min="21" max="21" customWidth="true" style="5" width="6.42578125" collapsed="true"/>
    <col min="22" max="22" customWidth="true" style="5" width="8.5703125" collapsed="true"/>
  </cols>
  <sheetData>
    <row r="1" spans="1:22" s="5" customFormat="1" ht="36" customHeight="1" x14ac:dyDescent="0.2">
      <c r="A1" s="339"/>
      <c r="B1" s="339"/>
      <c r="C1" s="339"/>
      <c r="D1" s="339"/>
      <c r="E1" s="339"/>
      <c r="F1" s="474" t="s">
        <v>171</v>
      </c>
      <c r="G1" s="474"/>
      <c r="H1" s="474"/>
      <c r="I1" s="474"/>
      <c r="J1" s="474"/>
      <c r="K1" s="474"/>
      <c r="L1" s="474"/>
      <c r="M1" s="474"/>
      <c r="N1" s="474"/>
      <c r="O1" s="475" t="s">
        <v>172</v>
      </c>
      <c r="P1" s="475"/>
      <c r="Q1" s="475"/>
      <c r="R1" s="476"/>
      <c r="S1" s="476"/>
      <c r="T1" s="476"/>
      <c r="U1" s="476"/>
      <c r="V1" s="476"/>
    </row>
    <row r="2" spans="1:22" s="5" customFormat="1" ht="36" customHeight="1" x14ac:dyDescent="0.2">
      <c r="A2" s="339"/>
      <c r="B2" s="339"/>
      <c r="C2" s="339"/>
      <c r="D2" s="339"/>
      <c r="E2" s="339"/>
      <c r="F2" s="474"/>
      <c r="G2" s="474"/>
      <c r="H2" s="474"/>
      <c r="I2" s="474"/>
      <c r="J2" s="474"/>
      <c r="K2" s="474"/>
      <c r="L2" s="474"/>
      <c r="M2" s="474"/>
      <c r="N2" s="474"/>
      <c r="O2" s="475" t="s">
        <v>173</v>
      </c>
      <c r="P2" s="475"/>
      <c r="Q2" s="475"/>
      <c r="R2" s="477"/>
      <c r="S2" s="476"/>
      <c r="T2" s="476"/>
      <c r="U2" s="476"/>
      <c r="V2" s="476"/>
    </row>
    <row r="3" spans="1:22" s="5" customFormat="1" ht="33" customHeight="1" x14ac:dyDescent="0.2">
      <c r="A3" s="478" t="s">
        <v>174</v>
      </c>
      <c r="B3" s="479"/>
      <c r="C3" s="479"/>
      <c r="D3" s="480"/>
      <c r="E3" s="481"/>
      <c r="F3" s="481"/>
      <c r="G3" s="481"/>
      <c r="H3" s="481"/>
      <c r="I3" s="481"/>
      <c r="J3" s="481"/>
      <c r="K3" s="481"/>
      <c r="L3" s="481"/>
      <c r="M3" s="481"/>
      <c r="N3" s="481"/>
      <c r="O3" s="481"/>
      <c r="P3" s="481"/>
      <c r="Q3" s="481"/>
      <c r="R3" s="481"/>
      <c r="S3" s="481"/>
      <c r="T3" s="481"/>
      <c r="U3" s="481"/>
      <c r="V3" s="481"/>
    </row>
    <row r="4" spans="1:22" s="5" customFormat="1" ht="30" customHeight="1" x14ac:dyDescent="0.2">
      <c r="A4" s="478" t="s">
        <v>175</v>
      </c>
      <c r="B4" s="479"/>
      <c r="C4" s="479"/>
      <c r="D4" s="480"/>
      <c r="E4" s="482"/>
      <c r="F4" s="482"/>
      <c r="G4" s="482"/>
      <c r="H4" s="482"/>
      <c r="I4" s="482"/>
      <c r="J4" s="482"/>
      <c r="K4" s="482"/>
      <c r="L4" s="482"/>
      <c r="M4" s="482"/>
      <c r="N4" s="482"/>
      <c r="O4" s="482"/>
      <c r="P4" s="482"/>
      <c r="Q4" s="482"/>
      <c r="R4" s="482"/>
      <c r="S4" s="482"/>
      <c r="T4" s="482"/>
      <c r="U4" s="482"/>
      <c r="V4" s="482"/>
    </row>
    <row r="5" spans="1:22" s="5" customFormat="1" ht="30" customHeight="1" x14ac:dyDescent="0.2">
      <c r="A5" s="478" t="s">
        <v>176</v>
      </c>
      <c r="B5" s="479"/>
      <c r="C5" s="479"/>
      <c r="D5" s="480"/>
      <c r="E5" s="482"/>
      <c r="F5" s="482"/>
      <c r="G5" s="482"/>
      <c r="H5" s="482"/>
      <c r="I5" s="482"/>
      <c r="J5" s="482"/>
      <c r="K5" s="482"/>
      <c r="L5" s="482"/>
      <c r="M5" s="482"/>
      <c r="N5" s="482"/>
      <c r="O5" s="482"/>
      <c r="P5" s="482"/>
      <c r="Q5" s="482"/>
      <c r="R5" s="482"/>
      <c r="S5" s="482"/>
      <c r="T5" s="482"/>
      <c r="U5" s="482"/>
      <c r="V5" s="482"/>
    </row>
    <row r="6" spans="1:22" s="146" customFormat="1" ht="38.25" customHeight="1" x14ac:dyDescent="0.2">
      <c r="A6" s="145" t="s">
        <v>177</v>
      </c>
      <c r="B6" s="483" t="s">
        <v>178</v>
      </c>
      <c r="C6" s="483"/>
      <c r="D6" s="483"/>
      <c r="E6" s="483"/>
      <c r="F6" s="483"/>
      <c r="G6" s="483"/>
      <c r="H6" s="483"/>
      <c r="I6" s="483"/>
      <c r="J6" s="483"/>
      <c r="K6" s="483"/>
      <c r="L6" s="483"/>
      <c r="M6" s="483"/>
      <c r="N6" s="484" t="s">
        <v>179</v>
      </c>
      <c r="O6" s="484"/>
      <c r="P6" s="484"/>
      <c r="Q6" s="484"/>
      <c r="R6" s="484" t="s">
        <v>180</v>
      </c>
      <c r="S6" s="484"/>
      <c r="T6" s="484"/>
      <c r="U6" s="484"/>
      <c r="V6" s="484"/>
    </row>
    <row r="7" spans="1:22" s="142" customFormat="1" ht="32.25" customHeight="1" x14ac:dyDescent="0.2">
      <c r="A7" s="77">
        <v>1</v>
      </c>
      <c r="B7" s="485"/>
      <c r="C7" s="485"/>
      <c r="D7" s="485"/>
      <c r="E7" s="485"/>
      <c r="F7" s="485"/>
      <c r="G7" s="485"/>
      <c r="H7" s="485"/>
      <c r="I7" s="485"/>
      <c r="J7" s="485"/>
      <c r="K7" s="485"/>
      <c r="L7" s="485"/>
      <c r="M7" s="485"/>
      <c r="N7" s="339"/>
      <c r="O7" s="339"/>
      <c r="P7" s="339"/>
      <c r="Q7" s="339"/>
      <c r="R7" s="365"/>
      <c r="S7" s="339"/>
      <c r="T7" s="339"/>
      <c r="U7" s="339"/>
      <c r="V7" s="339"/>
    </row>
    <row r="8" spans="1:22" s="142" customFormat="1" ht="32.25" customHeight="1" x14ac:dyDescent="0.2">
      <c r="A8" s="77">
        <v>2</v>
      </c>
      <c r="B8" s="485"/>
      <c r="C8" s="485"/>
      <c r="D8" s="485"/>
      <c r="E8" s="485"/>
      <c r="F8" s="485"/>
      <c r="G8" s="485"/>
      <c r="H8" s="485"/>
      <c r="I8" s="485"/>
      <c r="J8" s="485"/>
      <c r="K8" s="485"/>
      <c r="L8" s="485"/>
      <c r="M8" s="485"/>
      <c r="N8" s="339"/>
      <c r="O8" s="339"/>
      <c r="P8" s="339"/>
      <c r="Q8" s="339"/>
      <c r="R8" s="365"/>
      <c r="S8" s="339"/>
      <c r="T8" s="339"/>
      <c r="U8" s="339"/>
      <c r="V8" s="339"/>
    </row>
    <row r="9" spans="1:22" s="142" customFormat="1" ht="32.25" customHeight="1" x14ac:dyDescent="0.2">
      <c r="A9" s="77">
        <v>3</v>
      </c>
      <c r="B9" s="485"/>
      <c r="C9" s="485"/>
      <c r="D9" s="485"/>
      <c r="E9" s="485"/>
      <c r="F9" s="485"/>
      <c r="G9" s="485"/>
      <c r="H9" s="485"/>
      <c r="I9" s="485"/>
      <c r="J9" s="485"/>
      <c r="K9" s="485"/>
      <c r="L9" s="485"/>
      <c r="M9" s="485"/>
      <c r="N9" s="339"/>
      <c r="O9" s="339"/>
      <c r="P9" s="339"/>
      <c r="Q9" s="339"/>
      <c r="R9" s="339"/>
      <c r="S9" s="339"/>
      <c r="T9" s="339"/>
      <c r="U9" s="339"/>
      <c r="V9" s="339"/>
    </row>
    <row r="10" spans="1:22" s="142" customFormat="1" ht="32.25" customHeight="1" x14ac:dyDescent="0.2">
      <c r="A10" s="77">
        <v>4</v>
      </c>
      <c r="B10" s="485"/>
      <c r="C10" s="485"/>
      <c r="D10" s="485"/>
      <c r="E10" s="485"/>
      <c r="F10" s="485"/>
      <c r="G10" s="485"/>
      <c r="H10" s="485"/>
      <c r="I10" s="485"/>
      <c r="J10" s="485"/>
      <c r="K10" s="485"/>
      <c r="L10" s="485"/>
      <c r="M10" s="485"/>
      <c r="N10" s="339"/>
      <c r="O10" s="339"/>
      <c r="P10" s="339"/>
      <c r="Q10" s="339"/>
      <c r="R10" s="339"/>
      <c r="S10" s="339"/>
      <c r="T10" s="339"/>
      <c r="U10" s="339"/>
      <c r="V10" s="339"/>
    </row>
    <row r="11" spans="1:22" s="142" customFormat="1" ht="32.25" customHeight="1" x14ac:dyDescent="0.2">
      <c r="A11" s="77">
        <v>5</v>
      </c>
      <c r="B11" s="485"/>
      <c r="C11" s="485"/>
      <c r="D11" s="485"/>
      <c r="E11" s="485"/>
      <c r="F11" s="485"/>
      <c r="G11" s="485"/>
      <c r="H11" s="485"/>
      <c r="I11" s="485"/>
      <c r="J11" s="485"/>
      <c r="K11" s="485"/>
      <c r="L11" s="485"/>
      <c r="M11" s="485"/>
      <c r="N11" s="339"/>
      <c r="O11" s="339"/>
      <c r="P11" s="339"/>
      <c r="Q11" s="339"/>
      <c r="R11" s="339"/>
      <c r="S11" s="339"/>
      <c r="T11" s="339"/>
      <c r="U11" s="339"/>
      <c r="V11" s="339"/>
    </row>
    <row r="12" spans="1:22" s="142" customFormat="1" ht="32.25" customHeight="1" x14ac:dyDescent="0.2">
      <c r="A12" s="77">
        <v>6</v>
      </c>
      <c r="B12" s="485"/>
      <c r="C12" s="485"/>
      <c r="D12" s="485"/>
      <c r="E12" s="485"/>
      <c r="F12" s="485"/>
      <c r="G12" s="485"/>
      <c r="H12" s="485"/>
      <c r="I12" s="485"/>
      <c r="J12" s="485"/>
      <c r="K12" s="485"/>
      <c r="L12" s="485"/>
      <c r="M12" s="485"/>
      <c r="N12" s="339"/>
      <c r="O12" s="339"/>
      <c r="P12" s="339"/>
      <c r="Q12" s="339"/>
      <c r="R12" s="339"/>
      <c r="S12" s="339"/>
      <c r="T12" s="339"/>
      <c r="U12" s="339"/>
      <c r="V12" s="339"/>
    </row>
    <row r="13" spans="1:22" s="142" customFormat="1" ht="32.25" customHeight="1" x14ac:dyDescent="0.2">
      <c r="A13" s="77">
        <v>7</v>
      </c>
      <c r="B13" s="485"/>
      <c r="C13" s="485"/>
      <c r="D13" s="485"/>
      <c r="E13" s="485"/>
      <c r="F13" s="485"/>
      <c r="G13" s="485"/>
      <c r="H13" s="485"/>
      <c r="I13" s="485"/>
      <c r="J13" s="485"/>
      <c r="K13" s="485"/>
      <c r="L13" s="485"/>
      <c r="M13" s="485"/>
      <c r="N13" s="339"/>
      <c r="O13" s="339"/>
      <c r="P13" s="339"/>
      <c r="Q13" s="339"/>
      <c r="R13" s="339"/>
      <c r="S13" s="339"/>
      <c r="T13" s="339"/>
      <c r="U13" s="339"/>
      <c r="V13" s="339"/>
    </row>
    <row r="14" spans="1:22" s="142" customFormat="1" ht="32.25" customHeight="1" x14ac:dyDescent="0.2">
      <c r="A14" s="77">
        <v>8</v>
      </c>
      <c r="B14" s="485"/>
      <c r="C14" s="485"/>
      <c r="D14" s="485"/>
      <c r="E14" s="485"/>
      <c r="F14" s="485"/>
      <c r="G14" s="485"/>
      <c r="H14" s="485"/>
      <c r="I14" s="485"/>
      <c r="J14" s="485"/>
      <c r="K14" s="485"/>
      <c r="L14" s="485"/>
      <c r="M14" s="485"/>
      <c r="N14" s="339"/>
      <c r="O14" s="339"/>
      <c r="P14" s="339"/>
      <c r="Q14" s="339"/>
      <c r="R14" s="339"/>
      <c r="S14" s="339"/>
      <c r="T14" s="339"/>
      <c r="U14" s="339"/>
      <c r="V14" s="339"/>
    </row>
    <row r="15" spans="1:22" s="142" customFormat="1" ht="32.25" customHeight="1" x14ac:dyDescent="0.2">
      <c r="A15" s="77">
        <v>9</v>
      </c>
      <c r="B15" s="485"/>
      <c r="C15" s="485"/>
      <c r="D15" s="485"/>
      <c r="E15" s="485"/>
      <c r="F15" s="485"/>
      <c r="G15" s="485"/>
      <c r="H15" s="485"/>
      <c r="I15" s="485"/>
      <c r="J15" s="485"/>
      <c r="K15" s="485"/>
      <c r="L15" s="485"/>
      <c r="M15" s="485"/>
      <c r="N15" s="339"/>
      <c r="O15" s="339"/>
      <c r="P15" s="339"/>
      <c r="Q15" s="339"/>
      <c r="R15" s="339"/>
      <c r="S15" s="339"/>
      <c r="T15" s="339"/>
      <c r="U15" s="339"/>
      <c r="V15" s="339"/>
    </row>
    <row r="16" spans="1:22" s="142" customFormat="1" ht="32.25" customHeight="1" x14ac:dyDescent="0.2">
      <c r="A16" s="77">
        <v>10</v>
      </c>
      <c r="B16" s="485"/>
      <c r="C16" s="485"/>
      <c r="D16" s="485"/>
      <c r="E16" s="485"/>
      <c r="F16" s="485"/>
      <c r="G16" s="485"/>
      <c r="H16" s="485"/>
      <c r="I16" s="485"/>
      <c r="J16" s="485"/>
      <c r="K16" s="485"/>
      <c r="L16" s="485"/>
      <c r="M16" s="485"/>
      <c r="N16" s="339"/>
      <c r="O16" s="339"/>
      <c r="P16" s="339"/>
      <c r="Q16" s="339"/>
      <c r="R16" s="339"/>
      <c r="S16" s="339"/>
      <c r="T16" s="339"/>
      <c r="U16" s="339"/>
      <c r="V16" s="339"/>
    </row>
    <row r="17" spans="1:22" s="5" customFormat="1" x14ac:dyDescent="0.2">
      <c r="A17" s="85"/>
    </row>
    <row r="18" spans="1:22" s="5" customFormat="1" x14ac:dyDescent="0.2">
      <c r="A18" s="472" t="s">
        <v>181</v>
      </c>
      <c r="B18" s="472"/>
      <c r="C18" s="472"/>
      <c r="D18" s="472"/>
      <c r="E18" s="472"/>
      <c r="F18" s="472"/>
      <c r="G18" s="472"/>
      <c r="H18" s="472"/>
      <c r="I18" s="472"/>
      <c r="J18" s="472"/>
      <c r="K18" s="472"/>
      <c r="L18" s="472"/>
      <c r="M18" s="472"/>
      <c r="N18" s="472"/>
      <c r="O18" s="472"/>
      <c r="P18" s="472"/>
      <c r="Q18" s="472"/>
      <c r="R18" s="472"/>
      <c r="S18" s="472"/>
      <c r="T18" s="472"/>
      <c r="U18" s="472"/>
      <c r="V18" s="472"/>
    </row>
    <row r="19" spans="1:22" s="5" customFormat="1" x14ac:dyDescent="0.2">
      <c r="A19" s="85"/>
    </row>
    <row r="20" spans="1:22" s="5" customFormat="1" x14ac:dyDescent="0.2">
      <c r="A20" s="472" t="s">
        <v>182</v>
      </c>
      <c r="B20" s="472"/>
      <c r="C20" s="472"/>
      <c r="D20" s="472"/>
      <c r="E20" s="472"/>
      <c r="F20" s="472"/>
      <c r="G20" s="472"/>
      <c r="H20" s="472"/>
      <c r="I20" s="472"/>
      <c r="J20" s="472"/>
      <c r="K20" s="472"/>
      <c r="L20" s="472"/>
      <c r="M20" s="472"/>
      <c r="N20" s="472"/>
      <c r="O20" s="472"/>
      <c r="P20" s="472"/>
      <c r="Q20" s="472"/>
      <c r="R20" s="472"/>
      <c r="S20" s="472"/>
      <c r="T20" s="472"/>
      <c r="U20" s="472"/>
      <c r="V20" s="472"/>
    </row>
  </sheetData>
  <mergeCells count="48">
    <mergeCell ref="B16:M16"/>
    <mergeCell ref="N16:Q16"/>
    <mergeCell ref="R16:V16"/>
    <mergeCell ref="A18:V18"/>
    <mergeCell ref="A20:V20"/>
    <mergeCell ref="R15:V15"/>
    <mergeCell ref="B12:M12"/>
    <mergeCell ref="N12:Q12"/>
    <mergeCell ref="R12:V12"/>
    <mergeCell ref="B13:M13"/>
    <mergeCell ref="N13:Q13"/>
    <mergeCell ref="R13:V13"/>
    <mergeCell ref="B14:M14"/>
    <mergeCell ref="N14:Q14"/>
    <mergeCell ref="R14:V14"/>
    <mergeCell ref="B15:M15"/>
    <mergeCell ref="N15:Q15"/>
    <mergeCell ref="B10:M10"/>
    <mergeCell ref="N10:Q10"/>
    <mergeCell ref="R10:V10"/>
    <mergeCell ref="B11:M11"/>
    <mergeCell ref="N11:Q11"/>
    <mergeCell ref="R11:V11"/>
    <mergeCell ref="B8:M8"/>
    <mergeCell ref="N8:Q8"/>
    <mergeCell ref="R8:V8"/>
    <mergeCell ref="B9:M9"/>
    <mergeCell ref="N9:Q9"/>
    <mergeCell ref="R9:V9"/>
    <mergeCell ref="B6:M6"/>
    <mergeCell ref="N6:Q6"/>
    <mergeCell ref="R6:V6"/>
    <mergeCell ref="B7:M7"/>
    <mergeCell ref="N7:Q7"/>
    <mergeCell ref="R7:V7"/>
    <mergeCell ref="A3:D3"/>
    <mergeCell ref="E3:V3"/>
    <mergeCell ref="A4:D4"/>
    <mergeCell ref="E4:V4"/>
    <mergeCell ref="A5:D5"/>
    <mergeCell ref="E5:V5"/>
    <mergeCell ref="A1:C2"/>
    <mergeCell ref="D1:E2"/>
    <mergeCell ref="F1:N2"/>
    <mergeCell ref="O1:Q1"/>
    <mergeCell ref="R1:V1"/>
    <mergeCell ref="O2:Q2"/>
    <mergeCell ref="R2:V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4</vt:i4>
      </vt:variant>
    </vt:vector>
  </HeadingPairs>
  <TitlesOfParts>
    <vt:vector size="13" baseType="lpstr">
      <vt:lpstr>Validación</vt:lpstr>
      <vt:lpstr>Orden de Pedido</vt:lpstr>
      <vt:lpstr>Instrucción de trabajo</vt:lpstr>
      <vt:lpstr>Información</vt:lpstr>
      <vt:lpstr>Grafico</vt:lpstr>
      <vt:lpstr>Recuento final</vt:lpstr>
      <vt:lpstr>Estimación de horas y costes</vt:lpstr>
      <vt:lpstr>Valoración del servicio</vt:lpstr>
      <vt:lpstr>personal formado</vt:lpstr>
      <vt:lpstr>'Instrucción de trabajo'!Área_de_impresión</vt:lpstr>
      <vt:lpstr>'Orden de Pedido'!Área_de_impresión</vt:lpstr>
      <vt:lpstr>Validación!Área_de_impresión</vt:lpstr>
      <vt:lpstr>'Instrucción de trabajo'!Títulos_a_imprimir</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2007-01-22T12:13:31Z</dcterms:created>
  <dc:creator>Fco Javier Muñoz</dc:creator>
  <cp:lastModifiedBy>Diego</cp:lastModifiedBy>
  <cp:lastPrinted>2015-07-27T13:07:07Z</cp:lastPrinted>
  <dcterms:modified xsi:type="dcterms:W3CDTF">2015-11-25T19:16:51Z</dcterms:modified>
</cp:coreProperties>
</file>