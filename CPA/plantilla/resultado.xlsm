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jpeg" Extension="jpeg"/>
  <Default ContentType="image/png" Extension="png"/>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lastEdited="5" lowestEdited="5" rupBuild="9302"/>
  <workbookPr defaultThemeVersion="124226"/>
  <bookViews>
    <workbookView xWindow="0" yWindow="285" windowWidth="12510" windowHeight="7230" tabRatio="735" activeTab="9"/>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 name="Hoja1" sheetId="26" r:id="rId9"/>
    <sheet name="Hoja2" sheetId="27" r:id="rId10"/>
  </sheets>
  <definedNames>
    <definedName name="_xlnm.Print_Area" localSheetId="2">'Instrucción de trabajo'!$A$1:$I$127</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calcChain.xml><?xml version="1.0" encoding="utf-8"?>
<calcChain xmlns="http://schemas.openxmlformats.org/spreadsheetml/2006/main">
  <c r="AH16" i="14" l="1"/>
  <c r="AH11" i="14"/>
  <c r="AH9" i="14"/>
  <c r="AH17" i="14"/>
  <c r="AH15" i="14"/>
  <c r="AH14" i="14"/>
  <c r="AH13" i="14"/>
  <c r="AH12" i="14"/>
  <c r="AH10" i="14"/>
  <c r="AH8" i="14"/>
  <c r="AH7" i="14"/>
  <c r="AH6" i="14"/>
  <c r="AH4" i="14"/>
  <c r="AH5" i="14"/>
  <c r="AH3" i="14"/>
  <c r="B14" i="22" l="1"/>
  <c r="G54" i="20"/>
  <c r="G53" i="20"/>
  <c r="G52" i="20"/>
  <c r="A14" i="20"/>
  <c r="H28" i="19"/>
  <c r="G28" i="19"/>
  <c r="F9" i="24"/>
  <c r="C12" i="22"/>
  <c r="C7" i="22"/>
  <c r="H3" i="22"/>
  <c r="C5" i="22"/>
  <c r="C11" i="22" s="1"/>
  <c r="C4" i="22"/>
  <c r="E3" i="22"/>
  <c r="C3" i="22"/>
  <c r="C2" i="22"/>
  <c r="B5" i="20"/>
  <c r="B4" i="20"/>
  <c r="B3" i="20"/>
  <c r="B9" i="20"/>
  <c r="B10" i="20"/>
  <c r="B11" i="20"/>
  <c r="B12" i="20"/>
  <c r="B7" i="20"/>
  <c r="B6" i="20"/>
  <c r="G3" i="23"/>
  <c r="F3" i="23"/>
  <c r="E3" i="23"/>
  <c r="H3" i="23" s="1"/>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N15" i="10"/>
  <c r="AM12" i="10"/>
  <c r="AM13" i="10" s="1"/>
  <c r="AM18" i="10"/>
  <c r="AL12" i="10"/>
  <c r="AL13" i="10" s="1"/>
  <c r="AK12" i="10"/>
  <c r="AK13" i="10" s="1"/>
  <c r="AJ12" i="10"/>
  <c r="AJ18" i="10" s="1"/>
  <c r="AI12" i="10"/>
  <c r="AI18" i="10" s="1"/>
  <c r="AH12" i="10"/>
  <c r="AH13" i="10" s="1"/>
  <c r="AH18" i="10"/>
  <c r="AG12" i="10"/>
  <c r="AG13" i="10" s="1"/>
  <c r="AF12" i="10"/>
  <c r="AF18" i="10" s="1"/>
  <c r="AE12" i="10"/>
  <c r="AE13" i="10" s="1"/>
  <c r="AE18" i="10"/>
  <c r="AD12" i="10"/>
  <c r="AD13" i="10" s="1"/>
  <c r="AC12" i="10"/>
  <c r="AC13" i="10" s="1"/>
  <c r="AB12" i="10"/>
  <c r="AB13" i="10" s="1"/>
  <c r="AA12" i="10"/>
  <c r="AA18" i="10" s="1"/>
  <c r="Z12" i="10"/>
  <c r="Z13" i="10" s="1"/>
  <c r="Z18" i="10"/>
  <c r="Y12" i="10"/>
  <c r="Y13" i="10" s="1"/>
  <c r="X12" i="10"/>
  <c r="X18" i="10" s="1"/>
  <c r="W12" i="10"/>
  <c r="W13" i="10" s="1"/>
  <c r="W18" i="10"/>
  <c r="V12" i="10"/>
  <c r="V13" i="10" s="1"/>
  <c r="U12" i="10"/>
  <c r="U13" i="10" s="1"/>
  <c r="T12" i="10"/>
  <c r="T18" i="10" s="1"/>
  <c r="S12" i="10"/>
  <c r="S18" i="10" s="1"/>
  <c r="R12" i="10"/>
  <c r="R13" i="10" s="1"/>
  <c r="R18" i="10"/>
  <c r="Q12" i="10"/>
  <c r="Q13" i="10" s="1"/>
  <c r="P12" i="10"/>
  <c r="P18" i="10" s="1"/>
  <c r="O12" i="10"/>
  <c r="N12" i="10"/>
  <c r="N18" i="10" s="1"/>
  <c r="M12" i="10"/>
  <c r="M10" i="10"/>
  <c r="M16" i="10"/>
  <c r="L12" i="10"/>
  <c r="L10" i="10" s="1"/>
  <c r="K12" i="10"/>
  <c r="K18" i="10" s="1"/>
  <c r="J12" i="10"/>
  <c r="I12" i="10"/>
  <c r="AN11" i="10"/>
  <c r="AM10" i="10"/>
  <c r="AM16" i="10" s="1"/>
  <c r="AL10" i="10"/>
  <c r="AL16" i="10"/>
  <c r="AJ10" i="10"/>
  <c r="AJ16" i="10" s="1"/>
  <c r="AI10" i="10"/>
  <c r="AI16" i="10" s="1"/>
  <c r="AH10" i="10"/>
  <c r="AH16" i="10" s="1"/>
  <c r="AF10" i="10"/>
  <c r="AF16" i="10" s="1"/>
  <c r="AE10" i="10"/>
  <c r="AE16" i="10"/>
  <c r="AD10" i="10"/>
  <c r="AD16" i="10" s="1"/>
  <c r="AB10" i="10"/>
  <c r="AB16" i="10" s="1"/>
  <c r="AA10" i="10"/>
  <c r="AA16" i="10" s="1"/>
  <c r="Z10" i="10"/>
  <c r="Z16" i="10" s="1"/>
  <c r="X10" i="10"/>
  <c r="X16" i="10" s="1"/>
  <c r="W10" i="10"/>
  <c r="W16" i="10" s="1"/>
  <c r="V10" i="10"/>
  <c r="V16" i="10"/>
  <c r="T10" i="10"/>
  <c r="T16" i="10" s="1"/>
  <c r="S10" i="10"/>
  <c r="S16" i="10" s="1"/>
  <c r="R10" i="10"/>
  <c r="R16" i="10" s="1"/>
  <c r="P10" i="10"/>
  <c r="P16" i="10" s="1"/>
  <c r="K10" i="10"/>
  <c r="K16" i="10"/>
  <c r="AN8" i="10"/>
  <c r="AN7" i="10"/>
  <c r="AN6" i="10"/>
  <c r="AN5" i="10"/>
  <c r="AN4" i="10"/>
  <c r="AN3" i="10"/>
  <c r="F41" i="19"/>
  <c r="C41" i="19"/>
  <c r="A41" i="19"/>
  <c r="Q18" i="10"/>
  <c r="U18" i="10"/>
  <c r="Y18" i="10"/>
  <c r="AC18" i="10"/>
  <c r="AG18" i="10"/>
  <c r="AK18" i="10"/>
  <c r="Q10" i="10"/>
  <c r="Q16" i="10" s="1"/>
  <c r="U10" i="10"/>
  <c r="U16" i="10" s="1"/>
  <c r="Y10" i="10"/>
  <c r="Y16" i="10" s="1"/>
  <c r="AC10" i="10"/>
  <c r="AC16" i="10" s="1"/>
  <c r="AG10" i="10"/>
  <c r="AG16" i="10" s="1"/>
  <c r="AK10" i="10"/>
  <c r="AK16" i="10" s="1"/>
  <c r="AH18" i="14"/>
  <c r="O10" i="10"/>
  <c r="O16" i="10"/>
  <c r="O18" i="10"/>
  <c r="N10" i="10"/>
  <c r="N16" i="10" s="1"/>
  <c r="K13" i="10"/>
  <c r="AN19" i="10"/>
  <c r="M18" i="10"/>
  <c r="M13" i="10"/>
  <c r="L18" i="10"/>
  <c r="J10" i="10"/>
  <c r="J16" i="10" s="1"/>
  <c r="J18" i="10"/>
  <c r="I10" i="10"/>
  <c r="I13" i="10" s="1"/>
  <c r="I18" i="10"/>
  <c r="AN12" i="10"/>
  <c r="N13" i="10"/>
  <c r="O13" i="10"/>
  <c r="J13" i="10"/>
  <c r="AN18" i="10"/>
  <c r="L16" i="10" l="1"/>
  <c r="L13" i="10"/>
  <c r="AB18" i="10"/>
  <c r="AJ13" i="10"/>
  <c r="AF13" i="10"/>
  <c r="X13" i="10"/>
  <c r="T13" i="10"/>
  <c r="P13" i="10"/>
  <c r="AI13" i="10"/>
  <c r="AA13" i="10"/>
  <c r="S13" i="10"/>
  <c r="I16" i="10"/>
  <c r="V18" i="10"/>
  <c r="AD18" i="10"/>
  <c r="AL18" i="10"/>
  <c r="AN10" i="10"/>
  <c r="AN16" i="10" l="1"/>
  <c r="AN13" i="10"/>
</calcChain>
</file>

<file path=xl/sharedStrings.xml><?xml version="1.0" encoding="utf-8"?>
<sst xmlns="http://schemas.openxmlformats.org/spreadsheetml/2006/main" count="356" uniqueCount="263">
  <si>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</si>
  <si>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</si>
  <si>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</si>
  <si>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</si>
  <si>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</si>
  <si>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</si>
  <si>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</si>
  <si>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</si>
  <si>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</si>
  <si>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</si>
  <si>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</si>
  <si>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</si>
  <si>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</si>
  <si>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</si>
  <si>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</si>
  <si>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</si>
  <si>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</si>
  <si>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</si>
  <si>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</si>
  <si>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</si>
  <si>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</si>
  <si>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</si>
  <si>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</si>
  <si>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</si>
  <si>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</si>
  <si>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</si>
  <si>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</si>
  <si>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</si>
  <si>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</si>
  <si>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</si>
  <si>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</si>
  <si>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</si>
  <si>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</si>
  <si>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</si>
  <si>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</si>
  <si>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</si>
  <si>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</si>
  <si>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</si>
  <si>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</si>
  <si>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</si>
  <si>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</si>
  <si>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</si>
  <si>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</si>
  <si>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 xml:space="preserve">2º  </t>
  </si>
  <si>
    <t>Responsable CPA:</t>
  </si>
  <si>
    <t>Fecha Fin:</t>
  </si>
  <si>
    <t xml:space="preserve">3º  </t>
  </si>
  <si>
    <t xml:space="preserve">4º  </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</si>
  <si>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</si>
  <si>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</si>
  <si>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</si>
  <si>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</si>
  <si>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</si>
  <si>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</si>
  <si>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</si>
  <si>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</si>
  <si>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</si>
  <si>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</si>
  <si>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</si>
  <si>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</si>
  <si>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</si>
  <si>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</si>
  <si>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</si>
  <si>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</si>
  <si>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</si>
  <si>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</si>
  <si>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</si>
  <si>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</si>
  <si>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</si>
  <si>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</si>
  <si>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</si>
  <si>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</si>
  <si>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</si>
  <si>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</si>
  <si>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</si>
  <si>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</si>
  <si>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</si>
  <si>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</si>
  <si>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</si>
  <si>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</si>
  <si>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</si>
  <si>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</si>
  <si>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</si>
  <si>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</si>
  <si>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</si>
  <si>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</si>
  <si>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</si>
  <si>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</si>
  <si>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</si>
  <si>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</si>
  <si>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</si>
  <si>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</si>
  <si>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</si>
  <si>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</si>
  <si>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</si>
  <si>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</si>
  <si>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</si>
  <si>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X</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</si>
  <si>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</si>
  <si>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</si>
  <si>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</si>
  <si>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</si>
  <si>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</si>
  <si>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</si>
  <si>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</si>
  <si>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</si>
  <si>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</si>
  <si>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</si>
  <si>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</si>
  <si>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</si>
  <si>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</si>
  <si>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</si>
  <si>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</si>
  <si>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</si>
  <si>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</si>
  <si>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</si>
  <si>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</si>
  <si>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</si>
  <si>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r>
      <rPr>
        <u/>
        <sz val="10"/>
        <rFont val="Arial"/>
        <family val="2"/>
      </rPr>
      <t>Pieza muestra</t>
    </r>
    <r>
      <rPr>
        <sz val="10"/>
        <rFont val="Arial"/>
      </rPr>
      <t xml:space="preserve"> OK y NOK (si la hay) en el puesto de trabajo</t>
    </r>
  </si>
  <si>
    <t>Comprobación del servicio prestado (Como)</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</si>
  <si>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</si>
  <si>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</si>
  <si>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</si>
  <si>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</si>
  <si>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</si>
  <si>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</si>
  <si>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</si>
  <si>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</si>
  <si>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</si>
  <si>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</si>
  <si>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</si>
  <si>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</si>
  <si>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</si>
  <si>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</si>
  <si>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</si>
  <si>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</si>
  <si>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</si>
  <si>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</si>
  <si>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</si>
  <si>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</si>
  <si>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</si>
  <si>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</si>
  <si>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</si>
  <si>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</si>
  <si>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Mercedes Benz España S.A.</t>
  </si>
  <si>
    <t>A79380465</t>
  </si>
  <si>
    <t>C/Las Arenas, nº1   C.P:01010 Vitoria-Gasteiz</t>
  </si>
  <si>
    <t>www.mercedes-benz.com</t>
  </si>
  <si>
    <t>Contabilidad financiera</t>
  </si>
  <si>
    <t xml:space="preserve">Contabilidad </t>
  </si>
  <si>
    <t xml:space="preserve">Hora Normal 17,98€/h y Hora sábados 25,17€/h  </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</si>
  <si>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</si>
  <si>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</si>
  <si>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</si>
  <si>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</si>
  <si>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</si>
  <si>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</si>
  <si>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</si>
  <si>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</si>
  <si>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</si>
  <si>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</si>
  <si>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</si>
  <si>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</si>
  <si>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</si>
  <si>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</si>
  <si>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</si>
  <si>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</si>
  <si>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</si>
  <si>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</si>
  <si>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</si>
  <si>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</si>
  <si>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</si>
  <si>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</si>
  <si>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</si>
  <si>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</si>
  <si>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</si>
  <si>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</si>
  <si>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</si>
  <si>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</si>
  <si>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</si>
  <si>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</si>
  <si>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 Plantilla para servicios de larga duración y siempre que el coordinador lo encuentre oportuno.</t>
  </si>
  <si>
    <t xml:space="preserve"> C:\CPA GENERAL\ISO 9001\PA-02 Formación y comunicación interna\Formatos</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</si>
  <si>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</si>
  <si>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</si>
  <si>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</si>
  <si>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</si>
  <si>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</si>
  <si>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</si>
  <si>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</si>
  <si>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</si>
  <si>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</si>
  <si>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</si>
  <si>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</si>
  <si>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</si>
  <si>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</si>
  <si>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</si>
  <si>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</si>
  <si>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</si>
  <si>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</si>
  <si>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</si>
  <si>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</si>
  <si>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</si>
  <si>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</si>
  <si>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</si>
  <si>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</si>
  <si>
    <t>numAccion</t>
  </si>
  <si>
    <t>29/11/2015</t>
  </si>
  <si>
    <t>nombrePieza</t>
  </si>
  <si>
    <t>referencias</t>
  </si>
  <si>
    <t>numChasis1</t>
  </si>
  <si>
    <t>numChasis2</t>
  </si>
  <si>
    <t>numChasis3</t>
  </si>
  <si>
    <t>numChasis4</t>
  </si>
  <si>
    <t>responsableCPA</t>
  </si>
  <si>
    <t>personaRecomendador</t>
  </si>
  <si>
    <t>departamentoRecomendador</t>
  </si>
  <si>
    <t>telefonoRecomendador</t>
  </si>
  <si>
    <t>emailRecomendador</t>
  </si>
  <si>
    <t>Empresa cliente</t>
  </si>
  <si>
    <t>getDireccionCliente</t>
  </si>
  <si>
    <t>getCodigoPostalCliente</t>
  </si>
  <si>
    <t>getPaisCliente</t>
  </si>
  <si>
    <t>getPoblacionCliente</t>
  </si>
  <si>
    <t>getApartadoDeCorreosCliente</t>
  </si>
  <si>
    <t>getCodigoPostalCliente2</t>
  </si>
  <si>
    <t>getCodigoPostalEmpresaCliente</t>
  </si>
  <si>
    <t>getPersonaDeContactoCliente</t>
  </si>
  <si>
    <t>getDepartamentoCliente</t>
  </si>
  <si>
    <t>getTelefonoCliente</t>
  </si>
  <si>
    <t>getEmailCliente</t>
  </si>
  <si>
    <t>descripcionInstruccionDelServicio</t>
  </si>
  <si>
    <t>A1; A2; A3; A5; A6</t>
  </si>
  <si>
    <t>aeiou</t>
  </si>
  <si>
    <t>dsvgfvgds</t>
  </si>
  <si>
    <t>jthyjygyj</t>
  </si>
  <si>
    <t>hgjh</t>
  </si>
  <si>
    <t>jhgjhg</t>
  </si>
  <si>
    <t>jgjhg</t>
  </si>
  <si>
    <t>jhgjh</t>
  </si>
  <si>
    <t>jhgjkh</t>
  </si>
  <si>
    <t>hjgjh</t>
  </si>
  <si>
    <t>jghjh</t>
  </si>
  <si>
    <t>jhghj</t>
  </si>
  <si>
    <t>gjhjh</t>
  </si>
  <si>
    <t>hgjhg</t>
  </si>
  <si>
    <t>realizadoPorPersonal</t>
  </si>
  <si>
    <t>clientePersonal</t>
  </si>
  <si>
    <t>piezaPersonal</t>
  </si>
  <si>
    <t>referenciaPersonal</t>
  </si>
  <si>
    <t>jghjghjghjgy</t>
  </si>
  <si>
    <t>13-nov-2015</t>
  </si>
  <si>
    <t>ghghjkh</t>
  </si>
  <si>
    <t>10-mar-2015</t>
  </si>
  <si>
    <t>realizadoPorRetrabajos</t>
  </si>
  <si>
    <t>numReclamacionRetrabajos</t>
  </si>
  <si>
    <t>referenciaPiezaRetrabajos</t>
  </si>
  <si>
    <t>tiempoRetrabajos</t>
  </si>
  <si>
    <t>clienteRetrabajos</t>
  </si>
  <si>
    <t>bjkhjh</t>
  </si>
  <si>
    <t>20-mar-2015</t>
  </si>
  <si>
    <t>746dsf</t>
  </si>
  <si>
    <t>23-nov-2015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</si>
</sst>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6"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u/>
      <sz val="9"/>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sz val="10"/>
      <color theme="3"/>
      <name val="Arial"/>
      <family val="2"/>
    </font>
    <font>
      <u/>
      <sz val="10"/>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08">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1" fillId="6" borderId="1" xfId="0" applyNumberFormat="1" applyFont="1" applyFill="1" applyBorder="1" applyAlignment="1">
      <alignment horizontal="center" vertical="center" shrinkToFit="1"/>
    </xf>
    <xf numFmtId="0" fontId="32"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5" fillId="0" borderId="8" xfId="0" applyFont="1" applyBorder="1" applyAlignment="1">
      <alignmen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5" fillId="0" borderId="15" xfId="0" applyNumberFormat="1" applyFont="1" applyBorder="1" applyAlignment="1">
      <alignment horizontal="center" vertical="center" wrapText="1"/>
    </xf>
    <xf numFmtId="49" fontId="20"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2" fillId="8" borderId="1" xfId="0" applyFont="1" applyFill="1" applyBorder="1" applyAlignment="1">
      <alignment horizontal="left" vertical="center"/>
    </xf>
    <xf numFmtId="0" fontId="22" fillId="0" borderId="0" xfId="0" applyFont="1"/>
    <xf numFmtId="0" fontId="22" fillId="0" borderId="0" xfId="0" applyFont="1" applyAlignment="1">
      <alignment horizontal="center" vertical="center" wrapText="1"/>
    </xf>
    <xf numFmtId="0" fontId="5" fillId="0" borderId="1" xfId="0" applyFont="1" applyBorder="1"/>
    <xf numFmtId="0" fontId="5" fillId="0" borderId="0" xfId="0" applyFont="1"/>
    <xf numFmtId="0" fontId="5" fillId="0" borderId="0" xfId="0" applyFont="1" applyFill="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6" fontId="10" fillId="9" borderId="1" xfId="0" applyNumberFormat="1" applyFont="1" applyFill="1" applyBorder="1" applyAlignment="1">
      <alignment horizontal="center" vertical="center" textRotation="90" wrapText="1"/>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6" fontId="2" fillId="9"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7"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3" fillId="11" borderId="1" xfId="0" applyFont="1" applyFill="1" applyBorder="1" applyAlignment="1">
      <alignment horizontal="center"/>
    </xf>
    <xf numFmtId="0" fontId="34"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5" fillId="11" borderId="21" xfId="0" applyFont="1" applyFill="1" applyBorder="1" applyAlignment="1">
      <alignment horizontal="center"/>
    </xf>
    <xf numFmtId="0" fontId="36"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0" fillId="0" borderId="0" xfId="0" applyBorder="1" applyAlignment="1">
      <alignment horizontal="center" vertical="center"/>
    </xf>
    <xf numFmtId="0" fontId="5" fillId="0" borderId="0"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4" fillId="0" borderId="0" xfId="0" applyFont="1" applyAlignment="1">
      <alignment vertical="center"/>
    </xf>
    <xf numFmtId="0" fontId="5" fillId="8" borderId="1" xfId="0" applyFont="1" applyFill="1" applyBorder="1" applyAlignment="1">
      <alignment horizontal="center" vertical="center"/>
    </xf>
    <xf numFmtId="0" fontId="28" fillId="0" borderId="0" xfId="0" applyFont="1" applyAlignment="1">
      <alignment horizontal="left" vertical="center"/>
    </xf>
    <xf numFmtId="0" fontId="0" fillId="6" borderId="0" xfId="0" applyFill="1" applyBorder="1" applyAlignment="1">
      <alignment horizontal="center" vertical="center"/>
    </xf>
    <xf numFmtId="0" fontId="0" fillId="0" borderId="0" xfId="0" applyAlignment="1">
      <alignment horizontal="left" vertical="center"/>
    </xf>
    <xf numFmtId="0" fontId="5" fillId="0" borderId="0" xfId="0" applyFont="1" applyBorder="1" applyAlignment="1">
      <alignment vertical="center"/>
    </xf>
    <xf numFmtId="14" fontId="5" fillId="0" borderId="18" xfId="0" applyNumberFormat="1" applyFont="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52" fillId="8" borderId="1" xfId="0" applyFont="1" applyFill="1" applyBorder="1" applyAlignment="1">
      <alignment horizontal="center" vertical="center"/>
    </xf>
    <xf numFmtId="0" fontId="52" fillId="0" borderId="0" xfId="0" applyFont="1" applyAlignment="1">
      <alignment horizontal="left" vertical="center"/>
    </xf>
    <xf numFmtId="0" fontId="0" fillId="0" borderId="1" xfId="0" applyBorder="1" applyAlignment="1">
      <alignment horizontal="center" vertical="center"/>
    </xf>
    <xf numFmtId="0" fontId="49" fillId="0" borderId="1" xfId="0" applyFont="1" applyBorder="1" applyAlignment="1">
      <alignment horizontal="left" vertical="center"/>
    </xf>
    <xf numFmtId="0" fontId="52" fillId="17"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Alignment="1">
      <alignment wrapText="1" shrinkToFit="1"/>
    </xf>
    <xf numFmtId="0" fontId="5" fillId="0" borderId="0" xfId="0" applyFont="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49"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0" borderId="28" xfId="0" applyFont="1" applyBorder="1" applyAlignment="1">
      <alignment horizontal="center"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29" xfId="0" applyNumberFormat="1" applyFont="1" applyBorder="1" applyAlignment="1">
      <alignment horizontal="center" vertical="center" wrapText="1"/>
    </xf>
    <xf numFmtId="0" fontId="5" fillId="0" borderId="29" xfId="0" applyFont="1" applyBorder="1" applyAlignment="1">
      <alignment horizontal="center" vertical="center" wrapText="1"/>
    </xf>
    <xf numFmtId="0" fontId="5" fillId="0" borderId="30" xfId="0" applyFont="1" applyBorder="1" applyAlignment="1">
      <alignment horizontal="center" vertical="center" wrapText="1"/>
    </xf>
    <xf numFmtId="0" fontId="42" fillId="0" borderId="16" xfId="0" applyFont="1" applyFill="1" applyBorder="1" applyAlignment="1">
      <alignment horizontal="center" vertical="center"/>
    </xf>
    <xf numFmtId="0" fontId="42" fillId="0" borderId="35" xfId="0" applyFont="1" applyFill="1" applyBorder="1" applyAlignment="1">
      <alignment horizontal="center" vertical="center"/>
    </xf>
    <xf numFmtId="0" fontId="42" fillId="0" borderId="21" xfId="0" applyFont="1" applyFill="1" applyBorder="1" applyAlignment="1">
      <alignment horizontal="center" vertical="center"/>
    </xf>
    <xf numFmtId="0" fontId="43" fillId="0" borderId="22" xfId="1" applyFont="1" applyFill="1" applyBorder="1" applyAlignment="1" applyProtection="1">
      <alignment horizontal="center" vertical="center"/>
    </xf>
    <xf numFmtId="0" fontId="20" fillId="6" borderId="12" xfId="0" applyFont="1" applyFill="1" applyBorder="1" applyAlignment="1">
      <alignment horizontal="left" vertical="center" wrapText="1"/>
    </xf>
    <xf numFmtId="0" fontId="20" fillId="6" borderId="17" xfId="0" applyFont="1" applyFill="1" applyBorder="1" applyAlignment="1">
      <alignment horizontal="left" vertical="center" wrapText="1"/>
    </xf>
    <xf numFmtId="0" fontId="20" fillId="6" borderId="37" xfId="0" applyFont="1" applyFill="1" applyBorder="1" applyAlignment="1">
      <alignment horizontal="left" vertical="center" wrapText="1"/>
    </xf>
    <xf numFmtId="0" fontId="20" fillId="6" borderId="38" xfId="0" applyFont="1" applyFill="1" applyBorder="1" applyAlignment="1">
      <alignment horizontal="left" vertical="center" wrapText="1"/>
    </xf>
    <xf numFmtId="0" fontId="20" fillId="6" borderId="0" xfId="0" applyFont="1" applyFill="1" applyBorder="1" applyAlignment="1">
      <alignment horizontal="left" vertical="center" wrapText="1"/>
    </xf>
    <xf numFmtId="0" fontId="20" fillId="6" borderId="13" xfId="0" applyFont="1" applyFill="1" applyBorder="1" applyAlignment="1">
      <alignment horizontal="left" vertical="center" wrapText="1"/>
    </xf>
    <xf numFmtId="0" fontId="20" fillId="6" borderId="9" xfId="0" applyFont="1" applyFill="1" applyBorder="1" applyAlignment="1">
      <alignment horizontal="left" vertical="center" wrapText="1"/>
    </xf>
    <xf numFmtId="0" fontId="20" fillId="6" borderId="14" xfId="0" applyFont="1" applyFill="1" applyBorder="1" applyAlignment="1">
      <alignment horizontal="left" vertical="center" wrapText="1"/>
    </xf>
    <xf numFmtId="0" fontId="20"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49" fontId="5" fillId="0" borderId="1" xfId="0" applyNumberFormat="1" applyFont="1" applyBorder="1" applyAlignment="1">
      <alignment horizontal="center" vertical="top" wrapText="1"/>
    </xf>
    <xf numFmtId="0" fontId="5" fillId="0" borderId="1" xfId="0" applyFont="1" applyBorder="1" applyAlignment="1">
      <alignment horizontal="center" vertical="top" wrapText="1"/>
    </xf>
    <xf numFmtId="0" fontId="5" fillId="0" borderId="28" xfId="0" applyFont="1" applyBorder="1" applyAlignment="1">
      <alignment horizontal="center"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41" fillId="0" borderId="1" xfId="0" applyFont="1" applyFill="1" applyBorder="1" applyAlignment="1">
      <alignment horizontal="center" vertical="center" wrapText="1"/>
    </xf>
    <xf numFmtId="0" fontId="41" fillId="0" borderId="16" xfId="0" applyFont="1" applyFill="1" applyBorder="1" applyAlignment="1">
      <alignment horizontal="center" vertical="center"/>
    </xf>
    <xf numFmtId="0" fontId="41" fillId="0" borderId="35" xfId="0" applyFont="1" applyFill="1" applyBorder="1" applyAlignment="1">
      <alignment horizontal="center" vertical="center"/>
    </xf>
    <xf numFmtId="0" fontId="41" fillId="0" borderId="21" xfId="0" applyFont="1" applyFill="1" applyBorder="1" applyAlignment="1">
      <alignment horizontal="center" vertical="center"/>
    </xf>
    <xf numFmtId="0" fontId="40" fillId="0" borderId="1" xfId="1" applyFont="1" applyFill="1" applyBorder="1" applyAlignment="1" applyProtection="1">
      <alignment horizontal="center" vertical="center"/>
    </xf>
    <xf numFmtId="0" fontId="41" fillId="0" borderId="1" xfId="0" applyFont="1" applyFill="1" applyBorder="1" applyAlignment="1">
      <alignment horizontal="center" vertical="center"/>
    </xf>
    <xf numFmtId="0" fontId="41" fillId="0" borderId="12" xfId="0" applyFont="1" applyFill="1" applyBorder="1" applyAlignment="1">
      <alignment horizontal="center" vertical="center" wrapText="1"/>
    </xf>
    <xf numFmtId="0" fontId="41" fillId="0" borderId="17" xfId="0" applyFont="1" applyFill="1" applyBorder="1" applyAlignment="1">
      <alignment horizontal="center" vertical="center"/>
    </xf>
    <xf numFmtId="0" fontId="41" fillId="0" borderId="37" xfId="0" applyFont="1" applyFill="1" applyBorder="1" applyAlignment="1">
      <alignment horizontal="center" vertical="center"/>
    </xf>
    <xf numFmtId="49" fontId="38" fillId="0" borderId="16" xfId="0" applyNumberFormat="1" applyFont="1" applyFill="1" applyBorder="1" applyAlignment="1">
      <alignment horizontal="center" vertical="center"/>
    </xf>
    <xf numFmtId="0" fontId="38" fillId="0" borderId="35" xfId="0" applyNumberFormat="1" applyFont="1" applyFill="1" applyBorder="1" applyAlignment="1">
      <alignment horizontal="center" vertical="center"/>
    </xf>
    <xf numFmtId="0" fontId="38" fillId="0" borderId="21" xfId="0" applyNumberFormat="1" applyFont="1" applyFill="1" applyBorder="1" applyAlignment="1">
      <alignment horizontal="center" vertical="center"/>
    </xf>
    <xf numFmtId="49" fontId="38" fillId="0" borderId="1" xfId="0" applyNumberFormat="1" applyFont="1" applyFill="1" applyBorder="1" applyAlignment="1">
      <alignment horizontal="center" vertical="center"/>
    </xf>
    <xf numFmtId="0" fontId="38" fillId="0" borderId="1" xfId="0" applyNumberFormat="1" applyFont="1" applyFill="1" applyBorder="1" applyAlignment="1">
      <alignment horizontal="center" vertical="center"/>
    </xf>
    <xf numFmtId="0" fontId="1" fillId="0" borderId="1" xfId="1" applyFont="1" applyFill="1" applyBorder="1" applyAlignment="1" applyProtection="1">
      <alignment horizontal="center" vertical="center"/>
    </xf>
    <xf numFmtId="0" fontId="38" fillId="0" borderId="1" xfId="0" applyFont="1" applyFill="1" applyBorder="1" applyAlignment="1">
      <alignment horizontal="center" vertical="center"/>
    </xf>
    <xf numFmtId="0" fontId="5" fillId="15"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40" fillId="0" borderId="1" xfId="1" applyFont="1" applyFill="1" applyBorder="1" applyAlignment="1" applyProtection="1">
      <alignment horizontal="center" vertical="center" wrapText="1"/>
    </xf>
    <xf numFmtId="0" fontId="41" fillId="0" borderId="1" xfId="1" applyFont="1" applyFill="1" applyBorder="1" applyAlignment="1" applyProtection="1">
      <alignment horizontal="center" vertical="center" wrapText="1"/>
    </xf>
    <xf numFmtId="0" fontId="39" fillId="0" borderId="1" xfId="0" applyFont="1" applyFill="1" applyBorder="1" applyAlignment="1">
      <alignment horizontal="center" vertical="center"/>
    </xf>
    <xf numFmtId="14" fontId="38" fillId="0" borderId="1" xfId="1" applyNumberFormat="1" applyFont="1" applyFill="1" applyBorder="1" applyAlignment="1" applyProtection="1">
      <alignment horizontal="center" vertical="center"/>
    </xf>
    <xf numFmtId="14" fontId="38" fillId="0" borderId="1" xfId="0" applyNumberFormat="1" applyFont="1" applyFill="1" applyBorder="1" applyAlignment="1">
      <alignment horizontal="center" vertical="center"/>
    </xf>
    <xf numFmtId="0" fontId="5" fillId="15" borderId="1" xfId="0" applyFont="1" applyFill="1" applyBorder="1" applyAlignment="1">
      <alignment horizontal="center" vertical="center"/>
    </xf>
    <xf numFmtId="49" fontId="37" fillId="0" borderId="1" xfId="0" applyNumberFormat="1" applyFont="1" applyFill="1" applyBorder="1" applyAlignment="1">
      <alignment horizontal="center" vertical="center"/>
    </xf>
    <xf numFmtId="0" fontId="13" fillId="8" borderId="1" xfId="0" applyFont="1" applyFill="1" applyBorder="1" applyAlignment="1">
      <alignment horizontal="center" vertical="center"/>
    </xf>
    <xf numFmtId="0" fontId="20" fillId="0" borderId="1" xfId="0" applyFont="1" applyBorder="1" applyAlignment="1">
      <alignment horizontal="center" vertical="center"/>
    </xf>
    <xf numFmtId="49" fontId="37" fillId="0" borderId="16" xfId="0" applyNumberFormat="1" applyFont="1" applyFill="1" applyBorder="1" applyAlignment="1">
      <alignment horizontal="center" vertical="center"/>
    </xf>
    <xf numFmtId="0" fontId="37" fillId="0" borderId="35" xfId="0" applyNumberFormat="1" applyFont="1" applyFill="1" applyBorder="1" applyAlignment="1">
      <alignment horizontal="center" vertical="center"/>
    </xf>
    <xf numFmtId="0" fontId="37" fillId="0" borderId="21" xfId="0" applyNumberFormat="1" applyFont="1" applyFill="1" applyBorder="1" applyAlignment="1">
      <alignment horizontal="center" vertical="center"/>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4" fillId="0" borderId="1" xfId="0" applyFont="1" applyBorder="1" applyAlignment="1">
      <alignment horizontal="left" vertical="center"/>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0" fillId="0" borderId="1" xfId="0"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9" fillId="0" borderId="11" xfId="1" applyFont="1" applyFill="1" applyBorder="1" applyAlignment="1" applyProtection="1">
      <alignment horizontal="center" vertical="center"/>
      <protection locked="0"/>
    </xf>
    <xf numFmtId="0" fontId="20" fillId="0" borderId="36" xfId="0"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5" fillId="0" borderId="63" xfId="0" applyNumberFormat="1" applyFont="1" applyFill="1" applyBorder="1" applyAlignment="1">
      <alignment horizontal="center" vertical="center" wrapText="1"/>
    </xf>
    <xf numFmtId="14" fontId="45" fillId="0" borderId="64" xfId="0" applyNumberFormat="1" applyFont="1" applyFill="1" applyBorder="1" applyAlignment="1">
      <alignment horizontal="center" vertical="center" wrapText="1"/>
    </xf>
    <xf numFmtId="14" fontId="45"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5" fillId="0" borderId="61" xfId="0" applyNumberFormat="1" applyFont="1" applyFill="1" applyBorder="1" applyAlignment="1">
      <alignment horizontal="center" vertical="center"/>
    </xf>
    <xf numFmtId="0" fontId="45" fillId="0" borderId="62" xfId="0" applyNumberFormat="1" applyFont="1" applyFill="1" applyBorder="1" applyAlignment="1">
      <alignment horizontal="center" vertical="center"/>
    </xf>
    <xf numFmtId="0" fontId="45"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4"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0" fillId="0" borderId="12" xfId="0" applyBorder="1" applyAlignment="1">
      <alignment horizontal="center" vertical="center" wrapText="1"/>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20" fillId="8" borderId="22" xfId="0" applyFont="1" applyFill="1" applyBorder="1" applyAlignment="1">
      <alignment horizontal="center" vertical="center" textRotation="180" wrapText="1"/>
    </xf>
    <xf numFmtId="0" fontId="20" fillId="8" borderId="71" xfId="0" applyFont="1" applyFill="1" applyBorder="1" applyAlignment="1">
      <alignment horizontal="center" vertical="center" textRotation="180" wrapText="1"/>
    </xf>
    <xf numFmtId="0" fontId="20" fillId="8" borderId="36" xfId="0" applyFont="1" applyFill="1" applyBorder="1" applyAlignment="1">
      <alignment horizontal="center" vertical="center" textRotation="180" wrapText="1"/>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37" xfId="0" applyBorder="1" applyAlignment="1">
      <alignment horizontal="center" vertical="center"/>
    </xf>
    <xf numFmtId="0" fontId="7" fillId="8" borderId="1" xfId="0" applyFont="1" applyFill="1" applyBorder="1" applyAlignment="1">
      <alignment horizontal="center" vertical="center"/>
    </xf>
    <xf numFmtId="0" fontId="5" fillId="0" borderId="1" xfId="0" applyNumberFormat="1" applyFont="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49" fontId="4" fillId="0" borderId="1" xfId="0" applyNumberFormat="1" applyFont="1" applyFill="1" applyBorder="1" applyAlignment="1">
      <alignment horizontal="center" vertical="center"/>
    </xf>
    <xf numFmtId="0" fontId="4"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2" fillId="0" borderId="1" xfId="0" applyFont="1" applyFill="1" applyBorder="1" applyAlignment="1">
      <alignment horizontal="center" vertical="center"/>
    </xf>
    <xf numFmtId="49" fontId="22" fillId="0" borderId="1" xfId="0" applyNumberFormat="1" applyFont="1" applyBorder="1" applyAlignment="1">
      <alignment horizontal="center" vertical="center"/>
    </xf>
    <xf numFmtId="0" fontId="22" fillId="0" borderId="1" xfId="0" applyNumberFormat="1" applyFont="1" applyBorder="1" applyAlignment="1">
      <alignment horizontal="center" vertical="center"/>
    </xf>
    <xf numFmtId="0" fontId="26" fillId="8" borderId="73" xfId="0" applyFont="1" applyFill="1" applyBorder="1" applyAlignment="1">
      <alignment horizontal="center" vertical="center" textRotation="90" wrapText="1"/>
    </xf>
    <xf numFmtId="0" fontId="26" fillId="8" borderId="53" xfId="0" applyFont="1" applyFill="1" applyBorder="1" applyAlignment="1">
      <alignment horizontal="center" vertical="center" textRotation="90" wrapText="1"/>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0" fontId="25" fillId="8" borderId="74" xfId="0" applyFont="1" applyFill="1" applyBorder="1" applyAlignment="1">
      <alignment horizontal="center" vertical="center" textRotation="90" wrapText="1"/>
    </xf>
    <xf numFmtId="0" fontId="25" fillId="8" borderId="75" xfId="0" applyFont="1" applyFill="1" applyBorder="1" applyAlignment="1">
      <alignment horizontal="center" vertical="center" textRotation="90" wrapText="1"/>
    </xf>
    <xf numFmtId="0" fontId="25" fillId="8" borderId="76" xfId="0" applyFont="1" applyFill="1" applyBorder="1" applyAlignment="1">
      <alignment horizontal="center" vertical="center" textRotation="90" wrapText="1"/>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6" fillId="6" borderId="32" xfId="0" applyNumberFormat="1" applyFont="1" applyFill="1" applyBorder="1" applyAlignment="1">
      <alignment horizontal="center" vertical="center"/>
    </xf>
    <xf numFmtId="49" fontId="46" fillId="6" borderId="29" xfId="0" applyNumberFormat="1" applyFont="1" applyFill="1" applyBorder="1" applyAlignment="1">
      <alignment horizontal="center" vertical="center"/>
    </xf>
    <xf numFmtId="49" fontId="11" fillId="8" borderId="22" xfId="0" applyNumberFormat="1" applyFont="1" applyFill="1" applyBorder="1" applyAlignment="1">
      <alignment horizontal="center" vertical="center"/>
    </xf>
    <xf numFmtId="0" fontId="21"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3" fillId="0" borderId="9" xfId="0" applyFont="1" applyBorder="1" applyAlignment="1">
      <alignment horizontal="center" vertical="center" wrapText="1"/>
    </xf>
    <xf numFmtId="0" fontId="24" fillId="0" borderId="14" xfId="0" applyFont="1" applyBorder="1" applyAlignment="1">
      <alignment horizontal="center" vertical="center" wrapText="1"/>
    </xf>
    <xf numFmtId="168" fontId="47" fillId="0" borderId="14" xfId="0" applyNumberFormat="1" applyFont="1" applyBorder="1" applyAlignment="1">
      <alignment horizontal="center" vertical="center" wrapText="1"/>
    </xf>
    <xf numFmtId="168" fontId="47" fillId="0" borderId="11" xfId="0" applyNumberFormat="1" applyFont="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30" fillId="0" borderId="0" xfId="0" applyFont="1" applyAlignment="1">
      <alignment horizontal="left" vertical="center"/>
    </xf>
    <xf numFmtId="0" fontId="0" fillId="0" borderId="0" xfId="0" applyAlignment="1">
      <alignment horizontal="left" vertical="center"/>
    </xf>
    <xf numFmtId="0" fontId="28" fillId="0" borderId="0" xfId="0" applyFont="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0" borderId="0" xfId="0" applyFont="1" applyAlignment="1">
      <alignment horizontal="center" vertical="center" wrapText="1"/>
    </xf>
    <xf numFmtId="0" fontId="0" fillId="0" borderId="0" xfId="0" applyAlignment="1">
      <alignment horizontal="center" vertical="center"/>
    </xf>
    <xf numFmtId="0" fontId="48" fillId="13" borderId="1" xfId="0" applyFont="1" applyFill="1" applyBorder="1" applyAlignment="1">
      <alignment horizontal="center" vertical="center" wrapText="1"/>
    </xf>
    <xf numFmtId="0" fontId="49" fillId="8" borderId="1" xfId="0" applyFont="1" applyFill="1" applyBorder="1" applyAlignment="1">
      <alignment horizontal="left" vertical="center" wrapText="1"/>
    </xf>
    <xf numFmtId="0" fontId="50" fillId="0" borderId="1" xfId="0" applyFont="1" applyBorder="1" applyAlignment="1">
      <alignment horizontal="center" vertical="center" wrapText="1"/>
    </xf>
    <xf numFmtId="14" fontId="50" fillId="0" borderId="1" xfId="0" applyNumberFormat="1" applyFont="1" applyBorder="1" applyAlignment="1">
      <alignment horizontal="center" vertical="center" wrapText="1"/>
    </xf>
    <xf numFmtId="0" fontId="49" fillId="8" borderId="16" xfId="0" applyFont="1" applyFill="1" applyBorder="1" applyAlignment="1">
      <alignment horizontal="left" vertical="center"/>
    </xf>
    <xf numFmtId="0" fontId="49" fillId="8" borderId="35" xfId="0" applyFont="1" applyFill="1" applyBorder="1" applyAlignment="1">
      <alignment horizontal="left" vertical="center"/>
    </xf>
    <xf numFmtId="0" fontId="49" fillId="8" borderId="21" xfId="0" applyFont="1" applyFill="1" applyBorder="1" applyAlignment="1">
      <alignment horizontal="left" vertical="center"/>
    </xf>
    <xf numFmtId="0" fontId="51" fillId="0" borderId="1" xfId="0" applyFont="1" applyBorder="1" applyAlignment="1">
      <alignment horizontal="center" vertical="center"/>
    </xf>
    <xf numFmtId="0" fontId="49" fillId="0" borderId="1" xfId="0" applyFont="1" applyBorder="1" applyAlignment="1">
      <alignment horizontal="center" vertical="center" wrapText="1"/>
    </xf>
    <xf numFmtId="0" fontId="52" fillId="8" borderId="1" xfId="0" applyFont="1" applyFill="1" applyBorder="1" applyAlignment="1">
      <alignment horizontal="center" vertical="center" wrapText="1"/>
    </xf>
    <xf numFmtId="0" fontId="52" fillId="8" borderId="1" xfId="0" applyFont="1" applyFill="1" applyBorder="1" applyAlignment="1">
      <alignment horizontal="center" vertical="center"/>
    </xf>
    <xf numFmtId="0" fontId="50" fillId="0" borderId="1" xfId="0" applyFont="1" applyBorder="1" applyAlignment="1">
      <alignment horizontal="center" vertical="center"/>
    </xf>
    <xf numFmtId="0" fontId="52" fillId="17" borderId="1" xfId="0" applyFont="1" applyFill="1" applyBorder="1" applyAlignment="1">
      <alignment horizontal="center" vertical="center" wrapText="1"/>
    </xf>
    <xf numFmtId="0" fontId="52" fillId="17" borderId="1" xfId="0" applyFont="1" applyFill="1" applyBorder="1" applyAlignment="1">
      <alignment horizontal="center" vertical="center"/>
    </xf>
    <xf numFmtId="0" fontId="49" fillId="0" borderId="1" xfId="0" applyFont="1" applyBorder="1" applyAlignment="1">
      <alignment horizontal="left" vertical="center"/>
    </xf>
    <xf numFmtId="0" fontId="51" fillId="0" borderId="1" xfId="0" applyFont="1" applyBorder="1" applyAlignment="1">
      <alignment horizontal="left" vertical="center"/>
    </xf>
    <xf numFmtId="0" fontId="49" fillId="0" borderId="1" xfId="0" applyFont="1" applyBorder="1" applyAlignment="1">
      <alignment horizontal="left" vertical="center" wrapText="1"/>
    </xf>
    <xf numFmtId="0" fontId="55" fillId="0" borderId="1" xfId="0" applyFont="1" applyBorder="1" applyAlignment="1">
      <alignment horizontal="center" vertical="center"/>
    </xf>
    <xf numFmtId="0" fontId="49" fillId="0" borderId="1" xfId="0" applyFont="1" applyBorder="1" applyAlignment="1">
      <alignment horizontal="center" vertical="center"/>
    </xf>
    <xf numFmtId="0" fontId="54" fillId="0" borderId="1" xfId="0" applyFont="1" applyBorder="1" applyAlignment="1">
      <alignment horizontal="center" vertical="center" wrapText="1"/>
    </xf>
    <xf numFmtId="0" fontId="54" fillId="0" borderId="1" xfId="0" applyFont="1" applyBorder="1" applyAlignment="1">
      <alignment horizontal="center" vertical="center"/>
    </xf>
    <xf numFmtId="0" fontId="0" fillId="0" borderId="1" xfId="0" applyBorder="1"/>
    <xf numFmtId="14" fontId="51" fillId="0" borderId="1" xfId="0" applyNumberFormat="1" applyFont="1" applyBorder="1" applyAlignment="1">
      <alignment horizontal="center" vertical="center"/>
    </xf>
    <xf numFmtId="169" fontId="0" fillId="0" borderId="1" xfId="0" applyNumberFormat="1" applyBorder="1" applyAlignment="1">
      <alignment horizontal="center" vertical="center"/>
    </xf>
    <xf numFmtId="0" fontId="48" fillId="0" borderId="1" xfId="0" applyFont="1" applyBorder="1" applyAlignment="1">
      <alignment horizontal="center" vertical="center" wrapText="1"/>
    </xf>
    <xf numFmtId="0" fontId="53" fillId="0" borderId="1" xfId="0" applyFont="1" applyBorder="1" applyAlignment="1">
      <alignment horizontal="left" vertical="top" wrapText="1"/>
    </xf>
  </cellXfs>
  <cellStyles count="3">
    <cellStyle name="Hipervínculo" xfId="1" builtinId="8"/>
    <cellStyle name="Normal" xfId="0" builtinId="0"/>
    <cellStyle name="Normal 2" xfId="2"/>
  </cellStyles>
  <dxfs count="6">
    <dxf>
      <font>
        <condense val="0"/>
        <extend val="0"/>
        <color auto="1"/>
      </font>
      <fill>
        <patternFill>
          <bgColor indexed="10"/>
        </patternFill>
      </fill>
    </dxf>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theme/theme1.xml" Type="http://schemas.openxmlformats.org/officeDocument/2006/relationships/theme"/>
<Relationship Id="rId12" Target="styles.xml" Type="http://schemas.openxmlformats.org/officeDocument/2006/relationships/styles"/>
<Relationship Id="rId13" Target="sharedStrings.xml" Type="http://schemas.openxmlformats.org/officeDocument/2006/relationships/sharedStrings"/>
<Relationship Id="rId14" Target="calcChain.xml" Type="http://schemas.openxmlformats.org/officeDocument/2006/relationships/calcChain"/>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Información!$I$11:$AM$11</c:f>
              <c:numCache>
                <c:formatCode>0</c:formatCode>
                <c:ptCount val="31"/>
              </c:numCache>
            </c:numRef>
          </c:val>
        </c:ser>
        <c:ser>
          <c:idx val="1"/>
          <c:order val="1"/>
          <c:tx>
            <c:v>piezas NOK</c:v>
          </c:tx>
          <c:spPr>
            <a:solidFill>
              <a:srgbClr val="FF0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Información!$I$12:$AM$12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2"/>
          <c:order val="2"/>
          <c:tx>
            <c:v>piezas RECUPERADAS</c:v>
          </c:tx>
          <c:spPr>
            <a:solidFill>
              <a:srgbClr val="FFC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Información!$I$15:$AM$15</c:f>
              <c:numCache>
                <c:formatCode>0</c:formatCode>
                <c:ptCount val="31"/>
              </c:numCache>
            </c:numRef>
          </c:val>
        </c:ser>
        <c:dLbls>
          <c:showLegendKey val="0"/>
          <c:showVal val="0"/>
          <c:showCatName val="0"/>
          <c:showSerName val="0"/>
          <c:showPercent val="0"/>
          <c:showBubbleSize val="0"/>
        </c:dLbls>
        <c:gapWidth val="150"/>
        <c:axId val="97452032"/>
        <c:axId val="97453568"/>
      </c:barChart>
      <c:dateAx>
        <c:axId val="97452032"/>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97453568"/>
        <c:crosses val="autoZero"/>
        <c:auto val="1"/>
        <c:lblOffset val="100"/>
        <c:baseTimeUnit val="days"/>
        <c:majorUnit val="2"/>
        <c:minorUnit val="1"/>
      </c:dateAx>
      <c:valAx>
        <c:axId val="97453568"/>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7452032"/>
        <c:crosses val="autoZero"/>
        <c:crossBetween val="between"/>
      </c:valAx>
    </c:plotArea>
    <c:legend>
      <c:legendPos val="r"/>
      <c:layout/>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no"?>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s>

</file>

<file path=xl/drawings/_rels/drawing2.xml.rels><?xml version="1.0" encoding="UTF-8" standalone="no"?>
<Relationships xmlns="http://schemas.openxmlformats.org/package/2006/relationships">
<Relationship Id="rId1" Target="../media/image2.jpeg" Type="http://schemas.openxmlformats.org/officeDocument/2006/relationships/image"/>
<Relationship Id="rId2" Target="../media/image1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3.jpeg" Type="http://schemas.openxmlformats.org/officeDocument/2006/relationships/image"/>
<Relationship Id="rId10" Target="../media/image18.png" Type="http://schemas.openxmlformats.org/officeDocument/2006/relationships/image"/>
<Relationship Id="rId11" Target="../media/image19.png" Type="http://schemas.openxmlformats.org/officeDocument/2006/relationships/image"/>
<Relationship Id="rId12" Target="../media/image20.png" Type="http://schemas.openxmlformats.org/officeDocument/2006/relationships/image"/>
<Relationship Id="rId13" Target="../media/image21.png" Type="http://schemas.openxmlformats.org/officeDocument/2006/relationships/image"/>
<Relationship Id="rId14" Target="../media/image22.png" Type="http://schemas.openxmlformats.org/officeDocument/2006/relationships/image"/>
<Relationship Id="rId15" Target="../media/image23.png" Type="http://schemas.openxmlformats.org/officeDocument/2006/relationships/image"/>
<Relationship Id="rId16" Target="../media/image24.png" Type="http://schemas.openxmlformats.org/officeDocument/2006/relationships/image"/>
<Relationship Id="rId17" Target="../media/image25.png" Type="http://schemas.openxmlformats.org/officeDocument/2006/relationships/image"/>
<Relationship Id="rId18" Target="../media/image26.png" Type="http://schemas.openxmlformats.org/officeDocument/2006/relationships/image"/>
<Relationship Id="rId19" Target="../media/image27.png" Type="http://schemas.openxmlformats.org/officeDocument/2006/relationships/image"/>
<Relationship Id="rId2" Target="../media/image4.jpeg" Type="http://schemas.openxmlformats.org/officeDocument/2006/relationships/image"/>
<Relationship Id="rId20" Target="../media/image28.png" Type="http://schemas.openxmlformats.org/officeDocument/2006/relationships/image"/>
<Relationship Id="rId21" Target="../media/image29.png" Type="http://schemas.openxmlformats.org/officeDocument/2006/relationships/image"/>
<Relationship Id="rId22" Target="../media/image30.png" Type="http://schemas.openxmlformats.org/officeDocument/2006/relationships/image"/>
<Relationship Id="rId23" Target="../media/image31.png" Type="http://schemas.openxmlformats.org/officeDocument/2006/relationships/image"/>
<Relationship Id="rId24" Target="../media/image32.png" Type="http://schemas.openxmlformats.org/officeDocument/2006/relationships/image"/>
<Relationship Id="rId25" Target="../media/image33.png" Type="http://schemas.openxmlformats.org/officeDocument/2006/relationships/image"/>
<Relationship Id="rId26" Target="../media/image34.png" Type="http://schemas.openxmlformats.org/officeDocument/2006/relationships/image"/>
<Relationship Id="rId27" Target="../media/image35.png" Type="http://schemas.openxmlformats.org/officeDocument/2006/relationships/image"/>
<Relationship Id="rId3" Target="../media/image2.jpeg" Type="http://schemas.openxmlformats.org/officeDocument/2006/relationships/image"/>
<Relationship Id="rId4" Target="../media/image12.png" Type="http://schemas.openxmlformats.org/officeDocument/2006/relationships/image"/>
<Relationship Id="rId5" Target="../media/image13.png" Type="http://schemas.openxmlformats.org/officeDocument/2006/relationships/image"/>
<Relationship Id="rId6" Target="../media/image14.png" Type="http://schemas.openxmlformats.org/officeDocument/2006/relationships/image"/>
<Relationship Id="rId7" Target="../media/image15.png" Type="http://schemas.openxmlformats.org/officeDocument/2006/relationships/image"/>
<Relationship Id="rId8" Target="../media/image16.png" Type="http://schemas.openxmlformats.org/officeDocument/2006/relationships/image"/>
<Relationship Id="rId9" Target="../media/image17.png" Type="http://schemas.openxmlformats.org/officeDocument/2006/relationships/image"/>
</Relationships>

</file>

<file path=xl/drawings/_rels/drawing4.xml.rels><?xml version="1.0" encoding="UTF-8" standalone="no"?>
<Relationships xmlns="http://schemas.openxmlformats.org/package/2006/relationships">
<Relationship Id="rId1" Target="../media/image5.jpeg" Type="http://schemas.openxmlformats.org/officeDocument/2006/relationships/image"/>
</Relationships>

</file>

<file path=xl/drawings/_rels/drawing5.xml.rels><?xml version="1.0" encoding="UTF-8" standalone="no"?>
<Relationships xmlns="http://schemas.openxmlformats.org/package/2006/relationships">
<Relationship Id="rId1" Target="../charts/chart1.xml" Type="http://schemas.openxmlformats.org/officeDocument/2006/relationships/chart"/>
<Relationship Id="rId2" Target="../media/image2.jpeg" Type="http://schemas.openxmlformats.org/officeDocument/2006/relationships/image"/>
</Relationships>

</file>

<file path=xl/drawings/_rels/drawing6.xml.rels><?xml version="1.0" encoding="UTF-8" standalone="no"?>
<Relationships xmlns="http://schemas.openxmlformats.org/package/2006/relationships">
<Relationship Id="rId1" Target="../media/image2.jpeg" Type="http://schemas.openxmlformats.org/officeDocument/2006/relationships/image"/>
</Relationships>

</file>

<file path=xl/drawings/_rels/drawing7.xml.rels><?xml version="1.0" encoding="UTF-8" standalone="no"?>
<Relationships xmlns="http://schemas.openxmlformats.org/package/2006/relationships">
<Relationship Id="rId1" Target="../media/image6.jpeg" Type="http://schemas.openxmlformats.org/officeDocument/2006/relationships/image"/>
</Relationships>

</file>

<file path=xl/drawings/_rels/drawing8.xml.rels><?xml version="1.0" encoding="UTF-8" standalone="no"?>
<Relationships xmlns="http://schemas.openxmlformats.org/package/2006/relationships">
<Relationship Id="rId1" Target="../media/image7.jpeg" Type="http://schemas.openxmlformats.org/officeDocument/2006/relationships/image"/>
</Relationships>

</file>

<file path=xl/drawings/_rels/drawing9.xml.rels><?xml version="1.0" encoding="UTF-8" standalone="no"?>
<Relationships xmlns="http://schemas.openxmlformats.org/package/2006/relationships">
<Relationship Id="rId1" Target="../media/image8.jpeg" Type="http://schemas.openxmlformats.org/officeDocument/2006/relationships/image"/>
<Relationship Id="rId2" Target="../media/image9.jpeg" Type="http://schemas.openxmlformats.org/officeDocument/2006/relationships/image"/>
<Relationship Id="rId3" Target="../media/image36.png" Type="http://schemas.openxmlformats.org/officeDocument/2006/relationships/image"/>
</Relationships>

</file>

<file path=xl/drawings/_rels/drawing10.xml.rels><?xml version="1.0" encoding="UTF-8" standalone="no"?>
<Relationships xmlns="http://schemas.openxmlformats.org/package/2006/relationships">
<Relationship Id="rId1" Target="../media/image10.emf" Type="http://schemas.openxmlformats.org/officeDocument/2006/relationships/image"/>
<Relationship Id="rId2" Target="../media/image37.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92"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0</xdr:row>
      <xdr:rowOff>19050</xdr:rowOff>
    </xdr:from>
    <xdr:to>
      <xdr:col>0</xdr:col>
      <xdr:colOff>1428750</xdr:colOff>
      <xdr:row>0</xdr:row>
      <xdr:rowOff>800100</xdr:rowOff>
    </xdr:to>
    <xdr:pic>
      <xdr:nvPicPr>
        <xdr:cNvPr id="744594" name="1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90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95250</xdr:colOff>
      <xdr:row>0</xdr:row>
      <xdr:rowOff>66675</xdr:rowOff>
    </xdr:from>
    <xdr:to>
      <xdr:col>0</xdr:col>
      <xdr:colOff>1409700</xdr:colOff>
      <xdr:row>0</xdr:row>
      <xdr:rowOff>847725</xdr:rowOff>
    </xdr:to>
    <xdr:pic>
      <xdr:nvPicPr>
        <xdr:cNvPr id="731775" name="10 Imagen"/>
        <xdr:cNvPicPr>
          <a:picLocks noChangeAspect="1"/>
        </xdr:cNvPicPr>
      </xdr:nvPicPr>
      <xdr:blipFill>
        <a:blip r:embed="rId1" cstate="print">
          <a:extLst>
            <a:ext uri="{28A0092B-C50C-407E-A947-70E740481C1C}">
              <a14:useLocalDpi xmlns:a14="http://schemas.microsoft.com/office/drawing/2010/main" val="0"/>
            </a:ext>
          </a:extLst>
        </a:blip>
        <a:srcRect/>
        <a:stretch>
          <a:fillRect/>
        </a:stretch>
      </xdr:blipFill>
      <xdr:spPr bwMode="auto">
        <a:xfrm>
          <a:off x="9525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twoCell">
    <xdr:from>
      <xdr:col>10</xdr:col>
      <xdr:colOff>0</xdr:colOff>
      <xdr:row>0</xdr:row>
      <xdr:rowOff>0</xdr:rowOff>
    </xdr:from>
    <xdr:to>
      <xdr:col>10</xdr:col>
      <xdr:colOff>476250</xdr:colOff>
      <xdr:row>0</xdr:row>
      <xdr:rowOff>476250</xdr:rowOff>
    </xdr:to>
    <xdr:pic>
      <xdr:nvPicPr>
        <xdr:cNvPr id="10" name="Picture 1" descr="Picture"/>
        <xdr:cNvPicPr>
          <a:picLocks noChangeAspect="true"/>
        </xdr:cNvPicPr>
      </xdr:nvPicPr>
      <xdr:blipFill>
        <a:blip r:embed="rId2"/>
        <a:stretch>
          <a:fillRect/>
        </a:stretch>
      </xdr:blipFill>
      <xdr:spPr>
        <a:xfrm>
          <a:off x="0" y="0"/>
          <a:ext cx="476250" cy="476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5</xdr:col>
      <xdr:colOff>704850</xdr:colOff>
      <xdr:row>52</xdr:row>
      <xdr:rowOff>85725</xdr:rowOff>
    </xdr:from>
    <xdr:to>
      <xdr:col>6</xdr:col>
      <xdr:colOff>800100</xdr:colOff>
      <xdr:row>54</xdr:row>
      <xdr:rowOff>390525</xdr:rowOff>
    </xdr:to>
    <xdr:pic>
      <xdr:nvPicPr>
        <xdr:cNvPr id="799658" name="1 Imagen"/>
        <xdr:cNvPicPr>
          <a:picLocks noChangeAspect="1"/>
        </xdr:cNvPicPr>
      </xdr:nvPicPr>
      <xdr:blipFill>
        <a:blip r:embed="rId1">
          <a:extLst>
            <a:ext uri="{28A0092B-C50C-407E-A947-70E740481C1C}">
              <a14:useLocalDpi xmlns:a14="http://schemas.microsoft.com/office/drawing/2010/main" val="0"/>
            </a:ext>
          </a:extLst>
        </a:blip>
        <a:srcRect l="15054" t="9671" r="14072" b="14764"/>
        <a:stretch>
          <a:fillRect/>
        </a:stretch>
      </xdr:blipFill>
      <xdr:spPr bwMode="auto">
        <a:xfrm>
          <a:off x="4724400" y="9448800"/>
          <a:ext cx="85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619125</xdr:colOff>
      <xdr:row>52</xdr:row>
      <xdr:rowOff>47625</xdr:rowOff>
    </xdr:from>
    <xdr:to>
      <xdr:col>4</xdr:col>
      <xdr:colOff>695325</xdr:colOff>
      <xdr:row>54</xdr:row>
      <xdr:rowOff>400050</xdr:rowOff>
    </xdr:to>
    <xdr:pic>
      <xdr:nvPicPr>
        <xdr:cNvPr id="799659" name="34 Imagen"/>
        <xdr:cNvPicPr>
          <a:picLocks noChangeAspect="1"/>
        </xdr:cNvPicPr>
      </xdr:nvPicPr>
      <xdr:blipFill>
        <a:blip r:embed="rId2">
          <a:extLst>
            <a:ext uri="{28A0092B-C50C-407E-A947-70E740481C1C}">
              <a14:useLocalDpi xmlns:a14="http://schemas.microsoft.com/office/drawing/2010/main" val="0"/>
            </a:ext>
          </a:extLst>
        </a:blip>
        <a:srcRect l="13841" t="3027" r="13898" b="15155"/>
        <a:stretch>
          <a:fillRect/>
        </a:stretch>
      </xdr:blipFill>
      <xdr:spPr bwMode="auto">
        <a:xfrm>
          <a:off x="3114675" y="9410700"/>
          <a:ext cx="8382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r:embed="rId3"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twoCell">
    <xdr:from>
      <xdr:col>3</xdr:col>
      <xdr:colOff>0</xdr:colOff>
      <xdr:row>22</xdr:row>
      <xdr:rowOff>0</xdr:rowOff>
    </xdr:from>
    <xdr:to>
      <xdr:col>3</xdr:col>
      <xdr:colOff>476250</xdr:colOff>
      <xdr:row>23</xdr:row>
      <xdr:rowOff>133350</xdr:rowOff>
    </xdr:to>
    <xdr:pic>
      <xdr:nvPicPr>
        <xdr:cNvPr id="68" name="Picture 1" descr="Picture"/>
        <xdr:cNvPicPr>
          <a:picLocks noChangeAspect="true"/>
        </xdr:cNvPicPr>
      </xdr:nvPicPr>
      <xdr:blipFill>
        <a:blip r:embed="rId4"/>
        <a:stretch>
          <a:fillRect/>
        </a:stretch>
      </xdr:blipFill>
      <xdr:spPr>
        <a:xfrm>
          <a:off x="0" y="0"/>
          <a:ext cx="476250" cy="476250"/>
        </a:xfrm>
        <a:prstGeom prst="rect">
          <a:avLst/>
        </a:prstGeom>
      </xdr:spPr>
    </xdr:pic>
    <xdr:clientData/>
  </xdr:twoCellAnchor>
  <xdr:twoCellAnchor editAs="twoCell">
    <xdr:from>
      <xdr:col>5</xdr:col>
      <xdr:colOff>0</xdr:colOff>
      <xdr:row>22</xdr:row>
      <xdr:rowOff>0</xdr:rowOff>
    </xdr:from>
    <xdr:to>
      <xdr:col>5</xdr:col>
      <xdr:colOff>476250</xdr:colOff>
      <xdr:row>23</xdr:row>
      <xdr:rowOff>133350</xdr:rowOff>
    </xdr:to>
    <xdr:pic>
      <xdr:nvPicPr>
        <xdr:cNvPr id="69" name="Picture 1" descr="Picture"/>
        <xdr:cNvPicPr>
          <a:picLocks noChangeAspect="true"/>
        </xdr:cNvPicPr>
      </xdr:nvPicPr>
      <xdr:blipFill>
        <a:blip r:embed="rId5"/>
        <a:stretch>
          <a:fillRect/>
        </a:stretch>
      </xdr:blipFill>
      <xdr:spPr>
        <a:xfrm>
          <a:off x="0" y="0"/>
          <a:ext cx="476250" cy="476250"/>
        </a:xfrm>
        <a:prstGeom prst="rect">
          <a:avLst/>
        </a:prstGeom>
      </xdr:spPr>
    </xdr:pic>
    <xdr:clientData/>
  </xdr:twoCellAnchor>
  <xdr:twoCellAnchor editAs="twoCell">
    <xdr:from>
      <xdr:col>3</xdr:col>
      <xdr:colOff>0</xdr:colOff>
      <xdr:row>25</xdr:row>
      <xdr:rowOff>0</xdr:rowOff>
    </xdr:from>
    <xdr:to>
      <xdr:col>3</xdr:col>
      <xdr:colOff>476250</xdr:colOff>
      <xdr:row>26</xdr:row>
      <xdr:rowOff>133350</xdr:rowOff>
    </xdr:to>
    <xdr:pic>
      <xdr:nvPicPr>
        <xdr:cNvPr id="70" name="Picture 1" descr="Picture"/>
        <xdr:cNvPicPr>
          <a:picLocks noChangeAspect="true"/>
        </xdr:cNvPicPr>
      </xdr:nvPicPr>
      <xdr:blipFill>
        <a:blip r:embed="rId6"/>
        <a:stretch>
          <a:fillRect/>
        </a:stretch>
      </xdr:blipFill>
      <xdr:spPr>
        <a:xfrm>
          <a:off x="0" y="0"/>
          <a:ext cx="476250" cy="476250"/>
        </a:xfrm>
        <a:prstGeom prst="rect">
          <a:avLst/>
        </a:prstGeom>
      </xdr:spPr>
    </xdr:pic>
    <xdr:clientData/>
  </xdr:twoCellAnchor>
  <xdr:twoCellAnchor editAs="twoCell">
    <xdr:from>
      <xdr:col>5</xdr:col>
      <xdr:colOff>0</xdr:colOff>
      <xdr:row>25</xdr:row>
      <xdr:rowOff>0</xdr:rowOff>
    </xdr:from>
    <xdr:to>
      <xdr:col>5</xdr:col>
      <xdr:colOff>476250</xdr:colOff>
      <xdr:row>26</xdr:row>
      <xdr:rowOff>133350</xdr:rowOff>
    </xdr:to>
    <xdr:pic>
      <xdr:nvPicPr>
        <xdr:cNvPr id="71" name="Picture 1" descr="Picture"/>
        <xdr:cNvPicPr>
          <a:picLocks noChangeAspect="true"/>
        </xdr:cNvPicPr>
      </xdr:nvPicPr>
      <xdr:blipFill>
        <a:blip r:embed="rId7"/>
        <a:stretch>
          <a:fillRect/>
        </a:stretch>
      </xdr:blipFill>
      <xdr:spPr>
        <a:xfrm>
          <a:off x="0" y="0"/>
          <a:ext cx="476250" cy="476250"/>
        </a:xfrm>
        <a:prstGeom prst="rect">
          <a:avLst/>
        </a:prstGeom>
      </xdr:spPr>
    </xdr:pic>
    <xdr:clientData/>
  </xdr:twoCellAnchor>
  <xdr:twoCellAnchor editAs="twoCell">
    <xdr:from>
      <xdr:col>3</xdr:col>
      <xdr:colOff>0</xdr:colOff>
      <xdr:row>28</xdr:row>
      <xdr:rowOff>0</xdr:rowOff>
    </xdr:from>
    <xdr:to>
      <xdr:col>3</xdr:col>
      <xdr:colOff>476250</xdr:colOff>
      <xdr:row>29</xdr:row>
      <xdr:rowOff>133350</xdr:rowOff>
    </xdr:to>
    <xdr:pic>
      <xdr:nvPicPr>
        <xdr:cNvPr id="72" name="Picture 1" descr="Picture"/>
        <xdr:cNvPicPr>
          <a:picLocks noChangeAspect="true"/>
        </xdr:cNvPicPr>
      </xdr:nvPicPr>
      <xdr:blipFill>
        <a:blip r:embed="rId8"/>
        <a:stretch>
          <a:fillRect/>
        </a:stretch>
      </xdr:blipFill>
      <xdr:spPr>
        <a:xfrm>
          <a:off x="0" y="0"/>
          <a:ext cx="476250" cy="476250"/>
        </a:xfrm>
        <a:prstGeom prst="rect">
          <a:avLst/>
        </a:prstGeom>
      </xdr:spPr>
    </xdr:pic>
    <xdr:clientData/>
  </xdr:twoCellAnchor>
  <xdr:twoCellAnchor editAs="twoCell">
    <xdr:from>
      <xdr:col>5</xdr:col>
      <xdr:colOff>0</xdr:colOff>
      <xdr:row>28</xdr:row>
      <xdr:rowOff>0</xdr:rowOff>
    </xdr:from>
    <xdr:to>
      <xdr:col>5</xdr:col>
      <xdr:colOff>476250</xdr:colOff>
      <xdr:row>29</xdr:row>
      <xdr:rowOff>133350</xdr:rowOff>
    </xdr:to>
    <xdr:pic>
      <xdr:nvPicPr>
        <xdr:cNvPr id="73" name="Picture 1" descr="Picture"/>
        <xdr:cNvPicPr>
          <a:picLocks noChangeAspect="true"/>
        </xdr:cNvPicPr>
      </xdr:nvPicPr>
      <xdr:blipFill>
        <a:blip r:embed="rId9"/>
        <a:stretch>
          <a:fillRect/>
        </a:stretch>
      </xdr:blipFill>
      <xdr:spPr>
        <a:xfrm>
          <a:off x="0" y="0"/>
          <a:ext cx="476250" cy="476250"/>
        </a:xfrm>
        <a:prstGeom prst="rect">
          <a:avLst/>
        </a:prstGeom>
      </xdr:spPr>
    </xdr:pic>
    <xdr:clientData/>
  </xdr:twoCellAnchor>
  <xdr:twoCellAnchor editAs="twoCell">
    <xdr:from>
      <xdr:col>3</xdr:col>
      <xdr:colOff>0</xdr:colOff>
      <xdr:row>31</xdr:row>
      <xdr:rowOff>0</xdr:rowOff>
    </xdr:from>
    <xdr:to>
      <xdr:col>3</xdr:col>
      <xdr:colOff>476250</xdr:colOff>
      <xdr:row>32</xdr:row>
      <xdr:rowOff>133350</xdr:rowOff>
    </xdr:to>
    <xdr:pic>
      <xdr:nvPicPr>
        <xdr:cNvPr id="74" name="Picture 1" descr="Picture"/>
        <xdr:cNvPicPr>
          <a:picLocks noChangeAspect="true"/>
        </xdr:cNvPicPr>
      </xdr:nvPicPr>
      <xdr:blipFill>
        <a:blip r:embed="rId10"/>
        <a:stretch>
          <a:fillRect/>
        </a:stretch>
      </xdr:blipFill>
      <xdr:spPr>
        <a:xfrm>
          <a:off x="0" y="0"/>
          <a:ext cx="476250" cy="476250"/>
        </a:xfrm>
        <a:prstGeom prst="rect">
          <a:avLst/>
        </a:prstGeom>
      </xdr:spPr>
    </xdr:pic>
    <xdr:clientData/>
  </xdr:twoCellAnchor>
  <xdr:twoCellAnchor editAs="twoCell">
    <xdr:from>
      <xdr:col>5</xdr:col>
      <xdr:colOff>0</xdr:colOff>
      <xdr:row>31</xdr:row>
      <xdr:rowOff>0</xdr:rowOff>
    </xdr:from>
    <xdr:to>
      <xdr:col>5</xdr:col>
      <xdr:colOff>476250</xdr:colOff>
      <xdr:row>32</xdr:row>
      <xdr:rowOff>133350</xdr:rowOff>
    </xdr:to>
    <xdr:pic>
      <xdr:nvPicPr>
        <xdr:cNvPr id="75" name="Picture 1" descr="Picture"/>
        <xdr:cNvPicPr>
          <a:picLocks noChangeAspect="true"/>
        </xdr:cNvPicPr>
      </xdr:nvPicPr>
      <xdr:blipFill>
        <a:blip r:embed="rId11"/>
        <a:stretch>
          <a:fillRect/>
        </a:stretch>
      </xdr:blipFill>
      <xdr:spPr>
        <a:xfrm>
          <a:off x="0" y="0"/>
          <a:ext cx="476250" cy="476250"/>
        </a:xfrm>
        <a:prstGeom prst="rect">
          <a:avLst/>
        </a:prstGeom>
      </xdr:spPr>
    </xdr:pic>
    <xdr:clientData/>
  </xdr:twoCellAnchor>
  <xdr:twoCellAnchor editAs="twoCell">
    <xdr:from>
      <xdr:col>3</xdr:col>
      <xdr:colOff>0</xdr:colOff>
      <xdr:row>34</xdr:row>
      <xdr:rowOff>0</xdr:rowOff>
    </xdr:from>
    <xdr:to>
      <xdr:col>3</xdr:col>
      <xdr:colOff>476250</xdr:colOff>
      <xdr:row>35</xdr:row>
      <xdr:rowOff>133350</xdr:rowOff>
    </xdr:to>
    <xdr:pic>
      <xdr:nvPicPr>
        <xdr:cNvPr id="76" name="Picture 1" descr="Picture"/>
        <xdr:cNvPicPr>
          <a:picLocks noChangeAspect="true"/>
        </xdr:cNvPicPr>
      </xdr:nvPicPr>
      <xdr:blipFill>
        <a:blip r:embed="rId12"/>
        <a:stretch>
          <a:fillRect/>
        </a:stretch>
      </xdr:blipFill>
      <xdr:spPr>
        <a:xfrm>
          <a:off x="0" y="0"/>
          <a:ext cx="476250" cy="476250"/>
        </a:xfrm>
        <a:prstGeom prst="rect">
          <a:avLst/>
        </a:prstGeom>
      </xdr:spPr>
    </xdr:pic>
    <xdr:clientData/>
  </xdr:twoCellAnchor>
  <xdr:twoCellAnchor editAs="twoCell">
    <xdr:from>
      <xdr:col>5</xdr:col>
      <xdr:colOff>0</xdr:colOff>
      <xdr:row>34</xdr:row>
      <xdr:rowOff>0</xdr:rowOff>
    </xdr:from>
    <xdr:to>
      <xdr:col>5</xdr:col>
      <xdr:colOff>476250</xdr:colOff>
      <xdr:row>35</xdr:row>
      <xdr:rowOff>133350</xdr:rowOff>
    </xdr:to>
    <xdr:pic>
      <xdr:nvPicPr>
        <xdr:cNvPr id="77" name="Picture 1" descr="Picture"/>
        <xdr:cNvPicPr>
          <a:picLocks noChangeAspect="true"/>
        </xdr:cNvPicPr>
      </xdr:nvPicPr>
      <xdr:blipFill>
        <a:blip r:embed="rId13"/>
        <a:stretch>
          <a:fillRect/>
        </a:stretch>
      </xdr:blipFill>
      <xdr:spPr>
        <a:xfrm>
          <a:off x="0" y="0"/>
          <a:ext cx="476250" cy="476250"/>
        </a:xfrm>
        <a:prstGeom prst="rect">
          <a:avLst/>
        </a:prstGeom>
      </xdr:spPr>
    </xdr:pic>
    <xdr:clientData/>
  </xdr:twoCellAnchor>
  <xdr:twoCellAnchor editAs="twoCell">
    <xdr:from>
      <xdr:col>3</xdr:col>
      <xdr:colOff>0</xdr:colOff>
      <xdr:row>37</xdr:row>
      <xdr:rowOff>0</xdr:rowOff>
    </xdr:from>
    <xdr:to>
      <xdr:col>3</xdr:col>
      <xdr:colOff>476250</xdr:colOff>
      <xdr:row>38</xdr:row>
      <xdr:rowOff>133350</xdr:rowOff>
    </xdr:to>
    <xdr:pic>
      <xdr:nvPicPr>
        <xdr:cNvPr id="78" name="Picture 1" descr="Picture"/>
        <xdr:cNvPicPr>
          <a:picLocks noChangeAspect="true"/>
        </xdr:cNvPicPr>
      </xdr:nvPicPr>
      <xdr:blipFill>
        <a:blip r:embed="rId14"/>
        <a:stretch>
          <a:fillRect/>
        </a:stretch>
      </xdr:blipFill>
      <xdr:spPr>
        <a:xfrm>
          <a:off x="0" y="0"/>
          <a:ext cx="476250" cy="476250"/>
        </a:xfrm>
        <a:prstGeom prst="rect">
          <a:avLst/>
        </a:prstGeom>
      </xdr:spPr>
    </xdr:pic>
    <xdr:clientData/>
  </xdr:twoCellAnchor>
  <xdr:twoCellAnchor editAs="twoCell">
    <xdr:from>
      <xdr:col>5</xdr:col>
      <xdr:colOff>0</xdr:colOff>
      <xdr:row>37</xdr:row>
      <xdr:rowOff>0</xdr:rowOff>
    </xdr:from>
    <xdr:to>
      <xdr:col>5</xdr:col>
      <xdr:colOff>476250</xdr:colOff>
      <xdr:row>38</xdr:row>
      <xdr:rowOff>133350</xdr:rowOff>
    </xdr:to>
    <xdr:pic>
      <xdr:nvPicPr>
        <xdr:cNvPr id="79" name="Picture 1" descr="Picture"/>
        <xdr:cNvPicPr>
          <a:picLocks noChangeAspect="true"/>
        </xdr:cNvPicPr>
      </xdr:nvPicPr>
      <xdr:blipFill>
        <a:blip r:embed="rId15"/>
        <a:stretch>
          <a:fillRect/>
        </a:stretch>
      </xdr:blipFill>
      <xdr:spPr>
        <a:xfrm>
          <a:off x="0" y="0"/>
          <a:ext cx="476250" cy="476250"/>
        </a:xfrm>
        <a:prstGeom prst="rect">
          <a:avLst/>
        </a:prstGeom>
      </xdr:spPr>
    </xdr:pic>
    <xdr:clientData/>
  </xdr:twoCellAnchor>
  <xdr:twoCellAnchor editAs="twoCell">
    <xdr:from>
      <xdr:col>3</xdr:col>
      <xdr:colOff>0</xdr:colOff>
      <xdr:row>40</xdr:row>
      <xdr:rowOff>0</xdr:rowOff>
    </xdr:from>
    <xdr:to>
      <xdr:col>3</xdr:col>
      <xdr:colOff>476250</xdr:colOff>
      <xdr:row>41</xdr:row>
      <xdr:rowOff>133350</xdr:rowOff>
    </xdr:to>
    <xdr:pic>
      <xdr:nvPicPr>
        <xdr:cNvPr id="80" name="Picture 1" descr="Picture"/>
        <xdr:cNvPicPr>
          <a:picLocks noChangeAspect="true"/>
        </xdr:cNvPicPr>
      </xdr:nvPicPr>
      <xdr:blipFill>
        <a:blip r:embed="rId16"/>
        <a:stretch>
          <a:fillRect/>
        </a:stretch>
      </xdr:blipFill>
      <xdr:spPr>
        <a:xfrm>
          <a:off x="0" y="0"/>
          <a:ext cx="476250" cy="476250"/>
        </a:xfrm>
        <a:prstGeom prst="rect">
          <a:avLst/>
        </a:prstGeom>
      </xdr:spPr>
    </xdr:pic>
    <xdr:clientData/>
  </xdr:twoCellAnchor>
  <xdr:twoCellAnchor editAs="twoCell">
    <xdr:from>
      <xdr:col>5</xdr:col>
      <xdr:colOff>0</xdr:colOff>
      <xdr:row>40</xdr:row>
      <xdr:rowOff>0</xdr:rowOff>
    </xdr:from>
    <xdr:to>
      <xdr:col>5</xdr:col>
      <xdr:colOff>476250</xdr:colOff>
      <xdr:row>41</xdr:row>
      <xdr:rowOff>133350</xdr:rowOff>
    </xdr:to>
    <xdr:pic>
      <xdr:nvPicPr>
        <xdr:cNvPr id="81" name="Picture 1" descr="Picture"/>
        <xdr:cNvPicPr>
          <a:picLocks noChangeAspect="true"/>
        </xdr:cNvPicPr>
      </xdr:nvPicPr>
      <xdr:blipFill>
        <a:blip r:embed="rId17"/>
        <a:stretch>
          <a:fillRect/>
        </a:stretch>
      </xdr:blipFill>
      <xdr:spPr>
        <a:xfrm>
          <a:off x="0" y="0"/>
          <a:ext cx="476250" cy="476250"/>
        </a:xfrm>
        <a:prstGeom prst="rect">
          <a:avLst/>
        </a:prstGeom>
      </xdr:spPr>
    </xdr:pic>
    <xdr:clientData/>
  </xdr:twoCellAnchor>
  <xdr:twoCellAnchor editAs="twoCell">
    <xdr:from>
      <xdr:col>3</xdr:col>
      <xdr:colOff>0</xdr:colOff>
      <xdr:row>43</xdr:row>
      <xdr:rowOff>0</xdr:rowOff>
    </xdr:from>
    <xdr:to>
      <xdr:col>3</xdr:col>
      <xdr:colOff>476250</xdr:colOff>
      <xdr:row>44</xdr:row>
      <xdr:rowOff>133350</xdr:rowOff>
    </xdr:to>
    <xdr:pic>
      <xdr:nvPicPr>
        <xdr:cNvPr id="82" name="Picture 1" descr="Picture"/>
        <xdr:cNvPicPr>
          <a:picLocks noChangeAspect="true"/>
        </xdr:cNvPicPr>
      </xdr:nvPicPr>
      <xdr:blipFill>
        <a:blip r:embed="rId18"/>
        <a:stretch>
          <a:fillRect/>
        </a:stretch>
      </xdr:blipFill>
      <xdr:spPr>
        <a:xfrm>
          <a:off x="0" y="0"/>
          <a:ext cx="476250" cy="476250"/>
        </a:xfrm>
        <a:prstGeom prst="rect">
          <a:avLst/>
        </a:prstGeom>
      </xdr:spPr>
    </xdr:pic>
    <xdr:clientData/>
  </xdr:twoCellAnchor>
  <xdr:twoCellAnchor editAs="twoCell">
    <xdr:from>
      <xdr:col>5</xdr:col>
      <xdr:colOff>0</xdr:colOff>
      <xdr:row>43</xdr:row>
      <xdr:rowOff>0</xdr:rowOff>
    </xdr:from>
    <xdr:to>
      <xdr:col>5</xdr:col>
      <xdr:colOff>476250</xdr:colOff>
      <xdr:row>44</xdr:row>
      <xdr:rowOff>133350</xdr:rowOff>
    </xdr:to>
    <xdr:pic>
      <xdr:nvPicPr>
        <xdr:cNvPr id="83" name="Picture 1" descr="Picture"/>
        <xdr:cNvPicPr>
          <a:picLocks noChangeAspect="true"/>
        </xdr:cNvPicPr>
      </xdr:nvPicPr>
      <xdr:blipFill>
        <a:blip r:embed="rId19"/>
        <a:stretch>
          <a:fillRect/>
        </a:stretch>
      </xdr:blipFill>
      <xdr:spPr>
        <a:xfrm>
          <a:off x="0" y="0"/>
          <a:ext cx="476250" cy="476250"/>
        </a:xfrm>
        <a:prstGeom prst="rect">
          <a:avLst/>
        </a:prstGeom>
      </xdr:spPr>
    </xdr:pic>
    <xdr:clientData/>
  </xdr:twoCellAnchor>
  <xdr:twoCellAnchor editAs="twoCell">
    <xdr:from>
      <xdr:col>3</xdr:col>
      <xdr:colOff>0</xdr:colOff>
      <xdr:row>46</xdr:row>
      <xdr:rowOff>0</xdr:rowOff>
    </xdr:from>
    <xdr:to>
      <xdr:col>3</xdr:col>
      <xdr:colOff>476250</xdr:colOff>
      <xdr:row>47</xdr:row>
      <xdr:rowOff>133350</xdr:rowOff>
    </xdr:to>
    <xdr:pic>
      <xdr:nvPicPr>
        <xdr:cNvPr id="84" name="Picture 1" descr="Picture"/>
        <xdr:cNvPicPr>
          <a:picLocks noChangeAspect="true"/>
        </xdr:cNvPicPr>
      </xdr:nvPicPr>
      <xdr:blipFill>
        <a:blip r:embed="rId20"/>
        <a:stretch>
          <a:fillRect/>
        </a:stretch>
      </xdr:blipFill>
      <xdr:spPr>
        <a:xfrm>
          <a:off x="0" y="0"/>
          <a:ext cx="476250" cy="476250"/>
        </a:xfrm>
        <a:prstGeom prst="rect">
          <a:avLst/>
        </a:prstGeom>
      </xdr:spPr>
    </xdr:pic>
    <xdr:clientData/>
  </xdr:twoCellAnchor>
  <xdr:twoCellAnchor editAs="twoCell">
    <xdr:from>
      <xdr:col>5</xdr:col>
      <xdr:colOff>0</xdr:colOff>
      <xdr:row>46</xdr:row>
      <xdr:rowOff>0</xdr:rowOff>
    </xdr:from>
    <xdr:to>
      <xdr:col>5</xdr:col>
      <xdr:colOff>476250</xdr:colOff>
      <xdr:row>47</xdr:row>
      <xdr:rowOff>133350</xdr:rowOff>
    </xdr:to>
    <xdr:pic>
      <xdr:nvPicPr>
        <xdr:cNvPr id="85" name="Picture 1" descr="Picture"/>
        <xdr:cNvPicPr>
          <a:picLocks noChangeAspect="true"/>
        </xdr:cNvPicPr>
      </xdr:nvPicPr>
      <xdr:blipFill>
        <a:blip r:embed="rId21"/>
        <a:stretch>
          <a:fillRect/>
        </a:stretch>
      </xdr:blipFill>
      <xdr:spPr>
        <a:xfrm>
          <a:off x="0" y="0"/>
          <a:ext cx="476250" cy="476250"/>
        </a:xfrm>
        <a:prstGeom prst="rect">
          <a:avLst/>
        </a:prstGeom>
      </xdr:spPr>
    </xdr:pic>
    <xdr:clientData/>
  </xdr:twoCellAnchor>
  <xdr:twoCellAnchor editAs="twoCell">
    <xdr:from>
      <xdr:col>3</xdr:col>
      <xdr:colOff>0</xdr:colOff>
      <xdr:row>49</xdr:row>
      <xdr:rowOff>0</xdr:rowOff>
    </xdr:from>
    <xdr:to>
      <xdr:col>3</xdr:col>
      <xdr:colOff>476250</xdr:colOff>
      <xdr:row>50</xdr:row>
      <xdr:rowOff>133350</xdr:rowOff>
    </xdr:to>
    <xdr:pic>
      <xdr:nvPicPr>
        <xdr:cNvPr id="86" name="Picture 1" descr="Picture"/>
        <xdr:cNvPicPr>
          <a:picLocks noChangeAspect="true"/>
        </xdr:cNvPicPr>
      </xdr:nvPicPr>
      <xdr:blipFill>
        <a:blip r:embed="rId22"/>
        <a:stretch>
          <a:fillRect/>
        </a:stretch>
      </xdr:blipFill>
      <xdr:spPr>
        <a:xfrm>
          <a:off x="0" y="0"/>
          <a:ext cx="476250" cy="476250"/>
        </a:xfrm>
        <a:prstGeom prst="rect">
          <a:avLst/>
        </a:prstGeom>
      </xdr:spPr>
    </xdr:pic>
    <xdr:clientData/>
  </xdr:twoCellAnchor>
  <xdr:twoCellAnchor editAs="twoCell">
    <xdr:from>
      <xdr:col>5</xdr:col>
      <xdr:colOff>0</xdr:colOff>
      <xdr:row>49</xdr:row>
      <xdr:rowOff>0</xdr:rowOff>
    </xdr:from>
    <xdr:to>
      <xdr:col>5</xdr:col>
      <xdr:colOff>476250</xdr:colOff>
      <xdr:row>50</xdr:row>
      <xdr:rowOff>133350</xdr:rowOff>
    </xdr:to>
    <xdr:pic>
      <xdr:nvPicPr>
        <xdr:cNvPr id="87" name="Picture 1" descr="Picture"/>
        <xdr:cNvPicPr>
          <a:picLocks noChangeAspect="true"/>
        </xdr:cNvPicPr>
      </xdr:nvPicPr>
      <xdr:blipFill>
        <a:blip r:embed="rId23"/>
        <a:stretch>
          <a:fillRect/>
        </a:stretch>
      </xdr:blipFill>
      <xdr:spPr>
        <a:xfrm>
          <a:off x="0" y="0"/>
          <a:ext cx="476250" cy="476250"/>
        </a:xfrm>
        <a:prstGeom prst="rect">
          <a:avLst/>
        </a:prstGeom>
      </xdr:spPr>
    </xdr:pic>
    <xdr:clientData/>
  </xdr:twoCellAnchor>
  <xdr:twoCellAnchor editAs="twoCell">
    <xdr:from>
      <xdr:col>3</xdr:col>
      <xdr:colOff>0</xdr:colOff>
      <xdr:row>52</xdr:row>
      <xdr:rowOff>0</xdr:rowOff>
    </xdr:from>
    <xdr:to>
      <xdr:col>3</xdr:col>
      <xdr:colOff>476250</xdr:colOff>
      <xdr:row>53</xdr:row>
      <xdr:rowOff>19050</xdr:rowOff>
    </xdr:to>
    <xdr:pic>
      <xdr:nvPicPr>
        <xdr:cNvPr id="88" name="Picture 1" descr="Picture"/>
        <xdr:cNvPicPr>
          <a:picLocks noChangeAspect="true"/>
        </xdr:cNvPicPr>
      </xdr:nvPicPr>
      <xdr:blipFill>
        <a:blip r:embed="rId24"/>
        <a:stretch>
          <a:fillRect/>
        </a:stretch>
      </xdr:blipFill>
      <xdr:spPr>
        <a:xfrm>
          <a:off x="0" y="0"/>
          <a:ext cx="476250" cy="476250"/>
        </a:xfrm>
        <a:prstGeom prst="rect">
          <a:avLst/>
        </a:prstGeom>
      </xdr:spPr>
    </xdr:pic>
    <xdr:clientData/>
  </xdr:twoCellAnchor>
  <xdr:twoCellAnchor editAs="twoCell">
    <xdr:from>
      <xdr:col>5</xdr:col>
      <xdr:colOff>0</xdr:colOff>
      <xdr:row>52</xdr:row>
      <xdr:rowOff>0</xdr:rowOff>
    </xdr:from>
    <xdr:to>
      <xdr:col>5</xdr:col>
      <xdr:colOff>476250</xdr:colOff>
      <xdr:row>53</xdr:row>
      <xdr:rowOff>19050</xdr:rowOff>
    </xdr:to>
    <xdr:pic>
      <xdr:nvPicPr>
        <xdr:cNvPr id="89" name="Picture 1" descr="Picture"/>
        <xdr:cNvPicPr>
          <a:picLocks noChangeAspect="true"/>
        </xdr:cNvPicPr>
      </xdr:nvPicPr>
      <xdr:blipFill>
        <a:blip r:embed="rId25"/>
        <a:stretch>
          <a:fillRect/>
        </a:stretch>
      </xdr:blipFill>
      <xdr:spPr>
        <a:xfrm>
          <a:off x="0" y="0"/>
          <a:ext cx="476250" cy="476250"/>
        </a:xfrm>
        <a:prstGeom prst="rect">
          <a:avLst/>
        </a:prstGeom>
      </xdr:spPr>
    </xdr:pic>
    <xdr:clientData/>
  </xdr:twoCellAnchor>
  <xdr:twoCellAnchor editAs="twoCell">
    <xdr:from>
      <xdr:col>3</xdr:col>
      <xdr:colOff>0</xdr:colOff>
      <xdr:row>56</xdr:row>
      <xdr:rowOff>0</xdr:rowOff>
    </xdr:from>
    <xdr:to>
      <xdr:col>3</xdr:col>
      <xdr:colOff>476250</xdr:colOff>
      <xdr:row>57</xdr:row>
      <xdr:rowOff>47625</xdr:rowOff>
    </xdr:to>
    <xdr:pic>
      <xdr:nvPicPr>
        <xdr:cNvPr id="90" name="Picture 1" descr="Picture"/>
        <xdr:cNvPicPr>
          <a:picLocks noChangeAspect="true"/>
        </xdr:cNvPicPr>
      </xdr:nvPicPr>
      <xdr:blipFill>
        <a:blip r:embed="rId26"/>
        <a:stretch>
          <a:fillRect/>
        </a:stretch>
      </xdr:blipFill>
      <xdr:spPr>
        <a:xfrm>
          <a:off x="0" y="0"/>
          <a:ext cx="476250" cy="476250"/>
        </a:xfrm>
        <a:prstGeom prst="rect">
          <a:avLst/>
        </a:prstGeom>
      </xdr:spPr>
    </xdr:pic>
    <xdr:clientData/>
  </xdr:twoCellAnchor>
  <xdr:twoCellAnchor editAs="twoCell">
    <xdr:from>
      <xdr:col>5</xdr:col>
      <xdr:colOff>0</xdr:colOff>
      <xdr:row>56</xdr:row>
      <xdr:rowOff>0</xdr:rowOff>
    </xdr:from>
    <xdr:to>
      <xdr:col>5</xdr:col>
      <xdr:colOff>476250</xdr:colOff>
      <xdr:row>57</xdr:row>
      <xdr:rowOff>47625</xdr:rowOff>
    </xdr:to>
    <xdr:pic>
      <xdr:nvPicPr>
        <xdr:cNvPr id="91" name="Picture 1" descr="Picture"/>
        <xdr:cNvPicPr>
          <a:picLocks noChangeAspect="true"/>
        </xdr:cNvPicPr>
      </xdr:nvPicPr>
      <xdr:blipFill>
        <a:blip r:embed="rId27"/>
        <a:stretch>
          <a:fillRect/>
        </a:stretch>
      </xdr:blipFill>
      <xdr:spPr>
        <a:xfrm>
          <a:off x="0" y="0"/>
          <a:ext cx="476250" cy="4762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304800</xdr:colOff>
      <xdr:row>0</xdr:row>
      <xdr:rowOff>28575</xdr:rowOff>
    </xdr:from>
    <xdr:to>
      <xdr:col>7</xdr:col>
      <xdr:colOff>257175</xdr:colOff>
      <xdr:row>0</xdr:row>
      <xdr:rowOff>2238375</xdr:rowOff>
    </xdr:to>
    <xdr:pic>
      <xdr:nvPicPr>
        <xdr:cNvPr id="799766" name="5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28575"/>
          <a:ext cx="3752850"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0</xdr:row>
      <xdr:rowOff>142875</xdr:rowOff>
    </xdr:from>
    <xdr:to>
      <xdr:col>1</xdr:col>
      <xdr:colOff>704850</xdr:colOff>
      <xdr:row>0</xdr:row>
      <xdr:rowOff>923925</xdr:rowOff>
    </xdr:to>
    <xdr:pic>
      <xdr:nvPicPr>
        <xdr:cNvPr id="711853" name="3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1428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161925</xdr:colOff>
      <xdr:row>0</xdr:row>
      <xdr:rowOff>47625</xdr:rowOff>
    </xdr:from>
    <xdr:to>
      <xdr:col>1</xdr:col>
      <xdr:colOff>714375</xdr:colOff>
      <xdr:row>0</xdr:row>
      <xdr:rowOff>828675</xdr:rowOff>
    </xdr:to>
    <xdr:pic>
      <xdr:nvPicPr>
        <xdr:cNvPr id="789524"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4762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0</xdr:rowOff>
    </xdr:from>
    <xdr:to>
      <xdr:col>2</xdr:col>
      <xdr:colOff>133350</xdr:colOff>
      <xdr:row>0</xdr:row>
      <xdr:rowOff>762000</xdr:rowOff>
    </xdr:to>
    <xdr:pic>
      <xdr:nvPicPr>
        <xdr:cNvPr id="713836" name="4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0"/>
          <a:ext cx="12763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1504950</xdr:colOff>
      <xdr:row>0</xdr:row>
      <xdr:rowOff>885825</xdr:rowOff>
    </xdr:to>
    <xdr:pic>
      <xdr:nvPicPr>
        <xdr:cNvPr id="797710" name="3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38100"/>
          <a:ext cx="146685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161925</xdr:colOff>
      <xdr:row>0</xdr:row>
      <xdr:rowOff>57150</xdr:rowOff>
    </xdr:from>
    <xdr:to>
      <xdr:col>3</xdr:col>
      <xdr:colOff>152400</xdr:colOff>
      <xdr:row>0</xdr:row>
      <xdr:rowOff>323850</xdr:rowOff>
    </xdr:to>
    <xdr:pic>
      <xdr:nvPicPr>
        <xdr:cNvPr id="2" name="1 Imagen"/>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bwMode="auto">
        <a:xfrm>
          <a:off x="161925" y="57150"/>
          <a:ext cx="16668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38100</xdr:rowOff>
    </xdr:from>
    <xdr:to>
      <xdr:col>2</xdr:col>
      <xdr:colOff>419100</xdr:colOff>
      <xdr:row>1</xdr:row>
      <xdr:rowOff>419100</xdr:rowOff>
    </xdr:to>
    <xdr:pic>
      <xdr:nvPicPr>
        <xdr:cNvPr id="4" name="1 Imagen"/>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bwMode="auto">
        <a:xfrm>
          <a:off x="0" y="38100"/>
          <a:ext cx="1666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352425</xdr:colOff>
      <xdr:row>0</xdr:row>
      <xdr:rowOff>161924</xdr:rowOff>
    </xdr:from>
    <xdr:to>
      <xdr:col>4</xdr:col>
      <xdr:colOff>352425</xdr:colOff>
      <xdr:row>1</xdr:row>
      <xdr:rowOff>304799</xdr:rowOff>
    </xdr:to>
    <xdr:pic>
      <xdr:nvPicPr>
        <xdr:cNvPr id="5" name="2 Imagen"/>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bwMode="auto">
        <a:xfrm>
          <a:off x="2028825" y="161924"/>
          <a:ext cx="67627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twoCell">
    <xdr:from>
      <xdr:col>23</xdr:col>
      <xdr:colOff>0</xdr:colOff>
      <xdr:row>0</xdr:row>
      <xdr:rowOff>0</xdr:rowOff>
    </xdr:from>
    <xdr:to>
      <xdr:col>23</xdr:col>
      <xdr:colOff>476250</xdr:colOff>
      <xdr:row>1</xdr:row>
      <xdr:rowOff>19050</xdr:rowOff>
    </xdr:to>
    <xdr:pic>
      <xdr:nvPicPr>
        <xdr:cNvPr id="4" name="Picture 1" descr="Picture"/>
        <xdr:cNvPicPr>
          <a:picLocks noChangeAspect="true"/>
        </xdr:cNvPicPr>
      </xdr:nvPicPr>
      <xdr:blipFill>
        <a:blip r:embed="rId3"/>
        <a:stretch>
          <a:fillRect/>
        </a:stretch>
      </xdr:blipFill>
      <xdr:spPr>
        <a:xfrm>
          <a:off x="0" y="0"/>
          <a:ext cx="476250" cy="4762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666750</xdr:colOff>
      <xdr:row>0</xdr:row>
      <xdr:rowOff>171450</xdr:rowOff>
    </xdr:from>
    <xdr:to>
      <xdr:col>3</xdr:col>
      <xdr:colOff>476250</xdr:colOff>
      <xdr:row>3</xdr:row>
      <xdr:rowOff>0</xdr:rowOff>
    </xdr:to>
    <xdr:pic>
      <xdr:nvPicPr>
        <xdr:cNvPr id="2" name="Picture 1"/>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bwMode="auto">
        <a:xfrm>
          <a:off x="666750" y="171450"/>
          <a:ext cx="20955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twoCell">
    <xdr:from>
      <xdr:col>23</xdr:col>
      <xdr:colOff>0</xdr:colOff>
      <xdr:row>0</xdr:row>
      <xdr:rowOff>0</xdr:rowOff>
    </xdr:from>
    <xdr:to>
      <xdr:col>23</xdr:col>
      <xdr:colOff>476250</xdr:colOff>
      <xdr:row>2</xdr:row>
      <xdr:rowOff>76200</xdr:rowOff>
    </xdr:to>
    <xdr:pic>
      <xdr:nvPicPr>
        <xdr:cNvPr id="2" name="Picture 1" descr="Picture"/>
        <xdr:cNvPicPr>
          <a:picLocks noChangeAspect="true"/>
        </xdr:cNvPicPr>
      </xdr:nvPicPr>
      <xdr:blipFill>
        <a:blip r:embed="rId2"/>
        <a:stretch>
          <a:fillRect/>
        </a:stretch>
      </xdr:blipFill>
      <xdr:spPr>
        <a:xfrm>
          <a:off x="0" y="0"/>
          <a:ext cx="476250" cy="47625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http://www.mercedes-benz.com/" TargetMode="External" Type="http://schemas.openxmlformats.org/officeDocument/2006/relationships/hyperlink"/>
<Relationship Id="rId2" Target="../printerSettings/printerSettings1.bin" Type="http://schemas.openxmlformats.org/officeDocument/2006/relationships/printerSettings"/>
<Relationship Id="rId3" Target="../drawings/drawing1.xml" Type="http://schemas.openxmlformats.org/officeDocument/2006/relationships/drawing"/>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 Id="rId2" Target="../drawings/drawing4.xml" Type="http://schemas.openxmlformats.org/officeDocument/2006/relationships/drawing"/>
</Relationships>

</file>

<file path=xl/worksheets/_rels/sheet5.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drawings/drawing5.xml" Type="http://schemas.openxmlformats.org/officeDocument/2006/relationships/drawing"/>
</Relationships>

</file>

<file path=xl/worksheets/_rels/sheet6.xml.rels><?xml version="1.0" encoding="UTF-8" standalone="no"?>
<Relationships xmlns="http://schemas.openxmlformats.org/package/2006/relationships">
<Relationship Id="rId1" Target="../printerSettings/printerSettings6.bin" Type="http://schemas.openxmlformats.org/officeDocument/2006/relationships/printerSettings"/>
<Relationship Id="rId2" Target="../drawings/drawing6.xml" Type="http://schemas.openxmlformats.org/officeDocument/2006/relationships/drawing"/>
</Relationships>

</file>

<file path=xl/worksheets/_rels/sheet7.xml.rels><?xml version="1.0" encoding="UTF-8" standalone="no"?>
<Relationships xmlns="http://schemas.openxmlformats.org/package/2006/relationships">
<Relationship Id="rId1" Target="../printerSettings/printerSettings7.bin" Type="http://schemas.openxmlformats.org/officeDocument/2006/relationships/printerSettings"/>
<Relationship Id="rId2" Target="../drawings/drawing7.xml" Type="http://schemas.openxmlformats.org/officeDocument/2006/relationships/drawing"/>
</Relationships>

</file>

<file path=xl/worksheets/_rels/sheet8.xml.rels><?xml version="1.0" encoding="UTF-8" standalone="no"?>
<Relationships xmlns="http://schemas.openxmlformats.org/package/2006/relationships">
<Relationship Id="rId1" Target="../printerSettings/printerSettings8.bin" Type="http://schemas.openxmlformats.org/officeDocument/2006/relationships/printerSettings"/>
<Relationship Id="rId2" Target="../drawings/drawing8.xml" Type="http://schemas.openxmlformats.org/officeDocument/2006/relationships/drawing"/>
</Relationships>

</file>

<file path=xl/worksheets/_rels/sheet9.xml.rels><?xml version="1.0" encoding="UTF-8" standalone="no"?>
<Relationships xmlns="http://schemas.openxmlformats.org/package/2006/relationships">
<Relationship Id="rId1" Target="../drawings/drawing9.xml" Type="http://schemas.openxmlformats.org/officeDocument/2006/relationships/drawing"/>
</Relationships>

</file>

<file path=xl/worksheets/_rels/sheet10.xml.rels><?xml version="1.0" encoding="UTF-8" standalone="no"?>
<Relationships xmlns="http://schemas.openxmlformats.org/package/2006/relationships">
<Relationship Id="rId1" Target="../drawings/drawing10.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2"/>
  <sheetViews>
    <sheetView topLeftCell="A4" zoomScaleNormal="100" workbookViewId="0">
      <selection activeCell="G54" sqref="G54:I54"/>
    </sheetView>
  </sheetViews>
  <sheetFormatPr baseColWidth="10" defaultRowHeight="12.75" x14ac:dyDescent="0.2"/>
  <cols>
    <col min="1" max="1" customWidth="true" style="54" width="23.85546875" collapsed="true"/>
    <col min="2" max="8" customWidth="true" style="54" width="7.42578125" collapsed="true"/>
    <col min="9" max="9" customWidth="true" style="54" width="11.5703125" collapsed="true"/>
    <col min="10" max="16384" style="54" width="11.42578125" collapsed="true"/>
  </cols>
  <sheetData>
    <row r="1" spans="1:11" ht="63.75" customHeight="1" x14ac:dyDescent="0.2">
      <c r="A1" s="53"/>
      <c r="B1" s="236" t="s">
        <v>86</v>
      </c>
      <c r="C1" s="236"/>
      <c r="D1" s="236"/>
      <c r="E1" s="236"/>
      <c r="F1" s="236"/>
      <c r="G1" s="236"/>
      <c r="H1" s="237" t="s">
        <v>100</v>
      </c>
      <c r="I1" s="237"/>
    </row>
    <row r="2" spans="1:11" x14ac:dyDescent="0.2">
      <c r="A2" s="234" t="s">
        <v>85</v>
      </c>
      <c r="B2" s="234"/>
      <c r="C2" s="234"/>
      <c r="D2" s="234"/>
      <c r="E2" s="234"/>
      <c r="F2" s="234"/>
      <c r="G2" s="234"/>
      <c r="H2" s="234"/>
      <c r="I2" s="234"/>
    </row>
    <row r="3" spans="1:11" ht="14.25" x14ac:dyDescent="0.2">
      <c r="A3" s="8" t="s">
        <v>14</v>
      </c>
      <c r="B3" s="238" t="str">
        <f>'Orden de Pedido'!B12</f>
        <v>personaRecomendador</v>
      </c>
      <c r="C3" s="239"/>
      <c r="D3" s="239"/>
      <c r="E3" s="239"/>
      <c r="F3" s="239"/>
      <c r="G3" s="239"/>
      <c r="H3" s="239"/>
      <c r="I3" s="240"/>
    </row>
    <row r="4" spans="1:11" x14ac:dyDescent="0.2">
      <c r="A4" s="8" t="s">
        <v>15</v>
      </c>
      <c r="B4" s="218" t="str">
        <f>'Orden de Pedido'!B13</f>
        <v>departamentoRecomendador</v>
      </c>
      <c r="C4" s="219"/>
      <c r="D4" s="219"/>
      <c r="E4" s="219"/>
      <c r="F4" s="219"/>
      <c r="G4" s="219"/>
      <c r="H4" s="219"/>
      <c r="I4" s="220"/>
    </row>
    <row r="5" spans="1:11" x14ac:dyDescent="0.2">
      <c r="A5" s="8" t="s">
        <v>16</v>
      </c>
      <c r="B5" s="221" t="str">
        <f>'Orden de Pedido'!B14</f>
        <v>telefonoRecomendador</v>
      </c>
      <c r="C5" s="222"/>
      <c r="D5" s="222"/>
      <c r="E5" s="222"/>
      <c r="F5" s="222"/>
      <c r="G5" s="222"/>
      <c r="H5" s="222"/>
      <c r="I5" s="222"/>
    </row>
    <row r="6" spans="1:11" x14ac:dyDescent="0.2">
      <c r="A6" s="8" t="s">
        <v>17</v>
      </c>
      <c r="B6" s="223" t="str">
        <f>'Orden de Pedido'!B15:H15</f>
        <v>emailRecomendador</v>
      </c>
      <c r="C6" s="231"/>
      <c r="D6" s="231"/>
      <c r="E6" s="231"/>
      <c r="F6" s="231"/>
      <c r="G6" s="231"/>
      <c r="H6" s="231"/>
      <c r="I6" s="231"/>
    </row>
    <row r="7" spans="1:11" x14ac:dyDescent="0.2">
      <c r="A7" s="43" t="s">
        <v>18</v>
      </c>
      <c r="B7" s="232" t="n">
        <f>'Orden de Pedido'!B16:H16</f>
        <v>42099.816091863424</v>
      </c>
      <c r="C7" s="233"/>
      <c r="D7" s="233"/>
      <c r="E7" s="233"/>
      <c r="F7" s="233"/>
      <c r="G7" s="233"/>
      <c r="H7" s="233"/>
      <c r="I7" s="233"/>
      <c r="K7" s="55"/>
    </row>
    <row r="8" spans="1:11" x14ac:dyDescent="0.2">
      <c r="A8" s="234" t="s">
        <v>19</v>
      </c>
      <c r="B8" s="234"/>
      <c r="C8" s="234"/>
      <c r="D8" s="234"/>
      <c r="E8" s="234"/>
      <c r="F8" s="234"/>
      <c r="G8" s="234"/>
      <c r="H8" s="234"/>
      <c r="I8" s="234"/>
      <c r="K8" s="55"/>
    </row>
    <row r="9" spans="1:11" ht="14.25" x14ac:dyDescent="0.2">
      <c r="A9" s="8" t="s">
        <v>14</v>
      </c>
      <c r="B9" s="235" t="str">
        <f>'Orden de Pedido'!G18</f>
        <v>getPersonaDeContactoCliente</v>
      </c>
      <c r="C9" s="222"/>
      <c r="D9" s="222"/>
      <c r="E9" s="222"/>
      <c r="F9" s="222"/>
      <c r="G9" s="222"/>
      <c r="H9" s="222"/>
      <c r="I9" s="222"/>
    </row>
    <row r="10" spans="1:11" x14ac:dyDescent="0.2">
      <c r="A10" s="8" t="s">
        <v>15</v>
      </c>
      <c r="B10" s="218" t="str">
        <f>'Orden de Pedido'!G19</f>
        <v>getDepartamentoCliente</v>
      </c>
      <c r="C10" s="219"/>
      <c r="D10" s="219"/>
      <c r="E10" s="219"/>
      <c r="F10" s="219"/>
      <c r="G10" s="219"/>
      <c r="H10" s="219"/>
      <c r="I10" s="220"/>
    </row>
    <row r="11" spans="1:11" x14ac:dyDescent="0.2">
      <c r="A11" s="8" t="s">
        <v>16</v>
      </c>
      <c r="B11" s="221" t="str">
        <f>'Orden de Pedido'!G20</f>
        <v>getTelefonoCliente</v>
      </c>
      <c r="C11" s="222"/>
      <c r="D11" s="222"/>
      <c r="E11" s="222"/>
      <c r="F11" s="222"/>
      <c r="G11" s="222"/>
      <c r="H11" s="222"/>
      <c r="I11" s="222"/>
    </row>
    <row r="12" spans="1:11" x14ac:dyDescent="0.2">
      <c r="A12" s="8" t="s">
        <v>17</v>
      </c>
      <c r="B12" s="223" t="str">
        <f>'Orden de Pedido'!G21</f>
        <v>getEmailCliente</v>
      </c>
      <c r="C12" s="224"/>
      <c r="D12" s="224"/>
      <c r="E12" s="224"/>
      <c r="F12" s="224"/>
      <c r="G12" s="224"/>
      <c r="H12" s="224"/>
      <c r="I12" s="224"/>
    </row>
    <row r="13" spans="1:11" x14ac:dyDescent="0.2">
      <c r="A13" s="225" t="s">
        <v>20</v>
      </c>
      <c r="B13" s="225"/>
      <c r="C13" s="225"/>
      <c r="D13" s="225"/>
      <c r="E13" s="225"/>
      <c r="F13" s="225"/>
      <c r="G13" s="225"/>
      <c r="H13" s="225"/>
      <c r="I13" s="225"/>
    </row>
    <row r="14" spans="1:11" ht="50.25" customHeight="1" x14ac:dyDescent="0.2">
      <c r="A14" s="226" t="str">
        <f>'Orden de Pedido'!$A$28</f>
        <v>descripcionInstruccionDelServicio</v>
      </c>
      <c r="B14" s="227"/>
      <c r="C14" s="227"/>
      <c r="D14" s="227"/>
      <c r="E14" s="227"/>
      <c r="F14" s="227"/>
      <c r="G14" s="227"/>
      <c r="H14" s="227"/>
      <c r="I14" s="227"/>
    </row>
    <row r="15" spans="1:11" x14ac:dyDescent="0.2">
      <c r="A15" s="228" t="s">
        <v>21</v>
      </c>
      <c r="B15" s="228"/>
      <c r="C15" s="228"/>
      <c r="D15" s="228"/>
      <c r="E15" s="228"/>
      <c r="F15" s="228"/>
      <c r="G15" s="228"/>
      <c r="H15" s="228"/>
      <c r="I15" s="228"/>
    </row>
    <row r="16" spans="1:11" x14ac:dyDescent="0.2">
      <c r="A16" s="8" t="s">
        <v>22</v>
      </c>
      <c r="B16" s="214" t="s">
        <v>144</v>
      </c>
      <c r="C16" s="214"/>
      <c r="D16" s="214"/>
      <c r="E16" s="214"/>
      <c r="F16" s="214"/>
      <c r="G16" s="214"/>
      <c r="H16" s="214"/>
      <c r="I16" s="214"/>
    </row>
    <row r="17" spans="1:9" x14ac:dyDescent="0.2">
      <c r="A17" s="8" t="s">
        <v>23</v>
      </c>
      <c r="B17" s="214" t="s">
        <v>145</v>
      </c>
      <c r="C17" s="214"/>
      <c r="D17" s="214"/>
      <c r="E17" s="214"/>
      <c r="F17" s="214"/>
      <c r="G17" s="214"/>
      <c r="H17" s="214"/>
      <c r="I17" s="214"/>
    </row>
    <row r="18" spans="1:9" x14ac:dyDescent="0.2">
      <c r="A18" s="8" t="s">
        <v>24</v>
      </c>
      <c r="B18" s="214" t="s">
        <v>146</v>
      </c>
      <c r="C18" s="214"/>
      <c r="D18" s="214"/>
      <c r="E18" s="214"/>
      <c r="F18" s="214"/>
      <c r="G18" s="214"/>
      <c r="H18" s="214"/>
      <c r="I18" s="214"/>
    </row>
    <row r="19" spans="1:9" x14ac:dyDescent="0.2">
      <c r="A19" s="8" t="s">
        <v>25</v>
      </c>
      <c r="B19" s="229" t="s">
        <v>147</v>
      </c>
      <c r="C19" s="230"/>
      <c r="D19" s="230"/>
      <c r="E19" s="230"/>
      <c r="F19" s="230"/>
      <c r="G19" s="230"/>
      <c r="H19" s="230"/>
      <c r="I19" s="230"/>
    </row>
    <row r="20" spans="1:9" x14ac:dyDescent="0.2">
      <c r="A20" s="8" t="s">
        <v>14</v>
      </c>
      <c r="B20" s="214" t="s">
        <v>148</v>
      </c>
      <c r="C20" s="214"/>
      <c r="D20" s="214"/>
      <c r="E20" s="214"/>
      <c r="F20" s="214"/>
      <c r="G20" s="214"/>
      <c r="H20" s="214"/>
      <c r="I20" s="214"/>
    </row>
    <row r="21" spans="1:9" x14ac:dyDescent="0.2">
      <c r="A21" s="8" t="s">
        <v>15</v>
      </c>
      <c r="B21" s="214" t="s">
        <v>149</v>
      </c>
      <c r="C21" s="214"/>
      <c r="D21" s="214"/>
      <c r="E21" s="214"/>
      <c r="F21" s="214"/>
      <c r="G21" s="214"/>
      <c r="H21" s="214"/>
      <c r="I21" s="214"/>
    </row>
    <row r="22" spans="1:9" x14ac:dyDescent="0.2">
      <c r="A22" s="41" t="s">
        <v>16</v>
      </c>
      <c r="B22" s="214"/>
      <c r="C22" s="214"/>
      <c r="D22" s="214"/>
      <c r="E22" s="214"/>
      <c r="F22" s="214"/>
      <c r="G22" s="214"/>
      <c r="H22" s="214"/>
      <c r="I22" s="214"/>
    </row>
    <row r="23" spans="1:9" x14ac:dyDescent="0.2">
      <c r="A23" s="41" t="s">
        <v>17</v>
      </c>
      <c r="B23" s="213"/>
      <c r="C23" s="213"/>
      <c r="D23" s="213"/>
      <c r="E23" s="213"/>
      <c r="F23" s="213"/>
      <c r="G23" s="213"/>
      <c r="H23" s="213"/>
      <c r="I23" s="213"/>
    </row>
    <row r="24" spans="1:9" x14ac:dyDescent="0.2">
      <c r="A24" s="8" t="s">
        <v>26</v>
      </c>
      <c r="B24" s="209"/>
      <c r="C24" s="209"/>
      <c r="D24" s="209"/>
      <c r="E24" s="209"/>
      <c r="F24" s="209"/>
      <c r="G24" s="209"/>
      <c r="H24" s="209"/>
      <c r="I24" s="209"/>
    </row>
    <row r="25" spans="1:9" x14ac:dyDescent="0.2">
      <c r="A25" s="8" t="s">
        <v>27</v>
      </c>
      <c r="B25" s="210"/>
      <c r="C25" s="211"/>
      <c r="D25" s="211"/>
      <c r="E25" s="211"/>
      <c r="F25" s="211"/>
      <c r="G25" s="211"/>
      <c r="H25" s="211"/>
      <c r="I25" s="212"/>
    </row>
    <row r="26" spans="1:9" x14ac:dyDescent="0.2">
      <c r="A26" s="41" t="s">
        <v>28</v>
      </c>
      <c r="B26" s="213"/>
      <c r="C26" s="213"/>
      <c r="D26" s="213"/>
      <c r="E26" s="213"/>
      <c r="F26" s="213"/>
      <c r="G26" s="213"/>
      <c r="H26" s="213"/>
      <c r="I26" s="213"/>
    </row>
    <row r="27" spans="1:9" x14ac:dyDescent="0.2">
      <c r="A27" s="41" t="s">
        <v>29</v>
      </c>
      <c r="B27" s="214"/>
      <c r="C27" s="214"/>
      <c r="D27" s="214"/>
      <c r="E27" s="214"/>
      <c r="F27" s="214"/>
      <c r="G27" s="214"/>
      <c r="H27" s="214"/>
      <c r="I27" s="214"/>
    </row>
    <row r="28" spans="1:9" ht="36.75" customHeight="1" x14ac:dyDescent="0.2">
      <c r="A28" s="42" t="s">
        <v>30</v>
      </c>
      <c r="B28" s="215" t="s">
        <v>150</v>
      </c>
      <c r="C28" s="216"/>
      <c r="D28" s="216"/>
      <c r="E28" s="216"/>
      <c r="F28" s="216"/>
      <c r="G28" s="216"/>
      <c r="H28" s="216"/>
      <c r="I28" s="217"/>
    </row>
    <row r="29" spans="1:9" x14ac:dyDescent="0.2">
      <c r="A29" s="41" t="s">
        <v>31</v>
      </c>
      <c r="B29" s="173" t="s">
        <v>32</v>
      </c>
      <c r="C29" s="174"/>
      <c r="D29" s="174"/>
      <c r="E29" s="174"/>
      <c r="F29" s="174"/>
      <c r="G29" s="174"/>
      <c r="H29" s="174"/>
      <c r="I29" s="175"/>
    </row>
    <row r="30" spans="1:9" x14ac:dyDescent="0.2">
      <c r="A30" s="42" t="s">
        <v>33</v>
      </c>
      <c r="B30" s="176" t="s">
        <v>34</v>
      </c>
      <c r="C30" s="176"/>
      <c r="D30" s="176"/>
      <c r="E30" s="176"/>
      <c r="F30" s="176"/>
      <c r="G30" s="176"/>
      <c r="H30" s="176"/>
      <c r="I30" s="176"/>
    </row>
    <row r="31" spans="1:9" ht="15" customHeight="1" x14ac:dyDescent="0.2">
      <c r="A31" s="177" t="s">
        <v>35</v>
      </c>
      <c r="B31" s="178"/>
      <c r="C31" s="178"/>
      <c r="D31" s="178"/>
      <c r="E31" s="178"/>
      <c r="F31" s="178"/>
      <c r="G31" s="178"/>
      <c r="H31" s="178"/>
      <c r="I31" s="179"/>
    </row>
    <row r="32" spans="1:9" x14ac:dyDescent="0.2">
      <c r="A32" s="180"/>
      <c r="B32" s="181"/>
      <c r="C32" s="181"/>
      <c r="D32" s="181"/>
      <c r="E32" s="181"/>
      <c r="F32" s="181"/>
      <c r="G32" s="181"/>
      <c r="H32" s="181"/>
      <c r="I32" s="182"/>
    </row>
    <row r="33" spans="1:9" x14ac:dyDescent="0.2">
      <c r="A33" s="180"/>
      <c r="B33" s="181"/>
      <c r="C33" s="181"/>
      <c r="D33" s="181"/>
      <c r="E33" s="181"/>
      <c r="F33" s="181"/>
      <c r="G33" s="181"/>
      <c r="H33" s="181"/>
      <c r="I33" s="182"/>
    </row>
    <row r="34" spans="1:9" x14ac:dyDescent="0.2">
      <c r="A34" s="180"/>
      <c r="B34" s="181"/>
      <c r="C34" s="181"/>
      <c r="D34" s="181"/>
      <c r="E34" s="181"/>
      <c r="F34" s="181"/>
      <c r="G34" s="181"/>
      <c r="H34" s="181"/>
      <c r="I34" s="182"/>
    </row>
    <row r="35" spans="1:9" x14ac:dyDescent="0.2">
      <c r="A35" s="180"/>
      <c r="B35" s="181"/>
      <c r="C35" s="181"/>
      <c r="D35" s="181"/>
      <c r="E35" s="181"/>
      <c r="F35" s="181"/>
      <c r="G35" s="181"/>
      <c r="H35" s="181"/>
      <c r="I35" s="182"/>
    </row>
    <row r="36" spans="1:9" x14ac:dyDescent="0.2">
      <c r="A36" s="180"/>
      <c r="B36" s="181"/>
      <c r="C36" s="181"/>
      <c r="D36" s="181"/>
      <c r="E36" s="181"/>
      <c r="F36" s="181"/>
      <c r="G36" s="181"/>
      <c r="H36" s="181"/>
      <c r="I36" s="182"/>
    </row>
    <row r="37" spans="1:9" x14ac:dyDescent="0.2">
      <c r="A37" s="180"/>
      <c r="B37" s="181"/>
      <c r="C37" s="181"/>
      <c r="D37" s="181"/>
      <c r="E37" s="181"/>
      <c r="F37" s="181"/>
      <c r="G37" s="181"/>
      <c r="H37" s="181"/>
      <c r="I37" s="182"/>
    </row>
    <row r="38" spans="1:9" x14ac:dyDescent="0.2">
      <c r="A38" s="180"/>
      <c r="B38" s="181"/>
      <c r="C38" s="181"/>
      <c r="D38" s="181"/>
      <c r="E38" s="181"/>
      <c r="F38" s="181"/>
      <c r="G38" s="181"/>
      <c r="H38" s="181"/>
      <c r="I38" s="182"/>
    </row>
    <row r="39" spans="1:9" x14ac:dyDescent="0.2">
      <c r="A39" s="180"/>
      <c r="B39" s="181"/>
      <c r="C39" s="181"/>
      <c r="D39" s="181"/>
      <c r="E39" s="181"/>
      <c r="F39" s="181"/>
      <c r="G39" s="181"/>
      <c r="H39" s="181"/>
      <c r="I39" s="182"/>
    </row>
    <row r="40" spans="1:9" x14ac:dyDescent="0.2">
      <c r="A40" s="180"/>
      <c r="B40" s="181"/>
      <c r="C40" s="181"/>
      <c r="D40" s="181"/>
      <c r="E40" s="181"/>
      <c r="F40" s="181"/>
      <c r="G40" s="181"/>
      <c r="H40" s="181"/>
      <c r="I40" s="182"/>
    </row>
    <row r="41" spans="1:9" x14ac:dyDescent="0.2">
      <c r="A41" s="180"/>
      <c r="B41" s="181"/>
      <c r="C41" s="181"/>
      <c r="D41" s="181"/>
      <c r="E41" s="181"/>
      <c r="F41" s="181"/>
      <c r="G41" s="181"/>
      <c r="H41" s="181"/>
      <c r="I41" s="182"/>
    </row>
    <row r="42" spans="1:9" ht="24.75" customHeight="1" thickBot="1" x14ac:dyDescent="0.25">
      <c r="A42" s="183"/>
      <c r="B42" s="184"/>
      <c r="C42" s="184"/>
      <c r="D42" s="184"/>
      <c r="E42" s="184"/>
      <c r="F42" s="184"/>
      <c r="G42" s="184"/>
      <c r="H42" s="184"/>
      <c r="I42" s="185"/>
    </row>
    <row r="43" spans="1:9" x14ac:dyDescent="0.2">
      <c r="A43" s="186"/>
      <c r="B43" s="187"/>
      <c r="C43" s="187"/>
      <c r="D43" s="188"/>
      <c r="E43" s="186"/>
      <c r="F43" s="187"/>
      <c r="G43" s="187"/>
      <c r="H43" s="187"/>
      <c r="I43" s="188"/>
    </row>
    <row r="44" spans="1:9" x14ac:dyDescent="0.2">
      <c r="A44" s="189"/>
      <c r="B44" s="190"/>
      <c r="C44" s="190"/>
      <c r="D44" s="191"/>
      <c r="E44" s="189"/>
      <c r="F44" s="190"/>
      <c r="G44" s="190"/>
      <c r="H44" s="190"/>
      <c r="I44" s="191"/>
    </row>
    <row r="45" spans="1:9" x14ac:dyDescent="0.2">
      <c r="A45" s="189"/>
      <c r="B45" s="190"/>
      <c r="C45" s="190"/>
      <c r="D45" s="191"/>
      <c r="E45" s="189"/>
      <c r="F45" s="190"/>
      <c r="G45" s="190"/>
      <c r="H45" s="190"/>
      <c r="I45" s="191"/>
    </row>
    <row r="46" spans="1:9" x14ac:dyDescent="0.2">
      <c r="A46" s="189"/>
      <c r="B46" s="190"/>
      <c r="C46" s="190"/>
      <c r="D46" s="191"/>
      <c r="E46" s="189"/>
      <c r="F46" s="190"/>
      <c r="G46" s="190"/>
      <c r="H46" s="190"/>
      <c r="I46" s="191"/>
    </row>
    <row r="47" spans="1:9" x14ac:dyDescent="0.2">
      <c r="A47" s="189"/>
      <c r="B47" s="190"/>
      <c r="C47" s="190"/>
      <c r="D47" s="191"/>
      <c r="E47" s="189"/>
      <c r="F47" s="190"/>
      <c r="G47" s="190"/>
      <c r="H47" s="190"/>
      <c r="I47" s="191"/>
    </row>
    <row r="48" spans="1:9" x14ac:dyDescent="0.2">
      <c r="A48" s="189"/>
      <c r="B48" s="190"/>
      <c r="C48" s="190"/>
      <c r="D48" s="191"/>
      <c r="E48" s="189"/>
      <c r="F48" s="190"/>
      <c r="G48" s="190"/>
      <c r="H48" s="190"/>
      <c r="I48" s="191"/>
    </row>
    <row r="49" spans="1:9" x14ac:dyDescent="0.2">
      <c r="A49" s="189"/>
      <c r="B49" s="190"/>
      <c r="C49" s="190"/>
      <c r="D49" s="191"/>
      <c r="E49" s="189"/>
      <c r="F49" s="190"/>
      <c r="G49" s="190"/>
      <c r="H49" s="190"/>
      <c r="I49" s="191"/>
    </row>
    <row r="50" spans="1:9" x14ac:dyDescent="0.2">
      <c r="A50" s="189"/>
      <c r="B50" s="190"/>
      <c r="C50" s="190"/>
      <c r="D50" s="191"/>
      <c r="E50" s="203" t="s">
        <v>101</v>
      </c>
      <c r="F50" s="204"/>
      <c r="G50" s="204"/>
      <c r="H50" s="204"/>
      <c r="I50" s="205"/>
    </row>
    <row r="51" spans="1:9" x14ac:dyDescent="0.2">
      <c r="A51" s="192"/>
      <c r="B51" s="193"/>
      <c r="C51" s="193"/>
      <c r="D51" s="194"/>
      <c r="E51" s="206"/>
      <c r="F51" s="207"/>
      <c r="G51" s="207"/>
      <c r="H51" s="207"/>
      <c r="I51" s="208"/>
    </row>
    <row r="52" spans="1:9" ht="12.75" customHeight="1" x14ac:dyDescent="0.2">
      <c r="A52" s="195" t="s">
        <v>36</v>
      </c>
      <c r="B52" s="196"/>
      <c r="C52" s="196"/>
      <c r="D52" s="197"/>
      <c r="E52" s="198" t="s">
        <v>87</v>
      </c>
      <c r="F52" s="199"/>
      <c r="G52" s="200" t="str">
        <f>'Orden de Pedido'!$G$18</f>
        <v>getPersonaDeContactoCliente</v>
      </c>
      <c r="H52" s="201"/>
      <c r="I52" s="202"/>
    </row>
    <row r="53" spans="1:9" ht="12.75" customHeight="1" x14ac:dyDescent="0.2">
      <c r="A53" s="157" t="s">
        <v>37</v>
      </c>
      <c r="B53" s="158"/>
      <c r="C53" s="158"/>
      <c r="D53" s="159"/>
      <c r="E53" s="163" t="s">
        <v>38</v>
      </c>
      <c r="F53" s="164"/>
      <c r="G53" s="165" t="str">
        <f>'Orden de Pedido'!$G$19</f>
        <v>getDepartamentoCliente</v>
      </c>
      <c r="H53" s="166"/>
      <c r="I53" s="167"/>
    </row>
    <row r="54" spans="1:9" ht="13.5" thickBot="1" x14ac:dyDescent="0.25">
      <c r="A54" s="160"/>
      <c r="B54" s="161"/>
      <c r="C54" s="161"/>
      <c r="D54" s="162"/>
      <c r="E54" s="168" t="s">
        <v>39</v>
      </c>
      <c r="F54" s="169"/>
      <c r="G54" s="170" t="n">
        <f>'Orden de Pedido'!$B$16</f>
        <v>42099.816091863424</v>
      </c>
      <c r="H54" s="171"/>
      <c r="I54" s="172"/>
    </row>
    <row r="60" spans="1:9" x14ac:dyDescent="0.2">
      <c r="A60" s="156"/>
      <c r="B60" s="156"/>
      <c r="C60" s="156"/>
      <c r="D60" s="156"/>
      <c r="E60" s="156"/>
      <c r="F60" s="156"/>
    </row>
    <row r="61" spans="1:9" x14ac:dyDescent="0.2">
      <c r="A61" s="155"/>
      <c r="B61" s="155"/>
      <c r="C61" s="155"/>
      <c r="D61" s="155"/>
      <c r="E61" s="155"/>
      <c r="F61" s="155"/>
    </row>
    <row r="62" spans="1:9" x14ac:dyDescent="0.2">
      <c r="A62" s="156"/>
      <c r="B62" s="156"/>
      <c r="C62" s="156"/>
      <c r="D62" s="156"/>
      <c r="E62" s="156"/>
      <c r="F62" s="156"/>
    </row>
  </sheetData>
  <protectedRanges>
    <protectedRange sqref="B3:I7 A14 B29:B30 B9:I12" name="Rango1"/>
    <protectedRange sqref="G52:I54 E43" name="Rango1_1"/>
    <protectedRange sqref="B16:I27" name="Rango1_2"/>
  </protectedRanges>
  <mergeCells count="46">
    <mergeCell ref="B1:G1"/>
    <mergeCell ref="H1:I1"/>
    <mergeCell ref="A2:I2"/>
    <mergeCell ref="B3:I3"/>
    <mergeCell ref="B4:I4"/>
    <mergeCell ref="B5:I5"/>
    <mergeCell ref="B6:I6"/>
    <mergeCell ref="B7:I7"/>
    <mergeCell ref="A8:I8"/>
    <mergeCell ref="B9:I9"/>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24:I24"/>
    <mergeCell ref="B25:I25"/>
    <mergeCell ref="B26:I26"/>
    <mergeCell ref="B27:I27"/>
    <mergeCell ref="B28:I28"/>
    <mergeCell ref="B29:I29"/>
    <mergeCell ref="B30:I30"/>
    <mergeCell ref="A31:I42"/>
    <mergeCell ref="A43:D51"/>
    <mergeCell ref="A52:D52"/>
    <mergeCell ref="E52:F52"/>
    <mergeCell ref="G52:I52"/>
    <mergeCell ref="E43:I49"/>
    <mergeCell ref="E50:I51"/>
    <mergeCell ref="A61:F61"/>
    <mergeCell ref="A62:F62"/>
    <mergeCell ref="A53:D54"/>
    <mergeCell ref="E53:F53"/>
    <mergeCell ref="G53:I53"/>
    <mergeCell ref="E54:F54"/>
    <mergeCell ref="G54:I54"/>
    <mergeCell ref="A60:F60"/>
  </mergeCells>
  <hyperlinks>
    <hyperlink ref="B19" r:id="rId1"/>
  </hyperlinks>
  <printOptions horizontalCentered="1" verticalCentered="1"/>
  <pageMargins left="0.70866141732283472" right="0.70866141732283472" top="0.74803149606299213" bottom="0.74803149606299213" header="0.31496062992125984" footer="0.31496062992125984"/>
  <pageSetup paperSize="9" scale="82" orientation="portrait" r:id="rId2"/>
  <headerFooter>
    <oddFooter xml:space="preserve">&amp;L Empresa inscrita en el registro mercantil de Álava, T.1246, F.134, Vi-11448&amp;Rwww.cpavitoria06.com   
info@cpavitoria06.com      
</oddFooter>
  </headerFooter>
  <rowBreaks count="1" manualBreakCount="1">
    <brk id="54" max="16383"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H42"/>
  <sheetViews>
    <sheetView showGridLines="0" topLeftCell="A28" zoomScaleNormal="100" workbookViewId="0">
      <selection activeCell="B7" sqref="B7:E10"/>
    </sheetView>
  </sheetViews>
  <sheetFormatPr baseColWidth="10" defaultRowHeight="12.75" x14ac:dyDescent="0.2"/>
  <cols>
    <col min="1" max="1" customWidth="true" style="63" width="22.85546875" collapsed="true"/>
    <col min="2" max="4" customWidth="true" style="64" width="11.5703125" collapsed="true"/>
    <col min="5" max="5" customWidth="true" style="64" width="13.7109375" collapsed="true"/>
    <col min="6" max="6" customWidth="true" style="64" width="11.5703125" collapsed="true"/>
    <col min="7" max="7" customWidth="true" style="64" width="11.0" collapsed="true"/>
    <col min="8" max="8" bestFit="true" customWidth="true" style="64" width="11.42578125" collapsed="true"/>
    <col min="9" max="16384" style="54" width="11.42578125" collapsed="true"/>
  </cols>
  <sheetData>
    <row r="1" spans="1:8" s="7" customFormat="1" ht="72.75" customHeight="1" x14ac:dyDescent="0.2">
      <c r="A1" s="44"/>
      <c r="B1" s="353" t="s">
        <v>88</v>
      </c>
      <c r="C1" s="353"/>
      <c r="D1" s="353"/>
      <c r="E1" s="353"/>
      <c r="F1" s="353"/>
      <c r="G1" s="354" t="s">
        <v>102</v>
      </c>
      <c r="H1" s="354"/>
    </row>
    <row r="2" spans="1:8" ht="18.600000000000001" customHeight="1" x14ac:dyDescent="0.2">
      <c r="A2" s="9" t="s">
        <v>40</v>
      </c>
      <c r="B2" s="255" t="s">
        <v>206</v>
      </c>
      <c r="C2" s="255"/>
      <c r="D2" s="347" t="s">
        <v>41</v>
      </c>
      <c r="E2" s="348"/>
      <c r="F2" s="355"/>
      <c r="G2" s="356"/>
      <c r="H2" s="357"/>
    </row>
    <row r="3" spans="1:8" ht="18.600000000000001" customHeight="1" x14ac:dyDescent="0.2">
      <c r="A3" s="9" t="s">
        <v>42</v>
      </c>
      <c r="B3" s="349" t="n">
        <v>42099.816091863424</v>
      </c>
      <c r="C3" s="349"/>
      <c r="D3" s="10" t="s">
        <v>210</v>
      </c>
      <c r="E3" s="11" t="s">
        <v>211</v>
      </c>
      <c r="F3" s="350" t="s">
        <v>44</v>
      </c>
      <c r="G3" s="351"/>
      <c r="H3" s="352"/>
    </row>
    <row r="4" spans="1:8" ht="18.600000000000001" customHeight="1" x14ac:dyDescent="0.2">
      <c r="A4" s="9" t="s">
        <v>45</v>
      </c>
      <c r="B4" s="337" t="s">
        <v>207</v>
      </c>
      <c r="C4" s="337"/>
      <c r="D4" s="12" t="s">
        <v>212</v>
      </c>
      <c r="E4" s="13" t="s">
        <v>213</v>
      </c>
      <c r="F4" s="338" t="s">
        <v>214</v>
      </c>
      <c r="G4" s="339"/>
      <c r="H4" s="339"/>
    </row>
    <row r="5" spans="1:8" x14ac:dyDescent="0.2">
      <c r="A5" s="340" t="s">
        <v>48</v>
      </c>
      <c r="B5" s="342" t="s">
        <v>208</v>
      </c>
      <c r="C5" s="342"/>
      <c r="D5" s="342"/>
      <c r="E5" s="343"/>
      <c r="F5" s="344" t="s">
        <v>49</v>
      </c>
      <c r="G5" s="344"/>
      <c r="H5" s="344"/>
    </row>
    <row r="6" spans="1:8" ht="16.5" customHeight="1" x14ac:dyDescent="0.2">
      <c r="A6" s="341"/>
      <c r="B6" s="342"/>
      <c r="C6" s="342"/>
      <c r="D6" s="342"/>
      <c r="E6" s="343"/>
      <c r="F6" s="345" t="s">
        <v>50</v>
      </c>
      <c r="G6" s="346"/>
      <c r="H6" s="14" t="s">
        <v>51</v>
      </c>
    </row>
    <row r="7" spans="1:8" x14ac:dyDescent="0.2">
      <c r="A7" s="325" t="s">
        <v>52</v>
      </c>
      <c r="B7" s="328" t="s">
        <v>209</v>
      </c>
      <c r="C7" s="329"/>
      <c r="D7" s="329"/>
      <c r="E7" s="330"/>
      <c r="F7" s="15" t="s">
        <v>53</v>
      </c>
      <c r="G7" s="16" t="s">
        <v>97</v>
      </c>
      <c r="H7" s="56" t="s">
        <v>97</v>
      </c>
    </row>
    <row r="8" spans="1:8" x14ac:dyDescent="0.2">
      <c r="A8" s="326"/>
      <c r="B8" s="331"/>
      <c r="C8" s="332"/>
      <c r="D8" s="332"/>
      <c r="E8" s="333"/>
      <c r="F8" s="15" t="s">
        <v>54</v>
      </c>
      <c r="G8" s="16" t="s">
        <v>97</v>
      </c>
      <c r="H8" s="56"/>
    </row>
    <row r="9" spans="1:8" x14ac:dyDescent="0.2">
      <c r="A9" s="326"/>
      <c r="B9" s="331"/>
      <c r="C9" s="332"/>
      <c r="D9" s="332"/>
      <c r="E9" s="333"/>
      <c r="F9" s="15" t="s">
        <v>55</v>
      </c>
      <c r="G9" s="18"/>
      <c r="H9" s="14"/>
    </row>
    <row r="10" spans="1:8" x14ac:dyDescent="0.2">
      <c r="A10" s="327"/>
      <c r="B10" s="334"/>
      <c r="C10" s="335"/>
      <c r="D10" s="335"/>
      <c r="E10" s="336"/>
      <c r="F10" s="20" t="s">
        <v>56</v>
      </c>
      <c r="G10" s="21"/>
      <c r="H10" s="57"/>
    </row>
    <row r="11" spans="1:8" ht="18.600000000000001" customHeight="1" x14ac:dyDescent="0.2">
      <c r="A11" s="316" t="s">
        <v>83</v>
      </c>
      <c r="B11" s="317"/>
      <c r="C11" s="317"/>
      <c r="D11" s="317"/>
      <c r="E11" s="317"/>
      <c r="F11" s="317"/>
      <c r="G11" s="317"/>
      <c r="H11" s="318"/>
    </row>
    <row r="12" spans="1:8" ht="19.149999999999999" customHeight="1" x14ac:dyDescent="0.2">
      <c r="A12" s="23" t="s">
        <v>57</v>
      </c>
      <c r="B12" s="319" t="s">
        <v>215</v>
      </c>
      <c r="C12" s="320"/>
      <c r="D12" s="320"/>
      <c r="E12" s="320"/>
      <c r="F12" s="320"/>
      <c r="G12" s="320"/>
      <c r="H12" s="321"/>
    </row>
    <row r="13" spans="1:8" ht="19.149999999999999" customHeight="1" x14ac:dyDescent="0.2">
      <c r="A13" s="24" t="s">
        <v>38</v>
      </c>
      <c r="B13" s="322" t="s">
        <v>216</v>
      </c>
      <c r="C13" s="323"/>
      <c r="D13" s="323"/>
      <c r="E13" s="323"/>
      <c r="F13" s="323"/>
      <c r="G13" s="323"/>
      <c r="H13" s="324"/>
    </row>
    <row r="14" spans="1:8" ht="19.149999999999999" customHeight="1" x14ac:dyDescent="0.2">
      <c r="A14" s="24" t="s">
        <v>58</v>
      </c>
      <c r="B14" s="322" t="s">
        <v>217</v>
      </c>
      <c r="C14" s="323"/>
      <c r="D14" s="323"/>
      <c r="E14" s="323"/>
      <c r="F14" s="323"/>
      <c r="G14" s="323"/>
      <c r="H14" s="324"/>
    </row>
    <row r="15" spans="1:8" ht="19.149999999999999" customHeight="1" x14ac:dyDescent="0.2">
      <c r="A15" s="24" t="s">
        <v>59</v>
      </c>
      <c r="B15" s="301" t="s">
        <v>218</v>
      </c>
      <c r="C15" s="302"/>
      <c r="D15" s="302"/>
      <c r="E15" s="302"/>
      <c r="F15" s="302"/>
      <c r="G15" s="302"/>
      <c r="H15" s="303"/>
    </row>
    <row r="16" spans="1:8" ht="19.149999999999999" customHeight="1" x14ac:dyDescent="0.2">
      <c r="A16" s="25" t="s">
        <v>60</v>
      </c>
      <c r="B16" s="304" t="n">
        <v>42099.816091863424</v>
      </c>
      <c r="C16" s="305"/>
      <c r="D16" s="305"/>
      <c r="E16" s="305"/>
      <c r="F16" s="305"/>
      <c r="G16" s="305"/>
      <c r="H16" s="306"/>
    </row>
    <row r="17" spans="1:8" ht="18.600000000000001" customHeight="1" x14ac:dyDescent="0.2">
      <c r="A17" s="307" t="s">
        <v>84</v>
      </c>
      <c r="B17" s="308"/>
      <c r="C17" s="308"/>
      <c r="D17" s="308"/>
      <c r="E17" s="308"/>
      <c r="F17" s="308"/>
      <c r="G17" s="308"/>
      <c r="H17" s="309"/>
    </row>
    <row r="18" spans="1:8" ht="18.600000000000001" customHeight="1" x14ac:dyDescent="0.2">
      <c r="A18" s="26" t="s">
        <v>61</v>
      </c>
      <c r="B18" s="310" t="s">
        <v>219</v>
      </c>
      <c r="C18" s="311"/>
      <c r="D18" s="312"/>
      <c r="E18" s="313" t="s">
        <v>57</v>
      </c>
      <c r="F18" s="314"/>
      <c r="G18" s="315" t="s">
        <v>227</v>
      </c>
      <c r="H18" s="312"/>
    </row>
    <row r="19" spans="1:8" ht="18.600000000000001" customHeight="1" x14ac:dyDescent="0.2">
      <c r="A19" s="24" t="s">
        <v>62</v>
      </c>
      <c r="B19" s="293" t="s">
        <v>220</v>
      </c>
      <c r="C19" s="294"/>
      <c r="D19" s="295"/>
      <c r="E19" s="296" t="s">
        <v>38</v>
      </c>
      <c r="F19" s="297"/>
      <c r="G19" s="298" t="s">
        <v>228</v>
      </c>
      <c r="H19" s="299"/>
    </row>
    <row r="20" spans="1:8" ht="18.600000000000001" customHeight="1" x14ac:dyDescent="0.2">
      <c r="A20" s="24" t="s">
        <v>63</v>
      </c>
      <c r="B20" s="286" t="s">
        <v>221</v>
      </c>
      <c r="C20" s="287"/>
      <c r="D20" s="288"/>
      <c r="E20" s="296" t="s">
        <v>58</v>
      </c>
      <c r="F20" s="297"/>
      <c r="G20" s="298" t="s">
        <v>229</v>
      </c>
      <c r="H20" s="300"/>
    </row>
    <row r="21" spans="1:8" ht="18.600000000000001" customHeight="1" x14ac:dyDescent="0.2">
      <c r="A21" s="24" t="s">
        <v>64</v>
      </c>
      <c r="B21" s="286" t="s">
        <v>222</v>
      </c>
      <c r="C21" s="287"/>
      <c r="D21" s="288"/>
      <c r="E21" s="289" t="s">
        <v>59</v>
      </c>
      <c r="F21" s="290"/>
      <c r="G21" s="291" t="s">
        <v>230</v>
      </c>
      <c r="H21" s="292"/>
    </row>
    <row r="22" spans="1:8" ht="18.600000000000001" customHeight="1" x14ac:dyDescent="0.2">
      <c r="A22" s="27" t="s">
        <v>65</v>
      </c>
      <c r="B22" s="286" t="s">
        <v>223</v>
      </c>
      <c r="C22" s="287"/>
      <c r="D22" s="288"/>
      <c r="E22" s="28"/>
      <c r="F22" s="28"/>
      <c r="G22" s="28"/>
      <c r="H22" s="29"/>
    </row>
    <row r="23" spans="1:8" ht="18.600000000000001" customHeight="1" x14ac:dyDescent="0.2">
      <c r="A23" s="24" t="s">
        <v>66</v>
      </c>
      <c r="B23" s="271" t="s">
        <v>224</v>
      </c>
      <c r="C23" s="272"/>
      <c r="D23" s="273"/>
      <c r="E23" s="28"/>
      <c r="F23" s="28"/>
      <c r="G23" s="28"/>
      <c r="H23" s="29"/>
    </row>
    <row r="24" spans="1:8" ht="18.600000000000001" customHeight="1" x14ac:dyDescent="0.2">
      <c r="A24" s="24" t="s">
        <v>67</v>
      </c>
      <c r="B24" s="271" t="s">
        <v>225</v>
      </c>
      <c r="C24" s="272"/>
      <c r="D24" s="273"/>
      <c r="E24" s="30"/>
      <c r="F24" s="28"/>
      <c r="G24" s="28"/>
      <c r="H24" s="29"/>
    </row>
    <row r="25" spans="1:8" ht="18.600000000000001" customHeight="1" x14ac:dyDescent="0.2">
      <c r="A25" s="31" t="s">
        <v>68</v>
      </c>
      <c r="B25" s="274" t="s">
        <v>226</v>
      </c>
      <c r="C25" s="275"/>
      <c r="D25" s="276"/>
      <c r="E25" s="32"/>
      <c r="F25" s="33"/>
      <c r="G25" s="33"/>
      <c r="H25" s="34"/>
    </row>
    <row r="26" spans="1:8" ht="18.600000000000001" customHeight="1" x14ac:dyDescent="0.2">
      <c r="A26" s="277" t="s">
        <v>69</v>
      </c>
      <c r="B26" s="278"/>
      <c r="C26" s="278"/>
      <c r="D26" s="278"/>
      <c r="E26" s="278"/>
      <c r="F26" s="278"/>
      <c r="G26" s="278"/>
      <c r="H26" s="279"/>
    </row>
    <row r="27" spans="1:8" ht="18.600000000000001" customHeight="1" x14ac:dyDescent="0.2">
      <c r="A27" s="280" t="s">
        <v>70</v>
      </c>
      <c r="B27" s="281"/>
      <c r="C27" s="281"/>
      <c r="D27" s="281"/>
      <c r="E27" s="281"/>
      <c r="F27" s="282"/>
      <c r="G27" s="35" t="s">
        <v>13</v>
      </c>
      <c r="H27" s="38" t="s">
        <v>81</v>
      </c>
    </row>
    <row r="28" spans="1:8" ht="36" customHeight="1" x14ac:dyDescent="0.2">
      <c r="A28" s="283" t="s">
        <v>231</v>
      </c>
      <c r="B28" s="284"/>
      <c r="C28" s="284"/>
      <c r="D28" s="284"/>
      <c r="E28" s="284"/>
      <c r="F28" s="285"/>
      <c r="G28" s="144" t="n">
        <f>$B$16</f>
        <v>42099.816091863424</v>
      </c>
      <c r="H28" s="36" t="str">
        <f>$B$12</f>
        <v>personaRecomendador</v>
      </c>
    </row>
    <row r="29" spans="1:8" ht="36" customHeight="1" x14ac:dyDescent="0.2">
      <c r="A29" s="257"/>
      <c r="B29" s="258"/>
      <c r="C29" s="258"/>
      <c r="D29" s="258"/>
      <c r="E29" s="258"/>
      <c r="F29" s="259"/>
      <c r="G29" s="58"/>
      <c r="H29" s="37"/>
    </row>
    <row r="30" spans="1:8" ht="36" customHeight="1" x14ac:dyDescent="0.2">
      <c r="A30" s="257"/>
      <c r="B30" s="258"/>
      <c r="C30" s="258"/>
      <c r="D30" s="258"/>
      <c r="E30" s="258"/>
      <c r="F30" s="259"/>
      <c r="G30" s="58"/>
      <c r="H30" s="59"/>
    </row>
    <row r="31" spans="1:8" ht="36" customHeight="1" x14ac:dyDescent="0.2">
      <c r="A31" s="257"/>
      <c r="B31" s="258"/>
      <c r="C31" s="258"/>
      <c r="D31" s="258"/>
      <c r="E31" s="258"/>
      <c r="F31" s="259"/>
      <c r="G31" s="60"/>
      <c r="H31" s="59"/>
    </row>
    <row r="32" spans="1:8" ht="36" customHeight="1" x14ac:dyDescent="0.2">
      <c r="A32" s="262"/>
      <c r="B32" s="263"/>
      <c r="C32" s="263"/>
      <c r="D32" s="263"/>
      <c r="E32" s="263"/>
      <c r="F32" s="264"/>
      <c r="G32" s="61"/>
      <c r="H32" s="62"/>
    </row>
    <row r="33" spans="1:8" ht="15.75" x14ac:dyDescent="0.2">
      <c r="A33" s="268" t="s">
        <v>71</v>
      </c>
      <c r="B33" s="269"/>
      <c r="C33" s="269"/>
      <c r="D33" s="270"/>
      <c r="E33" s="265" t="s">
        <v>72</v>
      </c>
      <c r="F33" s="266"/>
      <c r="G33" s="266"/>
      <c r="H33" s="267"/>
    </row>
    <row r="34" spans="1:8" ht="16.899999999999999" customHeight="1" x14ac:dyDescent="0.2">
      <c r="A34" s="251" t="s">
        <v>73</v>
      </c>
      <c r="B34" s="251"/>
      <c r="C34" s="78" t="s">
        <v>97</v>
      </c>
      <c r="D34" s="252"/>
      <c r="E34" s="241" t="s">
        <v>74</v>
      </c>
      <c r="F34" s="244" t="s">
        <v>103</v>
      </c>
      <c r="G34" s="244"/>
      <c r="H34" s="79"/>
    </row>
    <row r="35" spans="1:8" ht="16.899999999999999" customHeight="1" x14ac:dyDescent="0.2">
      <c r="A35" s="251" t="s">
        <v>75</v>
      </c>
      <c r="B35" s="251"/>
      <c r="C35" s="78" t="s">
        <v>97</v>
      </c>
      <c r="D35" s="253"/>
      <c r="E35" s="242"/>
      <c r="F35" s="244" t="s">
        <v>104</v>
      </c>
      <c r="G35" s="244"/>
      <c r="H35" s="79" t="s">
        <v>97</v>
      </c>
    </row>
    <row r="36" spans="1:8" ht="16.899999999999999" customHeight="1" x14ac:dyDescent="0.2">
      <c r="A36" s="251" t="s">
        <v>76</v>
      </c>
      <c r="B36" s="251"/>
      <c r="C36" s="80"/>
      <c r="D36" s="253"/>
      <c r="E36" s="242"/>
      <c r="F36" s="244" t="s">
        <v>105</v>
      </c>
      <c r="G36" s="244"/>
      <c r="H36" s="79"/>
    </row>
    <row r="37" spans="1:8" ht="16.899999999999999" customHeight="1" x14ac:dyDescent="0.2">
      <c r="A37" s="251" t="s">
        <v>77</v>
      </c>
      <c r="B37" s="251"/>
      <c r="C37" s="80"/>
      <c r="D37" s="253"/>
      <c r="E37" s="242"/>
      <c r="F37" s="247" t="s">
        <v>106</v>
      </c>
      <c r="G37" s="248"/>
      <c r="H37" s="260"/>
    </row>
    <row r="38" spans="1:8" ht="16.899999999999999" customHeight="1" x14ac:dyDescent="0.2">
      <c r="A38" s="251" t="s">
        <v>78</v>
      </c>
      <c r="B38" s="251"/>
      <c r="C38" s="80"/>
      <c r="D38" s="254"/>
      <c r="E38" s="243"/>
      <c r="F38" s="249"/>
      <c r="G38" s="250"/>
      <c r="H38" s="261"/>
    </row>
    <row r="39" spans="1:8" x14ac:dyDescent="0.2">
      <c r="A39" s="245" t="s">
        <v>82</v>
      </c>
      <c r="B39" s="245"/>
      <c r="C39" s="245" t="s">
        <v>79</v>
      </c>
      <c r="D39" s="246"/>
      <c r="E39" s="246"/>
      <c r="F39" s="245" t="s">
        <v>80</v>
      </c>
      <c r="G39" s="245"/>
      <c r="H39" s="245"/>
    </row>
    <row r="40" spans="1:8" x14ac:dyDescent="0.2">
      <c r="A40" s="245"/>
      <c r="B40" s="245"/>
      <c r="C40" s="246"/>
      <c r="D40" s="246"/>
      <c r="E40" s="246"/>
      <c r="F40" s="245"/>
      <c r="G40" s="245"/>
      <c r="H40" s="245"/>
    </row>
    <row r="41" spans="1:8" x14ac:dyDescent="0.2">
      <c r="A41" s="255" t="str">
        <f>B12</f>
        <v>personaRecomendador</v>
      </c>
      <c r="B41" s="256"/>
      <c r="C41" s="255" t="str">
        <f>G18</f>
        <v>getPersonaDeContactoCliente</v>
      </c>
      <c r="D41" s="256"/>
      <c r="E41" s="256"/>
      <c r="F41" s="256" t="str">
        <f>F4</f>
        <v>responsableCPA</v>
      </c>
      <c r="G41" s="256"/>
      <c r="H41" s="256"/>
    </row>
    <row r="42" spans="1:8" ht="24.75" customHeight="1" x14ac:dyDescent="0.2">
      <c r="A42" s="256"/>
      <c r="B42" s="256"/>
      <c r="C42" s="256"/>
      <c r="D42" s="256"/>
      <c r="E42" s="256"/>
      <c r="F42" s="256"/>
      <c r="G42" s="256"/>
      <c r="H42" s="256"/>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B2:C2"/>
    <mergeCell ref="D2:E2"/>
    <mergeCell ref="B3:C3"/>
    <mergeCell ref="F3:H3"/>
    <mergeCell ref="B1:F1"/>
    <mergeCell ref="G1:H1"/>
    <mergeCell ref="F2:H2"/>
    <mergeCell ref="B4:C4"/>
    <mergeCell ref="F4:H4"/>
    <mergeCell ref="A5:A6"/>
    <mergeCell ref="B5:E6"/>
    <mergeCell ref="F5:H5"/>
    <mergeCell ref="F6:G6"/>
    <mergeCell ref="A11:H11"/>
    <mergeCell ref="B12:H12"/>
    <mergeCell ref="B13:H13"/>
    <mergeCell ref="B14:H14"/>
    <mergeCell ref="A7:A10"/>
    <mergeCell ref="B7:E10"/>
    <mergeCell ref="B15:H15"/>
    <mergeCell ref="B16:H16"/>
    <mergeCell ref="A17:H17"/>
    <mergeCell ref="B18:D18"/>
    <mergeCell ref="E18:F18"/>
    <mergeCell ref="G18:H18"/>
    <mergeCell ref="B19:D19"/>
    <mergeCell ref="E19:F19"/>
    <mergeCell ref="G19:H19"/>
    <mergeCell ref="B20:D20"/>
    <mergeCell ref="E20:F20"/>
    <mergeCell ref="G20:H20"/>
    <mergeCell ref="B21:D21"/>
    <mergeCell ref="E21:F21"/>
    <mergeCell ref="G21:H21"/>
    <mergeCell ref="B22:D22"/>
    <mergeCell ref="B23:D23"/>
    <mergeCell ref="B24:D24"/>
    <mergeCell ref="B25:D25"/>
    <mergeCell ref="A26:H26"/>
    <mergeCell ref="A27:F27"/>
    <mergeCell ref="A28:F2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E34:E38"/>
    <mergeCell ref="F34:G34"/>
    <mergeCell ref="A39:B40"/>
    <mergeCell ref="C39:E40"/>
    <mergeCell ref="F39:H40"/>
    <mergeCell ref="F37:G38"/>
    <mergeCell ref="A38:B38"/>
    <mergeCell ref="D34:D38"/>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9"/>
  <sheetViews>
    <sheetView topLeftCell="B13" zoomScaleNormal="100" workbookViewId="0">
      <selection activeCell="D23" sqref="D23:G25"/>
    </sheetView>
  </sheetViews>
  <sheetFormatPr baseColWidth="10" defaultRowHeight="12.75" x14ac:dyDescent="0.2"/>
  <cols>
    <col min="1" max="1" customWidth="true" style="47" width="3.0" collapsed="true"/>
    <col min="2" max="2" customWidth="true" width="23.0" collapsed="true"/>
    <col min="3" max="3" customWidth="true" width="11.42578125" collapsed="true"/>
    <col min="7" max="7" customWidth="true" width="19.85546875" collapsed="true"/>
    <col min="8" max="9" customWidth="true" width="10.5703125" collapsed="true"/>
    <col min="10" max="10" customWidth="true" width="16.0" collapsed="true"/>
  </cols>
  <sheetData>
    <row r="1" spans="1:9" ht="70.5" customHeight="1" x14ac:dyDescent="0.2">
      <c r="B1" s="48"/>
      <c r="C1" s="396" t="s">
        <v>93</v>
      </c>
      <c r="D1" s="396"/>
      <c r="E1" s="396"/>
      <c r="F1" s="396"/>
      <c r="G1" s="396"/>
      <c r="H1" s="255" t="s">
        <v>107</v>
      </c>
      <c r="I1" s="255"/>
    </row>
    <row r="2" spans="1:9" s="51" customFormat="1" ht="20.25" customHeight="1" x14ac:dyDescent="0.2">
      <c r="A2" s="52"/>
      <c r="B2" s="9" t="s">
        <v>40</v>
      </c>
      <c r="C2" s="255" t="str">
        <f>'Orden de Pedido'!B2</f>
        <v>numAccion</v>
      </c>
      <c r="D2" s="256"/>
      <c r="E2" s="347" t="s">
        <v>41</v>
      </c>
      <c r="F2" s="348"/>
      <c r="G2" s="399"/>
      <c r="H2" s="400"/>
      <c r="I2" s="401"/>
    </row>
    <row r="3" spans="1:9" s="51" customFormat="1" ht="20.25" customHeight="1" x14ac:dyDescent="0.2">
      <c r="A3" s="52"/>
      <c r="B3" s="9" t="s">
        <v>42</v>
      </c>
      <c r="C3" s="403" t="n">
        <f>'Orden de Pedido'!B3</f>
        <v>42099.816091863424</v>
      </c>
      <c r="D3" s="403"/>
      <c r="E3" s="132" t="str">
        <f>'Orden de Pedido'!D3</f>
        <v>numChasis1</v>
      </c>
      <c r="F3" s="11" t="s">
        <v>43</v>
      </c>
      <c r="G3" s="76" t="s">
        <v>44</v>
      </c>
      <c r="H3" s="342" t="str">
        <f>'Orden de Pedido'!F4</f>
        <v>responsableCPA</v>
      </c>
      <c r="I3" s="397"/>
    </row>
    <row r="4" spans="1:9" s="5" customFormat="1" ht="20.25" customHeight="1" x14ac:dyDescent="0.2">
      <c r="A4" s="47"/>
      <c r="B4" s="9" t="s">
        <v>45</v>
      </c>
      <c r="C4" s="402" t="str">
        <f>'Orden de Pedido'!B4</f>
        <v>29/11/2015</v>
      </c>
      <c r="D4" s="402"/>
      <c r="E4" s="12" t="s">
        <v>46</v>
      </c>
      <c r="F4" s="13" t="s">
        <v>47</v>
      </c>
      <c r="G4" s="74" t="s">
        <v>108</v>
      </c>
      <c r="H4" s="398" t="s">
        <v>232</v>
      </c>
      <c r="I4" s="398"/>
    </row>
    <row r="5" spans="1:9" s="5" customFormat="1" x14ac:dyDescent="0.2">
      <c r="A5" s="47"/>
      <c r="B5" s="340" t="s">
        <v>48</v>
      </c>
      <c r="C5" s="342" t="str">
        <f>'Orden de Pedido'!B5</f>
        <v>nombrePieza</v>
      </c>
      <c r="D5" s="407"/>
      <c r="E5" s="407"/>
      <c r="F5" s="408"/>
      <c r="G5" s="344" t="s">
        <v>49</v>
      </c>
      <c r="H5" s="344"/>
      <c r="I5" s="344"/>
    </row>
    <row r="6" spans="1:9" ht="15" customHeight="1" x14ac:dyDescent="0.2">
      <c r="B6" s="341"/>
      <c r="C6" s="407"/>
      <c r="D6" s="407"/>
      <c r="E6" s="407"/>
      <c r="F6" s="408"/>
      <c r="G6" s="345" t="s">
        <v>50</v>
      </c>
      <c r="H6" s="346"/>
      <c r="I6" s="14" t="s">
        <v>51</v>
      </c>
    </row>
    <row r="7" spans="1:9" ht="15" customHeight="1" x14ac:dyDescent="0.2">
      <c r="B7" s="325" t="s">
        <v>52</v>
      </c>
      <c r="C7" s="342" t="str">
        <f>'Orden de Pedido'!B7</f>
        <v>referencias</v>
      </c>
      <c r="D7" s="397"/>
      <c r="E7" s="397"/>
      <c r="F7" s="397"/>
      <c r="G7" s="15" t="s">
        <v>53</v>
      </c>
      <c r="H7" s="16"/>
      <c r="I7" s="17" t="s">
        <v>97</v>
      </c>
    </row>
    <row r="8" spans="1:9" ht="15" customHeight="1" x14ac:dyDescent="0.2">
      <c r="B8" s="326"/>
      <c r="C8" s="397"/>
      <c r="D8" s="397"/>
      <c r="E8" s="397"/>
      <c r="F8" s="397"/>
      <c r="G8" s="15" t="s">
        <v>54</v>
      </c>
      <c r="H8" s="16"/>
      <c r="I8" s="17"/>
    </row>
    <row r="9" spans="1:9" x14ac:dyDescent="0.2">
      <c r="B9" s="326"/>
      <c r="C9" s="397"/>
      <c r="D9" s="397"/>
      <c r="E9" s="397"/>
      <c r="F9" s="397"/>
      <c r="G9" s="15" t="s">
        <v>55</v>
      </c>
      <c r="H9" s="18"/>
      <c r="I9" s="19"/>
    </row>
    <row r="10" spans="1:9" x14ac:dyDescent="0.2">
      <c r="B10" s="327"/>
      <c r="C10" s="397"/>
      <c r="D10" s="397"/>
      <c r="E10" s="397"/>
      <c r="F10" s="397"/>
      <c r="G10" s="20" t="s">
        <v>56</v>
      </c>
      <c r="H10" s="21"/>
      <c r="I10" s="22" t="s">
        <v>97</v>
      </c>
    </row>
    <row r="11" spans="1:9" ht="21" customHeight="1" x14ac:dyDescent="0.2">
      <c r="B11" s="50" t="s">
        <v>96</v>
      </c>
      <c r="C11" s="410" t="str">
        <f>C5</f>
        <v>nombrePieza</v>
      </c>
      <c r="D11" s="411"/>
      <c r="E11" s="411"/>
      <c r="F11" s="411"/>
      <c r="G11" s="411"/>
      <c r="H11" s="411"/>
      <c r="I11" s="411"/>
    </row>
    <row r="12" spans="1:9" ht="21" customHeight="1" x14ac:dyDescent="0.2">
      <c r="B12" s="50" t="s">
        <v>95</v>
      </c>
      <c r="C12" s="409" t="str">
        <f>'Orden de Pedido'!B2</f>
        <v>numAccion</v>
      </c>
      <c r="D12" s="409"/>
      <c r="E12" s="409"/>
      <c r="F12" s="409"/>
      <c r="G12" s="409"/>
      <c r="H12" s="409"/>
      <c r="I12" s="409"/>
    </row>
    <row r="13" spans="1:9" x14ac:dyDescent="0.2">
      <c r="B13" s="406" t="s">
        <v>70</v>
      </c>
      <c r="C13" s="406"/>
      <c r="D13" s="406"/>
      <c r="E13" s="406"/>
      <c r="F13" s="406"/>
      <c r="G13" s="406"/>
      <c r="H13" s="406"/>
      <c r="I13" s="406"/>
    </row>
    <row r="14" spans="1:9" ht="66.75" customHeight="1" x14ac:dyDescent="0.2">
      <c r="B14" s="404" t="str">
        <f>'Orden de Pedido'!$A$28</f>
        <v>descripcionInstruccionDelServicio</v>
      </c>
      <c r="C14" s="405"/>
      <c r="D14" s="405"/>
      <c r="E14" s="405"/>
      <c r="F14" s="405"/>
      <c r="G14" s="405"/>
      <c r="H14" s="405"/>
      <c r="I14" s="405"/>
    </row>
    <row r="15" spans="1:9" ht="18" customHeight="1" x14ac:dyDescent="0.2">
      <c r="A15" s="81" t="s">
        <v>94</v>
      </c>
      <c r="B15" s="393" t="s">
        <v>70</v>
      </c>
      <c r="C15" s="394"/>
      <c r="D15" s="393" t="s">
        <v>109</v>
      </c>
      <c r="E15" s="394"/>
      <c r="F15" s="394"/>
      <c r="G15" s="394"/>
      <c r="H15" s="82" t="s">
        <v>110</v>
      </c>
      <c r="I15" s="83" t="s">
        <v>111</v>
      </c>
    </row>
    <row r="16" spans="1:9" ht="18.75" customHeight="1" x14ac:dyDescent="0.2">
      <c r="A16" s="49">
        <v>1</v>
      </c>
      <c r="B16" s="381" t="s">
        <v>112</v>
      </c>
      <c r="C16" s="395"/>
      <c r="D16" s="381"/>
      <c r="E16" s="382"/>
      <c r="F16" s="382"/>
      <c r="G16" s="382"/>
      <c r="H16" s="77" t="s">
        <v>97</v>
      </c>
      <c r="I16" s="84"/>
    </row>
    <row r="17" spans="1:9" ht="18.75" customHeight="1" x14ac:dyDescent="0.2">
      <c r="A17" s="358">
        <v>2</v>
      </c>
      <c r="B17" s="359" t="s">
        <v>113</v>
      </c>
      <c r="C17" s="360"/>
      <c r="D17" s="381"/>
      <c r="E17" s="382"/>
      <c r="F17" s="382"/>
      <c r="G17" s="382"/>
      <c r="H17" s="256" t="s">
        <v>97</v>
      </c>
      <c r="I17" s="387"/>
    </row>
    <row r="18" spans="1:9" ht="18.75" customHeight="1" x14ac:dyDescent="0.2">
      <c r="A18" s="358"/>
      <c r="B18" s="361"/>
      <c r="C18" s="362"/>
      <c r="D18" s="383"/>
      <c r="E18" s="384"/>
      <c r="F18" s="384"/>
      <c r="G18" s="384"/>
      <c r="H18" s="256"/>
      <c r="I18" s="388"/>
    </row>
    <row r="19" spans="1:9" ht="21" customHeight="1" x14ac:dyDescent="0.2">
      <c r="A19" s="390" t="s">
        <v>114</v>
      </c>
      <c r="B19" s="358" t="s">
        <v>115</v>
      </c>
      <c r="C19" s="358"/>
      <c r="D19" s="256"/>
      <c r="E19" s="256"/>
      <c r="F19" s="256"/>
      <c r="G19" s="256"/>
      <c r="H19" s="77"/>
      <c r="I19" s="77"/>
    </row>
    <row r="20" spans="1:9" ht="21" customHeight="1" x14ac:dyDescent="0.2">
      <c r="A20" s="391"/>
      <c r="B20" s="358" t="s">
        <v>116</v>
      </c>
      <c r="C20" s="358"/>
      <c r="D20" s="256"/>
      <c r="E20" s="256"/>
      <c r="F20" s="256"/>
      <c r="G20" s="256"/>
      <c r="H20" s="77"/>
      <c r="I20" s="77"/>
    </row>
    <row r="21" spans="1:9" ht="21" customHeight="1" x14ac:dyDescent="0.2">
      <c r="A21" s="391"/>
      <c r="B21" s="358" t="s">
        <v>117</v>
      </c>
      <c r="C21" s="358"/>
      <c r="D21" s="256"/>
      <c r="E21" s="256"/>
      <c r="F21" s="256"/>
      <c r="G21" s="256"/>
      <c r="H21" s="77"/>
      <c r="I21" s="77"/>
    </row>
    <row r="22" spans="1:9" ht="21" customHeight="1" x14ac:dyDescent="0.2">
      <c r="A22" s="392"/>
      <c r="B22" s="358" t="s">
        <v>106</v>
      </c>
      <c r="C22" s="358"/>
      <c r="D22" s="256"/>
      <c r="E22" s="256"/>
      <c r="F22" s="256"/>
      <c r="G22" s="256"/>
      <c r="H22" s="77"/>
      <c r="I22" s="75"/>
    </row>
    <row r="23" spans="1:9" ht="27" customHeight="1" x14ac:dyDescent="0.2">
      <c r="A23" s="358">
        <v>3</v>
      </c>
      <c r="B23" s="380" t="s">
        <v>233</v>
      </c>
      <c r="C23" s="360"/>
      <c r="D23" s="381"/>
      <c r="E23" s="382"/>
      <c r="F23" s="382"/>
      <c r="G23" s="382"/>
      <c r="H23" s="256" t="s">
        <v>97</v>
      </c>
      <c r="I23" s="387"/>
    </row>
    <row r="24" spans="1:9" ht="27" customHeight="1" x14ac:dyDescent="0.2">
      <c r="A24" s="358"/>
      <c r="B24" s="361"/>
      <c r="C24" s="362"/>
      <c r="D24" s="383"/>
      <c r="E24" s="384"/>
      <c r="F24" s="384"/>
      <c r="G24" s="384"/>
      <c r="H24" s="256"/>
      <c r="I24" s="388"/>
    </row>
    <row r="25" spans="1:9" ht="27" customHeight="1" x14ac:dyDescent="0.2">
      <c r="A25" s="358"/>
      <c r="B25" s="363"/>
      <c r="C25" s="364"/>
      <c r="D25" s="385"/>
      <c r="E25" s="386"/>
      <c r="F25" s="386"/>
      <c r="G25" s="386"/>
      <c r="H25" s="256"/>
      <c r="I25" s="389"/>
    </row>
    <row r="26" spans="1:9" ht="27" customHeight="1" x14ac:dyDescent="0.2">
      <c r="A26" s="154"/>
      <c r="B26" s="380" t="s">
        <v>233</v>
      </c>
      <c r="C26" s="360"/>
      <c r="D26" s="381"/>
      <c r="E26" s="382"/>
      <c r="F26" s="382"/>
      <c r="G26" s="382"/>
      <c r="H26" s="256"/>
      <c r="I26" s="387" t="s">
        <v>97</v>
      </c>
    </row>
    <row r="27" spans="1:9" ht="27" customHeight="1" x14ac:dyDescent="0.2">
      <c r="A27" s="154"/>
      <c r="B27" s="361"/>
      <c r="C27" s="362"/>
      <c r="D27" s="383"/>
      <c r="E27" s="384"/>
      <c r="F27" s="384"/>
      <c r="G27" s="384"/>
      <c r="H27" s="256"/>
      <c r="I27" s="388"/>
    </row>
    <row r="28" spans="1:9" ht="27" customHeight="1" x14ac:dyDescent="0.2">
      <c r="A28" s="154"/>
      <c r="B28" s="363"/>
      <c r="C28" s="364"/>
      <c r="D28" s="385"/>
      <c r="E28" s="386"/>
      <c r="F28" s="386"/>
      <c r="G28" s="386"/>
      <c r="H28" s="256"/>
      <c r="I28" s="389"/>
    </row>
    <row r="29" spans="1:9" ht="27" customHeight="1" x14ac:dyDescent="0.2">
      <c r="A29" s="154"/>
      <c r="B29" s="380" t="s">
        <v>233</v>
      </c>
      <c r="C29" s="360"/>
      <c r="D29" s="381"/>
      <c r="E29" s="382"/>
      <c r="F29" s="382"/>
      <c r="G29" s="382"/>
      <c r="H29" s="256" t="s">
        <v>97</v>
      </c>
      <c r="I29" s="387"/>
    </row>
    <row r="30" spans="1:9" ht="27" customHeight="1" x14ac:dyDescent="0.2">
      <c r="A30" s="154"/>
      <c r="B30" s="361"/>
      <c r="C30" s="362"/>
      <c r="D30" s="383"/>
      <c r="E30" s="384"/>
      <c r="F30" s="384"/>
      <c r="G30" s="384"/>
      <c r="H30" s="256"/>
      <c r="I30" s="388"/>
    </row>
    <row r="31" spans="1:9" ht="27" customHeight="1" x14ac:dyDescent="0.2">
      <c r="A31" s="154"/>
      <c r="B31" s="363"/>
      <c r="C31" s="364"/>
      <c r="D31" s="385"/>
      <c r="E31" s="386"/>
      <c r="F31" s="386"/>
      <c r="G31" s="386"/>
      <c r="H31" s="256"/>
      <c r="I31" s="389"/>
    </row>
    <row r="32" spans="1:9" ht="27" customHeight="1" x14ac:dyDescent="0.2">
      <c r="A32" s="154"/>
      <c r="B32" s="380" t="s">
        <v>233</v>
      </c>
      <c r="C32" s="360"/>
      <c r="D32" s="381"/>
      <c r="E32" s="382"/>
      <c r="F32" s="382"/>
      <c r="G32" s="382"/>
      <c r="H32" s="256" t="s">
        <v>97</v>
      </c>
      <c r="I32" s="387"/>
    </row>
    <row r="33" spans="1:9" ht="27" customHeight="1" x14ac:dyDescent="0.2">
      <c r="A33" s="154"/>
      <c r="B33" s="361"/>
      <c r="C33" s="362"/>
      <c r="D33" s="383"/>
      <c r="E33" s="384"/>
      <c r="F33" s="384"/>
      <c r="G33" s="384"/>
      <c r="H33" s="256"/>
      <c r="I33" s="388"/>
    </row>
    <row r="34" spans="1:9" ht="27" customHeight="1" x14ac:dyDescent="0.2">
      <c r="A34" s="154"/>
      <c r="B34" s="363"/>
      <c r="C34" s="364"/>
      <c r="D34" s="385"/>
      <c r="E34" s="386"/>
      <c r="F34" s="386"/>
      <c r="G34" s="386"/>
      <c r="H34" s="256"/>
      <c r="I34" s="389"/>
    </row>
    <row r="35" spans="1:9" ht="27" customHeight="1" x14ac:dyDescent="0.2">
      <c r="A35" s="154"/>
      <c r="B35" s="380" t="s">
        <v>233</v>
      </c>
      <c r="C35" s="360"/>
      <c r="D35" s="381"/>
      <c r="E35" s="382"/>
      <c r="F35" s="382"/>
      <c r="G35" s="382"/>
      <c r="H35" s="256"/>
      <c r="I35" s="387" t="s">
        <v>97</v>
      </c>
    </row>
    <row r="36" spans="1:9" ht="27" customHeight="1" x14ac:dyDescent="0.2">
      <c r="A36" s="154"/>
      <c r="B36" s="361"/>
      <c r="C36" s="362"/>
      <c r="D36" s="383"/>
      <c r="E36" s="384"/>
      <c r="F36" s="384"/>
      <c r="G36" s="384"/>
      <c r="H36" s="256"/>
      <c r="I36" s="388"/>
    </row>
    <row r="37" spans="1:9" ht="27" customHeight="1" x14ac:dyDescent="0.2">
      <c r="A37" s="154"/>
      <c r="B37" s="363"/>
      <c r="C37" s="364"/>
      <c r="D37" s="385"/>
      <c r="E37" s="386"/>
      <c r="F37" s="386"/>
      <c r="G37" s="386"/>
      <c r="H37" s="256"/>
      <c r="I37" s="389"/>
    </row>
    <row r="38" spans="1:9" ht="27" customHeight="1" x14ac:dyDescent="0.2">
      <c r="A38" s="154"/>
      <c r="B38" s="380" t="s">
        <v>233</v>
      </c>
      <c r="C38" s="360"/>
      <c r="D38" s="381"/>
      <c r="E38" s="382"/>
      <c r="F38" s="382"/>
      <c r="G38" s="382"/>
      <c r="H38" s="256"/>
      <c r="I38" s="387" t="s">
        <v>97</v>
      </c>
    </row>
    <row r="39" spans="1:9" ht="27" customHeight="1" x14ac:dyDescent="0.2">
      <c r="A39" s="154"/>
      <c r="B39" s="361"/>
      <c r="C39" s="362"/>
      <c r="D39" s="383"/>
      <c r="E39" s="384"/>
      <c r="F39" s="384"/>
      <c r="G39" s="384"/>
      <c r="H39" s="256"/>
      <c r="I39" s="388"/>
    </row>
    <row r="40" spans="1:9" ht="27" customHeight="1" x14ac:dyDescent="0.2">
      <c r="A40" s="154"/>
      <c r="B40" s="363"/>
      <c r="C40" s="364"/>
      <c r="D40" s="385"/>
      <c r="E40" s="386"/>
      <c r="F40" s="386"/>
      <c r="G40" s="386"/>
      <c r="H40" s="256"/>
      <c r="I40" s="389"/>
    </row>
    <row r="41" spans="1:9" ht="27" customHeight="1" x14ac:dyDescent="0.2">
      <c r="A41" s="154"/>
      <c r="B41" s="380" t="s">
        <v>233</v>
      </c>
      <c r="C41" s="360"/>
      <c r="D41" s="381"/>
      <c r="E41" s="382"/>
      <c r="F41" s="382"/>
      <c r="G41" s="382"/>
      <c r="H41" s="256" t="s">
        <v>97</v>
      </c>
      <c r="I41" s="387"/>
    </row>
    <row r="42" spans="1:9" ht="27" customHeight="1" x14ac:dyDescent="0.2">
      <c r="A42" s="154"/>
      <c r="B42" s="361"/>
      <c r="C42" s="362"/>
      <c r="D42" s="383"/>
      <c r="E42" s="384"/>
      <c r="F42" s="384"/>
      <c r="G42" s="384"/>
      <c r="H42" s="256"/>
      <c r="I42" s="388"/>
    </row>
    <row r="43" spans="1:9" ht="27" customHeight="1" x14ac:dyDescent="0.2">
      <c r="A43" s="154"/>
      <c r="B43" s="363"/>
      <c r="C43" s="364"/>
      <c r="D43" s="385"/>
      <c r="E43" s="386"/>
      <c r="F43" s="386"/>
      <c r="G43" s="386"/>
      <c r="H43" s="256"/>
      <c r="I43" s="389"/>
    </row>
    <row r="44" spans="1:9" ht="27" customHeight="1" x14ac:dyDescent="0.2">
      <c r="A44" s="154"/>
      <c r="B44" s="380" t="s">
        <v>233</v>
      </c>
      <c r="C44" s="360"/>
      <c r="D44" s="381"/>
      <c r="E44" s="382"/>
      <c r="F44" s="382"/>
      <c r="G44" s="382"/>
      <c r="H44" s="256" t="s">
        <v>97</v>
      </c>
      <c r="I44" s="387"/>
    </row>
    <row r="45" spans="1:9" ht="27" customHeight="1" x14ac:dyDescent="0.2">
      <c r="A45" s="154"/>
      <c r="B45" s="361"/>
      <c r="C45" s="362"/>
      <c r="D45" s="383"/>
      <c r="E45" s="384"/>
      <c r="F45" s="384"/>
      <c r="G45" s="384"/>
      <c r="H45" s="256"/>
      <c r="I45" s="388"/>
    </row>
    <row r="46" spans="1:9" ht="27" customHeight="1" x14ac:dyDescent="0.2">
      <c r="A46" s="154"/>
      <c r="B46" s="363"/>
      <c r="C46" s="364"/>
      <c r="D46" s="385"/>
      <c r="E46" s="386"/>
      <c r="F46" s="386"/>
      <c r="G46" s="386"/>
      <c r="H46" s="256"/>
      <c r="I46" s="389"/>
    </row>
    <row r="47" spans="1:9" ht="27" customHeight="1" x14ac:dyDescent="0.2">
      <c r="A47" s="358">
        <v>4</v>
      </c>
      <c r="B47" s="380" t="s">
        <v>233</v>
      </c>
      <c r="C47" s="360"/>
      <c r="D47" s="381"/>
      <c r="E47" s="382"/>
      <c r="F47" s="382"/>
      <c r="G47" s="382"/>
      <c r="H47" s="256"/>
      <c r="I47" s="387" t="s">
        <v>97</v>
      </c>
    </row>
    <row r="48" spans="1:9" ht="27" customHeight="1" x14ac:dyDescent="0.2">
      <c r="A48" s="358"/>
      <c r="B48" s="361"/>
      <c r="C48" s="362"/>
      <c r="D48" s="383"/>
      <c r="E48" s="384"/>
      <c r="F48" s="384"/>
      <c r="G48" s="384"/>
      <c r="H48" s="256"/>
      <c r="I48" s="388"/>
    </row>
    <row r="49" spans="1:9" ht="27" customHeight="1" x14ac:dyDescent="0.2">
      <c r="A49" s="358"/>
      <c r="B49" s="363"/>
      <c r="C49" s="364"/>
      <c r="D49" s="385"/>
      <c r="E49" s="386"/>
      <c r="F49" s="386"/>
      <c r="G49" s="386"/>
      <c r="H49" s="256"/>
      <c r="I49" s="389"/>
    </row>
    <row r="50" spans="1:9" ht="27" customHeight="1" x14ac:dyDescent="0.2">
      <c r="A50" s="358">
        <v>5</v>
      </c>
      <c r="B50" s="380" t="s">
        <v>233</v>
      </c>
      <c r="C50" s="360"/>
      <c r="D50" s="381"/>
      <c r="E50" s="382"/>
      <c r="F50" s="382"/>
      <c r="G50" s="382"/>
      <c r="H50" s="256"/>
      <c r="I50" s="387" t="s">
        <v>97</v>
      </c>
    </row>
    <row r="51" spans="1:9" ht="27" customHeight="1" x14ac:dyDescent="0.2">
      <c r="A51" s="358"/>
      <c r="B51" s="361"/>
      <c r="C51" s="362"/>
      <c r="D51" s="383"/>
      <c r="E51" s="384"/>
      <c r="F51" s="384"/>
      <c r="G51" s="384"/>
      <c r="H51" s="256"/>
      <c r="I51" s="388"/>
    </row>
    <row r="52" spans="1:9" ht="27" customHeight="1" x14ac:dyDescent="0.2">
      <c r="A52" s="358"/>
      <c r="B52" s="363"/>
      <c r="C52" s="364"/>
      <c r="D52" s="385"/>
      <c r="E52" s="386"/>
      <c r="F52" s="386"/>
      <c r="G52" s="386"/>
      <c r="H52" s="256"/>
      <c r="I52" s="389"/>
    </row>
    <row r="53" spans="1:9" ht="36" customHeight="1" x14ac:dyDescent="0.2">
      <c r="A53" s="358">
        <v>6</v>
      </c>
      <c r="B53" s="359" t="s">
        <v>233</v>
      </c>
      <c r="C53" s="360"/>
      <c r="D53" s="365"/>
      <c r="E53" s="382"/>
      <c r="F53" s="382"/>
      <c r="G53" s="382"/>
      <c r="H53" s="255" t="s">
        <v>97</v>
      </c>
      <c r="I53" s="387"/>
    </row>
    <row r="54" spans="1:9" ht="36" customHeight="1" x14ac:dyDescent="0.2">
      <c r="A54" s="358"/>
      <c r="B54" s="361"/>
      <c r="C54" s="362"/>
      <c r="D54" s="383"/>
      <c r="E54" s="384"/>
      <c r="F54" s="384"/>
      <c r="G54" s="384"/>
      <c r="H54" s="256"/>
      <c r="I54" s="388"/>
    </row>
    <row r="55" spans="1:9" ht="36" customHeight="1" x14ac:dyDescent="0.2">
      <c r="A55" s="358"/>
      <c r="B55" s="363"/>
      <c r="C55" s="364"/>
      <c r="D55" s="385"/>
      <c r="E55" s="386"/>
      <c r="F55" s="386"/>
      <c r="G55" s="386"/>
      <c r="H55" s="256"/>
      <c r="I55" s="389"/>
    </row>
    <row r="56" spans="1:9" ht="18.75" customHeight="1" x14ac:dyDescent="0.2">
      <c r="A56" s="377"/>
      <c r="B56" s="378"/>
      <c r="C56" s="378"/>
      <c r="D56" s="378"/>
      <c r="E56" s="378"/>
      <c r="F56" s="378"/>
      <c r="G56" s="378"/>
      <c r="H56" s="378"/>
      <c r="I56" s="379"/>
    </row>
    <row r="57" spans="1:9" ht="33.75" customHeight="1" x14ac:dyDescent="0.2">
      <c r="A57" s="358">
        <v>7</v>
      </c>
      <c r="B57" s="359" t="s">
        <v>233</v>
      </c>
      <c r="C57" s="360"/>
      <c r="D57" s="365"/>
      <c r="E57" s="366"/>
      <c r="F57" s="366"/>
      <c r="G57" s="367"/>
      <c r="H57" s="374" t="s">
        <v>97</v>
      </c>
      <c r="I57" s="374"/>
    </row>
    <row r="58" spans="1:9" ht="33.75" customHeight="1" x14ac:dyDescent="0.2">
      <c r="A58" s="358"/>
      <c r="B58" s="361"/>
      <c r="C58" s="362"/>
      <c r="D58" s="368"/>
      <c r="E58" s="369"/>
      <c r="F58" s="369"/>
      <c r="G58" s="370"/>
      <c r="H58" s="375"/>
      <c r="I58" s="375"/>
    </row>
    <row r="59" spans="1:9" ht="33.75" customHeight="1" x14ac:dyDescent="0.2">
      <c r="A59" s="358"/>
      <c r="B59" s="363"/>
      <c r="C59" s="364"/>
      <c r="D59" s="371"/>
      <c r="E59" s="372"/>
      <c r="F59" s="372"/>
      <c r="G59" s="373"/>
      <c r="H59" s="376"/>
      <c r="I59" s="376"/>
    </row>
  </sheetData>
  <protectedRanges>
    <protectedRange sqref="D15 H15:I15" name="Rango1_1_3_1"/>
    <protectedRange sqref="C2:D4 E3:F4 I2 G4 G7 C7 C5" name="Rango1_2_1"/>
    <protectedRange sqref="H7:I10" name="Rango1_1_1_1"/>
  </protectedRanges>
  <mergeCells count="91">
    <mergeCell ref="B44:C46"/>
    <mergeCell ref="D44:G46"/>
    <mergeCell ref="H44:H46"/>
    <mergeCell ref="I44:I46"/>
    <mergeCell ref="B38:C40"/>
    <mergeCell ref="D38:G40"/>
    <mergeCell ref="H38:H40"/>
    <mergeCell ref="I38:I40"/>
    <mergeCell ref="B41:C43"/>
    <mergeCell ref="D41:G43"/>
    <mergeCell ref="H41:H43"/>
    <mergeCell ref="I41:I43"/>
    <mergeCell ref="B32:C34"/>
    <mergeCell ref="D32:G34"/>
    <mergeCell ref="H32:H34"/>
    <mergeCell ref="I32:I34"/>
    <mergeCell ref="B35:C37"/>
    <mergeCell ref="D35:G37"/>
    <mergeCell ref="H35:H37"/>
    <mergeCell ref="I35:I37"/>
    <mergeCell ref="B26:C28"/>
    <mergeCell ref="D26:G28"/>
    <mergeCell ref="H26:H28"/>
    <mergeCell ref="I26:I28"/>
    <mergeCell ref="B29:C31"/>
    <mergeCell ref="D29:G31"/>
    <mergeCell ref="H29:H31"/>
    <mergeCell ref="I29:I31"/>
    <mergeCell ref="B14:I14"/>
    <mergeCell ref="B13:I13"/>
    <mergeCell ref="C7:F10"/>
    <mergeCell ref="B7:B10"/>
    <mergeCell ref="G5:I5"/>
    <mergeCell ref="B5:B6"/>
    <mergeCell ref="C5:F6"/>
    <mergeCell ref="C12:I12"/>
    <mergeCell ref="C11:I11"/>
    <mergeCell ref="G6:H6"/>
    <mergeCell ref="H1:I1"/>
    <mergeCell ref="C1:G1"/>
    <mergeCell ref="H3:I3"/>
    <mergeCell ref="H4:I4"/>
    <mergeCell ref="G2:I2"/>
    <mergeCell ref="E2:F2"/>
    <mergeCell ref="C4:D4"/>
    <mergeCell ref="C2:D2"/>
    <mergeCell ref="C3:D3"/>
    <mergeCell ref="B15:C15"/>
    <mergeCell ref="D15:G15"/>
    <mergeCell ref="B16:C16"/>
    <mergeCell ref="D16:G16"/>
    <mergeCell ref="A17:A18"/>
    <mergeCell ref="B17:C18"/>
    <mergeCell ref="D17:G18"/>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A56:I56"/>
    <mergeCell ref="A47:A49"/>
    <mergeCell ref="B47:C49"/>
    <mergeCell ref="D47:G49"/>
    <mergeCell ref="H47:H49"/>
    <mergeCell ref="I47:I49"/>
    <mergeCell ref="A50:A52"/>
    <mergeCell ref="B50:C52"/>
    <mergeCell ref="D50:G52"/>
    <mergeCell ref="H50:H52"/>
    <mergeCell ref="A53:A55"/>
    <mergeCell ref="B53:C55"/>
    <mergeCell ref="D53:G55"/>
    <mergeCell ref="H53:H55"/>
    <mergeCell ref="I53:I55"/>
    <mergeCell ref="I50:I52"/>
    <mergeCell ref="A57:A59"/>
    <mergeCell ref="B57:C59"/>
    <mergeCell ref="D57:G59"/>
    <mergeCell ref="H57:H59"/>
    <mergeCell ref="I57:I59"/>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75" max="8"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T46"/>
  <sheetViews>
    <sheetView showGridLines="0" zoomScale="40" zoomScaleNormal="40" workbookViewId="0">
      <selection activeCell="M15" sqref="I15:M15"/>
    </sheetView>
  </sheetViews>
  <sheetFormatPr baseColWidth="10" defaultRowHeight="12.75" x14ac:dyDescent="0.2"/>
  <cols>
    <col min="1" max="1" customWidth="true" style="85" width="16.42578125" collapsed="true"/>
    <col min="2" max="5" customWidth="true" style="5" width="10.85546875" collapsed="true"/>
    <col min="6" max="6" customWidth="true" style="5" width="13.5703125" collapsed="true"/>
    <col min="7" max="7" customWidth="true" style="5" width="10.85546875" collapsed="true"/>
    <col min="8" max="8" customWidth="true" style="5" width="16.28515625" collapsed="true"/>
    <col min="9" max="9" customWidth="true" style="5" width="13.42578125" collapsed="true"/>
    <col min="10" max="10" customWidth="true" style="5" width="12.140625" collapsed="true"/>
    <col min="11" max="11" customWidth="true" style="5" width="14.140625" collapsed="true"/>
    <col min="12" max="39" customWidth="true" style="5" width="12.140625" collapsed="true"/>
    <col min="40" max="40" customWidth="true" style="5" width="17.7109375" collapsed="true"/>
    <col min="41" max="55" customWidth="true" style="5" width="4.28515625" collapsed="true"/>
    <col min="56" max="16384" style="5" width="11.42578125" collapsed="true"/>
  </cols>
  <sheetData>
    <row r="1" spans="1:46" ht="178.5" customHeight="1" x14ac:dyDescent="0.2">
      <c r="B1" s="256"/>
      <c r="C1" s="256"/>
      <c r="D1" s="256"/>
      <c r="E1" s="256"/>
      <c r="F1" s="256"/>
      <c r="G1" s="256"/>
      <c r="H1" s="256"/>
      <c r="I1" s="431" t="s">
        <v>89</v>
      </c>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432" t="s">
        <v>120</v>
      </c>
      <c r="AK1" s="432"/>
      <c r="AL1" s="432"/>
      <c r="AM1" s="432"/>
      <c r="AN1" s="432"/>
    </row>
    <row r="2" spans="1:46" s="87" customFormat="1" ht="110.25" customHeight="1" thickBot="1" x14ac:dyDescent="0.25">
      <c r="A2" s="3"/>
      <c r="B2" s="433" t="s">
        <v>121</v>
      </c>
      <c r="C2" s="433"/>
      <c r="D2" s="433"/>
      <c r="E2" s="433"/>
      <c r="F2" s="433"/>
      <c r="G2" s="433"/>
      <c r="H2" s="433"/>
      <c r="I2" s="65">
        <v>41791</v>
      </c>
      <c r="J2" s="86">
        <v>41792</v>
      </c>
      <c r="K2" s="86">
        <v>41793</v>
      </c>
      <c r="L2" s="86">
        <v>41794</v>
      </c>
      <c r="M2" s="86">
        <v>41795</v>
      </c>
      <c r="N2" s="86">
        <v>41796</v>
      </c>
      <c r="O2" s="65">
        <v>41797</v>
      </c>
      <c r="P2" s="65">
        <v>41798</v>
      </c>
      <c r="Q2" s="86">
        <v>41799</v>
      </c>
      <c r="R2" s="86">
        <v>41800</v>
      </c>
      <c r="S2" s="86">
        <v>41801</v>
      </c>
      <c r="T2" s="86">
        <v>41802</v>
      </c>
      <c r="U2" s="86">
        <v>41803</v>
      </c>
      <c r="V2" s="65">
        <v>41804</v>
      </c>
      <c r="W2" s="65">
        <v>41805</v>
      </c>
      <c r="X2" s="86">
        <v>41806</v>
      </c>
      <c r="Y2" s="86">
        <v>41807</v>
      </c>
      <c r="Z2" s="86">
        <v>41808</v>
      </c>
      <c r="AA2" s="86">
        <v>41809</v>
      </c>
      <c r="AB2" s="86">
        <v>41810</v>
      </c>
      <c r="AC2" s="65">
        <v>41811</v>
      </c>
      <c r="AD2" s="65">
        <v>41812</v>
      </c>
      <c r="AE2" s="86">
        <v>41813</v>
      </c>
      <c r="AF2" s="86">
        <v>41814</v>
      </c>
      <c r="AG2" s="86">
        <v>41815</v>
      </c>
      <c r="AH2" s="86">
        <v>41816</v>
      </c>
      <c r="AI2" s="86">
        <v>41817</v>
      </c>
      <c r="AJ2" s="65">
        <v>41818</v>
      </c>
      <c r="AK2" s="65">
        <v>41819</v>
      </c>
      <c r="AL2" s="86">
        <v>41820</v>
      </c>
      <c r="AM2" s="86">
        <v>41821</v>
      </c>
      <c r="AN2" s="66" t="s">
        <v>0</v>
      </c>
      <c r="AO2" s="3"/>
      <c r="AP2" s="3"/>
      <c r="AQ2" s="3"/>
      <c r="AR2" s="3"/>
      <c r="AS2" s="3"/>
      <c r="AT2" s="3"/>
    </row>
    <row r="3" spans="1:46" ht="50.25" customHeight="1" x14ac:dyDescent="0.2">
      <c r="A3" s="418" t="s">
        <v>121</v>
      </c>
      <c r="B3" s="434" t="s">
        <v>234</v>
      </c>
      <c r="C3" s="435"/>
      <c r="D3" s="435"/>
      <c r="E3" s="435"/>
      <c r="F3" s="435"/>
      <c r="G3" s="435"/>
      <c r="H3" s="435"/>
      <c r="I3" s="6" t="n">
        <v>1.0</v>
      </c>
      <c r="J3" s="6" t="n">
        <v>2.0</v>
      </c>
      <c r="K3" s="6" t="n">
        <v>3.0</v>
      </c>
      <c r="L3" s="6" t="n">
        <v>4.0</v>
      </c>
      <c r="M3" s="6" t="n">
        <v>5.0</v>
      </c>
      <c r="N3" s="6" t="n">
        <v>6.0</v>
      </c>
      <c r="O3" s="6" t="n">
        <v>6.0</v>
      </c>
      <c r="P3" s="6" t="n">
        <v>0.0</v>
      </c>
      <c r="Q3" s="6" t="n">
        <v>1.0</v>
      </c>
      <c r="R3" s="6" t="n">
        <v>1.0</v>
      </c>
      <c r="S3" s="6" t="n">
        <v>1.0</v>
      </c>
      <c r="T3" s="6" t="n">
        <v>1.0</v>
      </c>
      <c r="U3" s="6" t="n">
        <v>2.0</v>
      </c>
      <c r="V3" s="6" t="n">
        <v>4.0</v>
      </c>
      <c r="W3" s="6" t="n">
        <v>5.0</v>
      </c>
      <c r="X3" s="6" t="n">
        <v>5.0</v>
      </c>
      <c r="Y3" s="6" t="n">
        <v>5.0</v>
      </c>
      <c r="Z3" s="6" t="n">
        <v>4.0</v>
      </c>
      <c r="AA3" s="6" t="n">
        <v>7.0</v>
      </c>
      <c r="AB3" s="6" t="n">
        <v>7.0</v>
      </c>
      <c r="AC3" s="6" t="n">
        <v>8.0</v>
      </c>
      <c r="AD3" s="6" t="n">
        <v>8.0</v>
      </c>
      <c r="AE3" s="6" t="n">
        <v>9.0</v>
      </c>
      <c r="AF3" s="6" t="n">
        <v>8.0</v>
      </c>
      <c r="AG3" s="6" t="n">
        <v>8.0</v>
      </c>
      <c r="AH3" s="6" t="n">
        <v>7.0</v>
      </c>
      <c r="AI3" s="6" t="n">
        <v>2.0</v>
      </c>
      <c r="AJ3" s="6" t="n">
        <v>1.0</v>
      </c>
      <c r="AK3" s="6" t="n">
        <v>1.0</v>
      </c>
      <c r="AL3" s="6" t="n">
        <v>2.0</v>
      </c>
      <c r="AM3" s="6"/>
      <c r="AN3" s="67" t="n">
        <f t="shared" ref="AN3:AN8" si="0">SUM(I3:AM3)</f>
        <v>124.0</v>
      </c>
      <c r="AO3" s="85"/>
      <c r="AP3" s="85"/>
      <c r="AQ3" s="85"/>
      <c r="AR3" s="85"/>
      <c r="AS3" s="85"/>
      <c r="AT3" s="85"/>
    </row>
    <row r="4" spans="1:46" ht="50.25" customHeight="1" x14ac:dyDescent="0.2">
      <c r="A4" s="419"/>
      <c r="B4" s="434" t="s">
        <v>235</v>
      </c>
      <c r="C4" s="435"/>
      <c r="D4" s="435"/>
      <c r="E4" s="435"/>
      <c r="F4" s="435"/>
      <c r="G4" s="435"/>
      <c r="H4" s="435"/>
      <c r="I4" s="6" t="n">
        <v>1.0</v>
      </c>
      <c r="J4" s="6" t="n">
        <v>44.0</v>
      </c>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7" t="n">
        <f t="shared" si="0"/>
        <v>45.0</v>
      </c>
      <c r="AO4" s="85"/>
      <c r="AP4" s="85"/>
      <c r="AQ4" s="85"/>
      <c r="AR4" s="85"/>
      <c r="AS4" s="85"/>
      <c r="AT4" s="85"/>
    </row>
    <row r="5" spans="1:46" ht="50.25" customHeight="1" x14ac:dyDescent="0.2">
      <c r="A5" s="419"/>
      <c r="B5" s="436" t="s">
        <v>1</v>
      </c>
      <c r="C5" s="437"/>
      <c r="D5" s="437"/>
      <c r="E5" s="437"/>
      <c r="F5" s="437"/>
      <c r="G5" s="437"/>
      <c r="H5" s="437"/>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7" t="n">
        <f t="shared" si="0"/>
        <v>0.0</v>
      </c>
      <c r="AO5" s="85"/>
      <c r="AP5" s="85"/>
      <c r="AQ5" s="85"/>
      <c r="AR5" s="85"/>
      <c r="AS5" s="85"/>
      <c r="AT5" s="85"/>
    </row>
    <row r="6" spans="1:46" ht="50.25" customHeight="1" x14ac:dyDescent="0.2">
      <c r="A6" s="419"/>
      <c r="B6" s="436" t="s">
        <v>1</v>
      </c>
      <c r="C6" s="437"/>
      <c r="D6" s="437"/>
      <c r="E6" s="437"/>
      <c r="F6" s="437"/>
      <c r="G6" s="437"/>
      <c r="H6" s="437"/>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7" t="n">
        <f t="shared" si="0"/>
        <v>0.0</v>
      </c>
      <c r="AO6" s="85"/>
      <c r="AP6" s="85"/>
      <c r="AQ6" s="85"/>
      <c r="AR6" s="85"/>
      <c r="AS6" s="85"/>
      <c r="AT6" s="85"/>
    </row>
    <row r="7" spans="1:46" ht="50.25" customHeight="1" x14ac:dyDescent="0.2">
      <c r="A7" s="419"/>
      <c r="B7" s="436" t="s">
        <v>1</v>
      </c>
      <c r="C7" s="437"/>
      <c r="D7" s="437"/>
      <c r="E7" s="437"/>
      <c r="F7" s="437"/>
      <c r="G7" s="437"/>
      <c r="H7" s="437"/>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7" t="n">
        <f t="shared" si="0"/>
        <v>0.0</v>
      </c>
      <c r="AO7" s="85"/>
      <c r="AP7" s="85"/>
      <c r="AQ7" s="85"/>
      <c r="AR7" s="85"/>
      <c r="AS7" s="85"/>
      <c r="AT7" s="85"/>
    </row>
    <row r="8" spans="1:46" ht="50.25" customHeight="1" thickBot="1" x14ac:dyDescent="0.25">
      <c r="A8" s="420"/>
      <c r="B8" s="436" t="s">
        <v>1</v>
      </c>
      <c r="C8" s="437"/>
      <c r="D8" s="437"/>
      <c r="E8" s="437"/>
      <c r="F8" s="437"/>
      <c r="G8" s="437"/>
      <c r="H8" s="437"/>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7" t="n">
        <f t="shared" si="0"/>
        <v>0.0</v>
      </c>
      <c r="AO8" s="85"/>
      <c r="AP8" s="85"/>
      <c r="AQ8" s="85"/>
      <c r="AR8" s="85"/>
      <c r="AS8" s="85"/>
      <c r="AT8" s="85"/>
    </row>
    <row r="9" spans="1:46" ht="114.75" customHeight="1" thickBot="1" x14ac:dyDescent="0.25">
      <c r="B9" s="430" t="s">
        <v>12</v>
      </c>
      <c r="C9" s="430"/>
      <c r="D9" s="430"/>
      <c r="E9" s="430"/>
      <c r="F9" s="430"/>
      <c r="G9" s="430"/>
      <c r="H9" s="430"/>
      <c r="I9" s="417" t="s">
        <v>1</v>
      </c>
      <c r="J9" s="417"/>
      <c r="K9" s="417"/>
      <c r="L9" s="417"/>
      <c r="M9" s="417"/>
      <c r="N9" s="417"/>
      <c r="O9" s="417"/>
      <c r="P9" s="417"/>
      <c r="Q9" s="417"/>
      <c r="R9" s="417"/>
      <c r="S9" s="417"/>
      <c r="T9" s="417"/>
      <c r="U9" s="417"/>
      <c r="V9" s="417"/>
      <c r="W9" s="417"/>
      <c r="X9" s="417"/>
      <c r="Y9" s="417"/>
      <c r="Z9" s="417"/>
      <c r="AA9" s="417"/>
      <c r="AB9" s="417"/>
      <c r="AC9" s="417"/>
      <c r="AD9" s="417"/>
      <c r="AE9" s="417"/>
      <c r="AF9" s="417"/>
      <c r="AG9" s="417"/>
      <c r="AH9" s="417"/>
      <c r="AI9" s="417"/>
      <c r="AJ9" s="417"/>
      <c r="AK9" s="417"/>
      <c r="AL9" s="417"/>
      <c r="AM9" s="417"/>
      <c r="AN9" s="417"/>
      <c r="AO9" s="85"/>
      <c r="AP9" s="85"/>
      <c r="AQ9" s="85"/>
      <c r="AR9" s="85"/>
      <c r="AS9" s="85"/>
      <c r="AT9" s="85"/>
    </row>
    <row r="10" spans="1:46" s="91" customFormat="1" ht="49.5" customHeight="1" thickBot="1" x14ac:dyDescent="0.25">
      <c r="A10" s="418" t="s">
        <v>122</v>
      </c>
      <c r="B10" s="421" t="s">
        <v>5</v>
      </c>
      <c r="C10" s="422"/>
      <c r="D10" s="422"/>
      <c r="E10" s="422"/>
      <c r="F10" s="422"/>
      <c r="G10" s="422"/>
      <c r="H10" s="423"/>
      <c r="I10" s="88" t="n">
        <f>I11+I12</f>
        <v>7.0</v>
      </c>
      <c r="J10" s="89" t="n">
        <f t="shared" ref="J10:AM10" si="1">J11+J12</f>
        <v>53.0</v>
      </c>
      <c r="K10" s="89" t="n">
        <f t="shared" si="1"/>
        <v>7.0</v>
      </c>
      <c r="L10" s="89" t="n">
        <f t="shared" si="1"/>
        <v>12.0</v>
      </c>
      <c r="M10" s="89" t="n">
        <f t="shared" si="1"/>
        <v>9.0</v>
      </c>
      <c r="N10" s="89" t="n">
        <f t="shared" si="1"/>
        <v>8.0</v>
      </c>
      <c r="O10" s="89" t="n">
        <f t="shared" si="1"/>
        <v>12.0</v>
      </c>
      <c r="P10" s="89" t="n">
        <f t="shared" si="1"/>
        <v>0.0</v>
      </c>
      <c r="Q10" s="89" t="n">
        <f t="shared" si="1"/>
        <v>1.0</v>
      </c>
      <c r="R10" s="89" t="n">
        <f t="shared" si="1"/>
        <v>1.0</v>
      </c>
      <c r="S10" s="89" t="n">
        <f t="shared" si="1"/>
        <v>1.0</v>
      </c>
      <c r="T10" s="89" t="n">
        <f t="shared" si="1"/>
        <v>1.0</v>
      </c>
      <c r="U10" s="89" t="n">
        <f t="shared" si="1"/>
        <v>2.0</v>
      </c>
      <c r="V10" s="89" t="n">
        <f t="shared" si="1"/>
        <v>4.0</v>
      </c>
      <c r="W10" s="89" t="n">
        <f t="shared" si="1"/>
        <v>5.0</v>
      </c>
      <c r="X10" s="89" t="n">
        <f t="shared" si="1"/>
        <v>5.0</v>
      </c>
      <c r="Y10" s="89" t="n">
        <f t="shared" si="1"/>
        <v>5.0</v>
      </c>
      <c r="Z10" s="89" t="n">
        <f t="shared" si="1"/>
        <v>4.0</v>
      </c>
      <c r="AA10" s="89" t="n">
        <f t="shared" si="1"/>
        <v>7.0</v>
      </c>
      <c r="AB10" s="89" t="n">
        <f t="shared" si="1"/>
        <v>7.0</v>
      </c>
      <c r="AC10" s="89" t="n">
        <f t="shared" si="1"/>
        <v>8.0</v>
      </c>
      <c r="AD10" s="89" t="n">
        <f t="shared" si="1"/>
        <v>8.0</v>
      </c>
      <c r="AE10" s="89" t="n">
        <f t="shared" si="1"/>
        <v>9.0</v>
      </c>
      <c r="AF10" s="89" t="n">
        <f t="shared" si="1"/>
        <v>8.0</v>
      </c>
      <c r="AG10" s="89" t="n">
        <f t="shared" si="1"/>
        <v>8.0</v>
      </c>
      <c r="AH10" s="89" t="n">
        <f t="shared" si="1"/>
        <v>7.0</v>
      </c>
      <c r="AI10" s="89" t="n">
        <f t="shared" si="1"/>
        <v>2.0</v>
      </c>
      <c r="AJ10" s="89" t="n">
        <f t="shared" si="1"/>
        <v>1.0</v>
      </c>
      <c r="AK10" s="89" t="n">
        <f t="shared" si="1"/>
        <v>1.0</v>
      </c>
      <c r="AL10" s="89" t="n">
        <f t="shared" si="1"/>
        <v>2.0</v>
      </c>
      <c r="AM10" s="89" t="n">
        <f t="shared" si="1"/>
        <v>0.0</v>
      </c>
      <c r="AN10" s="90" t="n">
        <f>SUM(I10:AM10)</f>
        <v>205.0</v>
      </c>
      <c r="AO10" s="2"/>
      <c r="AP10" s="2"/>
      <c r="AQ10" s="2"/>
      <c r="AR10" s="2"/>
      <c r="AS10" s="2"/>
      <c r="AT10" s="2"/>
    </row>
    <row r="11" spans="1:46" s="91" customFormat="1" ht="49.5" customHeight="1" x14ac:dyDescent="0.2">
      <c r="A11" s="419"/>
      <c r="B11" s="424" t="s">
        <v>6</v>
      </c>
      <c r="C11" s="425"/>
      <c r="D11" s="425"/>
      <c r="E11" s="425"/>
      <c r="F11" s="425"/>
      <c r="G11" s="425"/>
      <c r="H11" s="425"/>
      <c r="I11" s="92" t="n">
        <v>5.0</v>
      </c>
      <c r="J11" s="92" t="n">
        <v>7.0</v>
      </c>
      <c r="K11" s="92" t="n">
        <v>4.0</v>
      </c>
      <c r="L11" s="92" t="n">
        <v>8.0</v>
      </c>
      <c r="M11" s="92" t="n">
        <v>4.0</v>
      </c>
      <c r="N11" s="92" t="n">
        <v>2.0</v>
      </c>
      <c r="O11" s="92" t="n">
        <v>6.0</v>
      </c>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3" t="n">
        <f>SUM(I11:AM11)</f>
        <v>36.0</v>
      </c>
      <c r="AO11" s="2"/>
      <c r="AP11" s="2"/>
      <c r="AQ11" s="2"/>
      <c r="AR11" s="2"/>
      <c r="AS11" s="2"/>
      <c r="AT11" s="2"/>
    </row>
    <row r="12" spans="1:46" s="91" customFormat="1" ht="49.5" customHeight="1" x14ac:dyDescent="0.2">
      <c r="A12" s="419"/>
      <c r="B12" s="426" t="s">
        <v>7</v>
      </c>
      <c r="C12" s="427"/>
      <c r="D12" s="427"/>
      <c r="E12" s="427"/>
      <c r="F12" s="427"/>
      <c r="G12" s="427"/>
      <c r="H12" s="427"/>
      <c r="I12" s="68" t="n">
        <f>SUM(I3:I8)</f>
        <v>2.0</v>
      </c>
      <c r="J12" s="68" t="n">
        <f t="shared" ref="J12:AM12" si="2">SUM(J3:J8)</f>
        <v>46.0</v>
      </c>
      <c r="K12" s="68" t="n">
        <f>SUM(K3:K8)</f>
        <v>3.0</v>
      </c>
      <c r="L12" s="68" t="n">
        <f t="shared" si="2"/>
        <v>4.0</v>
      </c>
      <c r="M12" s="68" t="n">
        <f t="shared" si="2"/>
        <v>5.0</v>
      </c>
      <c r="N12" s="68" t="n">
        <f t="shared" si="2"/>
        <v>6.0</v>
      </c>
      <c r="O12" s="68" t="n">
        <f t="shared" si="2"/>
        <v>6.0</v>
      </c>
      <c r="P12" s="68" t="n">
        <f t="shared" si="2"/>
        <v>0.0</v>
      </c>
      <c r="Q12" s="68" t="n">
        <f t="shared" si="2"/>
        <v>1.0</v>
      </c>
      <c r="R12" s="68" t="n">
        <f>SUM(R3:R8)</f>
        <v>1.0</v>
      </c>
      <c r="S12" s="68" t="n">
        <f t="shared" si="2"/>
        <v>1.0</v>
      </c>
      <c r="T12" s="68" t="n">
        <f t="shared" si="2"/>
        <v>1.0</v>
      </c>
      <c r="U12" s="68" t="n">
        <f t="shared" si="2"/>
        <v>2.0</v>
      </c>
      <c r="V12" s="68" t="n">
        <f t="shared" si="2"/>
        <v>4.0</v>
      </c>
      <c r="W12" s="68" t="n">
        <f t="shared" si="2"/>
        <v>5.0</v>
      </c>
      <c r="X12" s="68" t="n">
        <f t="shared" si="2"/>
        <v>5.0</v>
      </c>
      <c r="Y12" s="68" t="n">
        <f t="shared" si="2"/>
        <v>5.0</v>
      </c>
      <c r="Z12" s="68" t="n">
        <f t="shared" si="2"/>
        <v>4.0</v>
      </c>
      <c r="AA12" s="68" t="n">
        <f t="shared" si="2"/>
        <v>7.0</v>
      </c>
      <c r="AB12" s="68" t="n">
        <f t="shared" si="2"/>
        <v>7.0</v>
      </c>
      <c r="AC12" s="68" t="n">
        <f t="shared" si="2"/>
        <v>8.0</v>
      </c>
      <c r="AD12" s="68" t="n">
        <f t="shared" si="2"/>
        <v>8.0</v>
      </c>
      <c r="AE12" s="68" t="n">
        <f t="shared" si="2"/>
        <v>9.0</v>
      </c>
      <c r="AF12" s="68" t="n">
        <f t="shared" si="2"/>
        <v>8.0</v>
      </c>
      <c r="AG12" s="68" t="n">
        <f t="shared" si="2"/>
        <v>8.0</v>
      </c>
      <c r="AH12" s="68" t="n">
        <f t="shared" si="2"/>
        <v>7.0</v>
      </c>
      <c r="AI12" s="68" t="n">
        <f t="shared" si="2"/>
        <v>2.0</v>
      </c>
      <c r="AJ12" s="68" t="n">
        <f t="shared" si="2"/>
        <v>1.0</v>
      </c>
      <c r="AK12" s="68" t="n">
        <f t="shared" si="2"/>
        <v>1.0</v>
      </c>
      <c r="AL12" s="68" t="n">
        <f t="shared" si="2"/>
        <v>2.0</v>
      </c>
      <c r="AM12" s="68" t="n">
        <f t="shared" si="2"/>
        <v>0.0</v>
      </c>
      <c r="AN12" s="94" t="n">
        <f>SUM(I12:AM12)</f>
        <v>169.0</v>
      </c>
      <c r="AO12" s="2"/>
      <c r="AP12" s="2"/>
      <c r="AQ12" s="2"/>
      <c r="AR12" s="2"/>
      <c r="AS12" s="2"/>
      <c r="AT12" s="2"/>
    </row>
    <row r="13" spans="1:46" s="91" customFormat="1" ht="49.5" customHeight="1" thickBot="1" x14ac:dyDescent="0.25">
      <c r="A13" s="420"/>
      <c r="B13" s="428" t="s">
        <v>9</v>
      </c>
      <c r="C13" s="429"/>
      <c r="D13" s="429"/>
      <c r="E13" s="429"/>
      <c r="F13" s="429"/>
      <c r="G13" s="429"/>
      <c r="H13" s="429"/>
      <c r="I13" s="95" t="n">
        <f>(I12-I15)*100/I10</f>
        <v>-71.42857142857143</v>
      </c>
      <c r="J13" s="95" t="n">
        <f t="shared" ref="J13:AM13" si="3">(J12-J15)*100/J10</f>
        <v>75.47169811320755</v>
      </c>
      <c r="K13" s="95" t="n">
        <f t="shared" si="3"/>
        <v>-14.285714285714286</v>
      </c>
      <c r="L13" s="95" t="n">
        <f t="shared" si="3"/>
        <v>-41.666666666666664</v>
      </c>
      <c r="M13" s="95" t="n">
        <f t="shared" si="3"/>
        <v>0.0</v>
      </c>
      <c r="N13" s="95" t="n">
        <f t="shared" si="3"/>
        <v>12.5</v>
      </c>
      <c r="O13" s="95" t="n">
        <f t="shared" si="3"/>
        <v>50.0</v>
      </c>
      <c r="P13" s="95" t="e">
        <f t="shared" si="3"/>
        <v>#DIV/0!</v>
      </c>
      <c r="Q13" s="95" t="n">
        <f t="shared" si="3"/>
        <v>100.0</v>
      </c>
      <c r="R13" s="95" t="n">
        <f t="shared" si="3"/>
        <v>100.0</v>
      </c>
      <c r="S13" s="95" t="n">
        <f t="shared" si="3"/>
        <v>100.0</v>
      </c>
      <c r="T13" s="95" t="n">
        <f t="shared" si="3"/>
        <v>100.0</v>
      </c>
      <c r="U13" s="95" t="n">
        <f t="shared" si="3"/>
        <v>100.0</v>
      </c>
      <c r="V13" s="95" t="n">
        <f t="shared" si="3"/>
        <v>100.0</v>
      </c>
      <c r="W13" s="95" t="n">
        <f t="shared" si="3"/>
        <v>100.0</v>
      </c>
      <c r="X13" s="95" t="n">
        <f t="shared" si="3"/>
        <v>100.0</v>
      </c>
      <c r="Y13" s="95" t="n">
        <f t="shared" si="3"/>
        <v>100.0</v>
      </c>
      <c r="Z13" s="95" t="n">
        <f t="shared" si="3"/>
        <v>100.0</v>
      </c>
      <c r="AA13" s="95" t="n">
        <f t="shared" si="3"/>
        <v>100.0</v>
      </c>
      <c r="AB13" s="95" t="n">
        <f t="shared" si="3"/>
        <v>100.0</v>
      </c>
      <c r="AC13" s="95" t="n">
        <f t="shared" si="3"/>
        <v>100.0</v>
      </c>
      <c r="AD13" s="95" t="n">
        <f t="shared" si="3"/>
        <v>100.0</v>
      </c>
      <c r="AE13" s="95" t="n">
        <f t="shared" si="3"/>
        <v>100.0</v>
      </c>
      <c r="AF13" s="95" t="n">
        <f t="shared" si="3"/>
        <v>100.0</v>
      </c>
      <c r="AG13" s="95" t="n">
        <f t="shared" si="3"/>
        <v>100.0</v>
      </c>
      <c r="AH13" s="95" t="n">
        <f t="shared" si="3"/>
        <v>100.0</v>
      </c>
      <c r="AI13" s="95" t="n">
        <f t="shared" si="3"/>
        <v>100.0</v>
      </c>
      <c r="AJ13" s="95" t="n">
        <f t="shared" si="3"/>
        <v>100.0</v>
      </c>
      <c r="AK13" s="95" t="n">
        <f t="shared" si="3"/>
        <v>100.0</v>
      </c>
      <c r="AL13" s="95" t="n">
        <f t="shared" si="3"/>
        <v>100.0</v>
      </c>
      <c r="AM13" s="95" t="e">
        <f t="shared" si="3"/>
        <v>#DIV/0!</v>
      </c>
      <c r="AN13" s="96" t="n">
        <f>(AN12-AN15)*100/AN10</f>
        <v>64.8780487804878</v>
      </c>
      <c r="AO13" s="2"/>
      <c r="AP13" s="2"/>
      <c r="AQ13" s="2"/>
      <c r="AR13" s="2"/>
      <c r="AS13" s="2"/>
      <c r="AT13" s="2"/>
    </row>
    <row r="14" spans="1:46" s="101" customFormat="1" ht="30.75" customHeight="1" thickBot="1" x14ac:dyDescent="0.25">
      <c r="A14" s="97"/>
      <c r="B14" s="98"/>
      <c r="C14" s="98"/>
      <c r="D14" s="98"/>
      <c r="E14" s="98"/>
      <c r="F14" s="98"/>
      <c r="G14" s="98"/>
      <c r="H14" s="98"/>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c r="AI14" s="99"/>
      <c r="AJ14" s="99"/>
      <c r="AK14" s="99"/>
      <c r="AL14" s="99"/>
      <c r="AM14" s="99"/>
      <c r="AN14" s="99"/>
      <c r="AO14" s="100"/>
      <c r="AP14" s="100"/>
      <c r="AQ14" s="100"/>
      <c r="AR14" s="100"/>
      <c r="AS14" s="100"/>
      <c r="AT14" s="100"/>
    </row>
    <row r="15" spans="1:46" s="91" customFormat="1" ht="78" customHeight="1" x14ac:dyDescent="0.2">
      <c r="A15" s="412" t="s">
        <v>123</v>
      </c>
      <c r="B15" s="414" t="s">
        <v>8</v>
      </c>
      <c r="C15" s="415"/>
      <c r="D15" s="415"/>
      <c r="E15" s="415"/>
      <c r="F15" s="415"/>
      <c r="G15" s="415"/>
      <c r="H15" s="416"/>
      <c r="I15" s="102" t="n">
        <v>7.0</v>
      </c>
      <c r="J15" s="103" t="n">
        <v>6.0</v>
      </c>
      <c r="K15" s="103" t="n">
        <v>4.0</v>
      </c>
      <c r="L15" s="103" t="n">
        <v>9.0</v>
      </c>
      <c r="M15" s="103" t="n">
        <v>5.0</v>
      </c>
      <c r="N15" s="103" t="n">
        <v>5.0</v>
      </c>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4" t="n">
        <f>SUM(I15:AM15)</f>
        <v>36.0</v>
      </c>
      <c r="AO15" s="2"/>
      <c r="AP15" s="2"/>
      <c r="AQ15" s="2"/>
      <c r="AR15" s="2"/>
      <c r="AS15" s="2"/>
      <c r="AT15" s="2"/>
    </row>
    <row r="16" spans="1:46" s="91" customFormat="1" ht="78" customHeight="1" thickBot="1" x14ac:dyDescent="0.25">
      <c r="A16" s="413"/>
      <c r="B16" s="444" t="s">
        <v>10</v>
      </c>
      <c r="C16" s="445"/>
      <c r="D16" s="445"/>
      <c r="E16" s="445"/>
      <c r="F16" s="445"/>
      <c r="G16" s="445"/>
      <c r="H16" s="446"/>
      <c r="I16" s="105" t="n">
        <f>I15*100/I10</f>
        <v>100.0</v>
      </c>
      <c r="J16" s="106" t="n">
        <f>J15*100/J10</f>
        <v>11.320754716981131</v>
      </c>
      <c r="K16" s="106" t="n">
        <f>K15*100/K10</f>
        <v>57.142857142857146</v>
      </c>
      <c r="L16" s="106" t="n">
        <f t="shared" ref="L16:AM16" si="4">L15*100/L10</f>
        <v>75.0</v>
      </c>
      <c r="M16" s="106" t="n">
        <f t="shared" si="4"/>
        <v>55.55555555555556</v>
      </c>
      <c r="N16" s="106" t="n">
        <f t="shared" si="4"/>
        <v>62.5</v>
      </c>
      <c r="O16" s="106" t="n">
        <f t="shared" si="4"/>
        <v>0.0</v>
      </c>
      <c r="P16" s="106" t="e">
        <f t="shared" si="4"/>
        <v>#DIV/0!</v>
      </c>
      <c r="Q16" s="106" t="n">
        <f t="shared" si="4"/>
        <v>0.0</v>
      </c>
      <c r="R16" s="106" t="n">
        <f>R15*100/R10</f>
        <v>0.0</v>
      </c>
      <c r="S16" s="106" t="n">
        <f t="shared" si="4"/>
        <v>0.0</v>
      </c>
      <c r="T16" s="106" t="n">
        <f t="shared" si="4"/>
        <v>0.0</v>
      </c>
      <c r="U16" s="106" t="n">
        <f t="shared" si="4"/>
        <v>0.0</v>
      </c>
      <c r="V16" s="106" t="n">
        <f t="shared" si="4"/>
        <v>0.0</v>
      </c>
      <c r="W16" s="106" t="n">
        <f t="shared" si="4"/>
        <v>0.0</v>
      </c>
      <c r="X16" s="106" t="n">
        <f t="shared" si="4"/>
        <v>0.0</v>
      </c>
      <c r="Y16" s="106" t="n">
        <f t="shared" si="4"/>
        <v>0.0</v>
      </c>
      <c r="Z16" s="106" t="n">
        <f t="shared" si="4"/>
        <v>0.0</v>
      </c>
      <c r="AA16" s="106" t="n">
        <f t="shared" si="4"/>
        <v>0.0</v>
      </c>
      <c r="AB16" s="106" t="n">
        <f t="shared" si="4"/>
        <v>0.0</v>
      </c>
      <c r="AC16" s="106" t="n">
        <f t="shared" si="4"/>
        <v>0.0</v>
      </c>
      <c r="AD16" s="106" t="n">
        <f t="shared" si="4"/>
        <v>0.0</v>
      </c>
      <c r="AE16" s="106" t="n">
        <f t="shared" si="4"/>
        <v>0.0</v>
      </c>
      <c r="AF16" s="106" t="n">
        <f t="shared" si="4"/>
        <v>0.0</v>
      </c>
      <c r="AG16" s="106" t="n">
        <f t="shared" si="4"/>
        <v>0.0</v>
      </c>
      <c r="AH16" s="106" t="n">
        <f t="shared" si="4"/>
        <v>0.0</v>
      </c>
      <c r="AI16" s="106" t="n">
        <f t="shared" si="4"/>
        <v>0.0</v>
      </c>
      <c r="AJ16" s="106" t="n">
        <f t="shared" si="4"/>
        <v>0.0</v>
      </c>
      <c r="AK16" s="106" t="n">
        <f t="shared" si="4"/>
        <v>0.0</v>
      </c>
      <c r="AL16" s="106" t="n">
        <f t="shared" si="4"/>
        <v>0.0</v>
      </c>
      <c r="AM16" s="106" t="e">
        <f t="shared" si="4"/>
        <v>#DIV/0!</v>
      </c>
      <c r="AN16" s="107" t="n">
        <f>AN15*100/AN10</f>
        <v>17.5609756097561</v>
      </c>
      <c r="AO16" s="2"/>
      <c r="AP16" s="2"/>
      <c r="AQ16" s="2"/>
      <c r="AR16" s="2"/>
      <c r="AS16" s="2"/>
      <c r="AT16" s="2"/>
    </row>
    <row r="17" spans="1:46" s="91" customFormat="1" ht="30.75" customHeight="1" thickBot="1" x14ac:dyDescent="0.25">
      <c r="A17" s="108"/>
      <c r="B17" s="109"/>
      <c r="C17" s="109"/>
      <c r="D17" s="109"/>
      <c r="E17" s="109"/>
      <c r="F17" s="109"/>
      <c r="G17" s="109"/>
      <c r="H17" s="109"/>
      <c r="I17" s="110"/>
      <c r="J17" s="111"/>
      <c r="K17" s="111"/>
      <c r="L17" s="110"/>
      <c r="M17" s="111"/>
      <c r="N17" s="111"/>
      <c r="O17" s="110"/>
      <c r="P17" s="111"/>
      <c r="Q17" s="110"/>
      <c r="R17" s="110"/>
      <c r="S17" s="111"/>
      <c r="T17" s="111"/>
      <c r="U17" s="110"/>
      <c r="V17" s="111"/>
      <c r="W17" s="110"/>
      <c r="X17" s="110"/>
      <c r="Y17" s="110"/>
      <c r="Z17" s="110"/>
      <c r="AA17" s="111"/>
      <c r="AB17" s="111"/>
      <c r="AC17" s="110"/>
      <c r="AD17" s="110"/>
      <c r="AE17" s="110"/>
      <c r="AF17" s="110"/>
      <c r="AG17" s="110"/>
      <c r="AH17" s="111"/>
      <c r="AI17" s="111"/>
      <c r="AJ17" s="111"/>
      <c r="AK17" s="111"/>
      <c r="AL17" s="111"/>
      <c r="AM17" s="111"/>
      <c r="AN17" s="110"/>
      <c r="AO17" s="2"/>
      <c r="AP17" s="2"/>
      <c r="AQ17" s="2"/>
      <c r="AR17" s="2"/>
      <c r="AS17" s="2"/>
      <c r="AT17" s="2"/>
    </row>
    <row r="18" spans="1:46" s="91" customFormat="1" ht="72" customHeight="1" x14ac:dyDescent="0.2">
      <c r="A18" s="412" t="s">
        <v>124</v>
      </c>
      <c r="B18" s="438" t="s">
        <v>11</v>
      </c>
      <c r="C18" s="439"/>
      <c r="D18" s="439"/>
      <c r="E18" s="439"/>
      <c r="F18" s="439"/>
      <c r="G18" s="439"/>
      <c r="H18" s="440"/>
      <c r="I18" s="112" t="n">
        <f>I12-I15</f>
        <v>-5.0</v>
      </c>
      <c r="J18" s="113" t="n">
        <f>J12-J15</f>
        <v>40.0</v>
      </c>
      <c r="K18" s="113" t="n">
        <f t="shared" ref="K18:AM18" si="5">K12-K15</f>
        <v>-1.0</v>
      </c>
      <c r="L18" s="113" t="n">
        <f t="shared" si="5"/>
        <v>-5.0</v>
      </c>
      <c r="M18" s="113" t="n">
        <f t="shared" si="5"/>
        <v>0.0</v>
      </c>
      <c r="N18" s="113" t="n">
        <f t="shared" si="5"/>
        <v>1.0</v>
      </c>
      <c r="O18" s="113" t="n">
        <f t="shared" si="5"/>
        <v>6.0</v>
      </c>
      <c r="P18" s="113" t="n">
        <f t="shared" si="5"/>
        <v>0.0</v>
      </c>
      <c r="Q18" s="113" t="n">
        <f>Q12-Q15</f>
        <v>1.0</v>
      </c>
      <c r="R18" s="113" t="n">
        <f t="shared" si="5"/>
        <v>1.0</v>
      </c>
      <c r="S18" s="113" t="n">
        <f t="shared" si="5"/>
        <v>1.0</v>
      </c>
      <c r="T18" s="113" t="n">
        <f t="shared" si="5"/>
        <v>1.0</v>
      </c>
      <c r="U18" s="113" t="n">
        <f t="shared" si="5"/>
        <v>2.0</v>
      </c>
      <c r="V18" s="113" t="n">
        <f t="shared" si="5"/>
        <v>4.0</v>
      </c>
      <c r="W18" s="113" t="n">
        <f t="shared" si="5"/>
        <v>5.0</v>
      </c>
      <c r="X18" s="113" t="n">
        <f t="shared" si="5"/>
        <v>5.0</v>
      </c>
      <c r="Y18" s="113" t="n">
        <f t="shared" si="5"/>
        <v>5.0</v>
      </c>
      <c r="Z18" s="113" t="n">
        <f t="shared" si="5"/>
        <v>4.0</v>
      </c>
      <c r="AA18" s="113" t="n">
        <f t="shared" si="5"/>
        <v>7.0</v>
      </c>
      <c r="AB18" s="113" t="n">
        <f t="shared" si="5"/>
        <v>7.0</v>
      </c>
      <c r="AC18" s="113" t="n">
        <f t="shared" si="5"/>
        <v>8.0</v>
      </c>
      <c r="AD18" s="113" t="n">
        <f t="shared" si="5"/>
        <v>8.0</v>
      </c>
      <c r="AE18" s="113" t="n">
        <f t="shared" si="5"/>
        <v>9.0</v>
      </c>
      <c r="AF18" s="113" t="n">
        <f t="shared" si="5"/>
        <v>8.0</v>
      </c>
      <c r="AG18" s="113" t="n">
        <f t="shared" si="5"/>
        <v>8.0</v>
      </c>
      <c r="AH18" s="113" t="n">
        <f>AH12-AH15</f>
        <v>7.0</v>
      </c>
      <c r="AI18" s="113" t="n">
        <f t="shared" si="5"/>
        <v>2.0</v>
      </c>
      <c r="AJ18" s="113" t="n">
        <f t="shared" si="5"/>
        <v>1.0</v>
      </c>
      <c r="AK18" s="113" t="n">
        <f t="shared" si="5"/>
        <v>1.0</v>
      </c>
      <c r="AL18" s="113" t="n">
        <f t="shared" si="5"/>
        <v>2.0</v>
      </c>
      <c r="AM18" s="113" t="n">
        <f t="shared" si="5"/>
        <v>0.0</v>
      </c>
      <c r="AN18" s="114" t="n">
        <f>AN12-AN15</f>
        <v>133.0</v>
      </c>
      <c r="AO18" s="2"/>
      <c r="AP18" s="2"/>
      <c r="AQ18" s="2"/>
      <c r="AR18" s="2"/>
      <c r="AS18" s="2"/>
      <c r="AT18" s="2"/>
    </row>
    <row r="19" spans="1:46" s="91" customFormat="1" ht="72" customHeight="1" thickBot="1" x14ac:dyDescent="0.25">
      <c r="A19" s="413"/>
      <c r="B19" s="441" t="s">
        <v>98</v>
      </c>
      <c r="C19" s="442"/>
      <c r="D19" s="442"/>
      <c r="E19" s="442"/>
      <c r="F19" s="442"/>
      <c r="G19" s="442"/>
      <c r="H19" s="443"/>
      <c r="I19" s="115" t="n">
        <f t="shared" ref="I19:AK19" si="6">SUM(I11+I15)</f>
        <v>12.0</v>
      </c>
      <c r="J19" s="116" t="n">
        <f t="shared" si="6"/>
        <v>13.0</v>
      </c>
      <c r="K19" s="116" t="n">
        <f t="shared" si="6"/>
        <v>8.0</v>
      </c>
      <c r="L19" s="116" t="n">
        <f t="shared" si="6"/>
        <v>17.0</v>
      </c>
      <c r="M19" s="116" t="n">
        <f t="shared" si="6"/>
        <v>9.0</v>
      </c>
      <c r="N19" s="116" t="n">
        <f t="shared" si="6"/>
        <v>7.0</v>
      </c>
      <c r="O19" s="116" t="n">
        <f t="shared" si="6"/>
        <v>6.0</v>
      </c>
      <c r="P19" s="116" t="n">
        <f t="shared" si="6"/>
        <v>0.0</v>
      </c>
      <c r="Q19" s="116" t="n">
        <f>SUM(Q11+Q15)</f>
        <v>0.0</v>
      </c>
      <c r="R19" s="116" t="n">
        <f t="shared" si="6"/>
        <v>0.0</v>
      </c>
      <c r="S19" s="116" t="n">
        <f t="shared" si="6"/>
        <v>0.0</v>
      </c>
      <c r="T19" s="116" t="n">
        <f t="shared" si="6"/>
        <v>0.0</v>
      </c>
      <c r="U19" s="116" t="n">
        <f t="shared" si="6"/>
        <v>0.0</v>
      </c>
      <c r="V19" s="116" t="n">
        <f t="shared" si="6"/>
        <v>0.0</v>
      </c>
      <c r="W19" s="116" t="n">
        <f t="shared" si="6"/>
        <v>0.0</v>
      </c>
      <c r="X19" s="116" t="n">
        <f t="shared" si="6"/>
        <v>0.0</v>
      </c>
      <c r="Y19" s="116" t="n">
        <f t="shared" si="6"/>
        <v>0.0</v>
      </c>
      <c r="Z19" s="116" t="n">
        <f t="shared" si="6"/>
        <v>0.0</v>
      </c>
      <c r="AA19" s="116" t="n">
        <f t="shared" si="6"/>
        <v>0.0</v>
      </c>
      <c r="AB19" s="116" t="n">
        <f t="shared" si="6"/>
        <v>0.0</v>
      </c>
      <c r="AC19" s="116" t="n">
        <f t="shared" si="6"/>
        <v>0.0</v>
      </c>
      <c r="AD19" s="116" t="n">
        <f t="shared" si="6"/>
        <v>0.0</v>
      </c>
      <c r="AE19" s="116" t="n">
        <f t="shared" si="6"/>
        <v>0.0</v>
      </c>
      <c r="AF19" s="116" t="n">
        <f t="shared" si="6"/>
        <v>0.0</v>
      </c>
      <c r="AG19" s="116" t="n">
        <f t="shared" si="6"/>
        <v>0.0</v>
      </c>
      <c r="AH19" s="116" t="n">
        <f t="shared" si="6"/>
        <v>0.0</v>
      </c>
      <c r="AI19" s="116" t="n">
        <f t="shared" si="6"/>
        <v>0.0</v>
      </c>
      <c r="AJ19" s="116" t="n">
        <f t="shared" si="6"/>
        <v>0.0</v>
      </c>
      <c r="AK19" s="116" t="n">
        <f t="shared" si="6"/>
        <v>0.0</v>
      </c>
      <c r="AL19" s="116" t="n">
        <f>SUM(AL11+AL15)</f>
        <v>0.0</v>
      </c>
      <c r="AM19" s="116" t="n">
        <f>SUM(AM11+AM15)</f>
        <v>0.0</v>
      </c>
      <c r="AN19" s="117" t="n">
        <f>SUM(I19:AM19)</f>
        <v>72.0</v>
      </c>
      <c r="AO19" s="2"/>
      <c r="AP19" s="2"/>
      <c r="AQ19" s="2"/>
      <c r="AR19" s="2"/>
      <c r="AS19" s="2"/>
      <c r="AT19" s="2"/>
    </row>
    <row r="20" spans="1:46" ht="12.75" customHeight="1" x14ac:dyDescent="0.2">
      <c r="B20" s="85"/>
      <c r="C20" s="85"/>
      <c r="D20" s="1"/>
      <c r="E20" s="1"/>
      <c r="F20" s="1"/>
      <c r="G20" s="1"/>
      <c r="H20" s="1"/>
      <c r="I20" s="1"/>
      <c r="J20" s="1"/>
      <c r="K20" s="1"/>
      <c r="L20" s="1"/>
      <c r="M20" s="1"/>
      <c r="N20" s="1"/>
      <c r="O20" s="1"/>
      <c r="P20" s="1"/>
      <c r="Q20" s="1"/>
      <c r="R20" s="1"/>
      <c r="S20" s="1"/>
      <c r="T20" s="1"/>
      <c r="U20" s="1"/>
      <c r="V20" s="1"/>
      <c r="W20" s="1"/>
      <c r="X20" s="1"/>
      <c r="Y20" s="1"/>
      <c r="Z20" s="1"/>
      <c r="AA20" s="1"/>
      <c r="AB20" s="85"/>
      <c r="AC20" s="85"/>
      <c r="AD20" s="85"/>
      <c r="AE20" s="85"/>
      <c r="AF20" s="85"/>
      <c r="AG20" s="85"/>
      <c r="AH20" s="85"/>
      <c r="AI20" s="85"/>
      <c r="AJ20" s="85"/>
      <c r="AK20" s="85"/>
      <c r="AL20" s="85"/>
      <c r="AM20" s="85"/>
      <c r="AN20" s="85"/>
      <c r="AO20" s="85"/>
      <c r="AP20" s="85"/>
      <c r="AQ20" s="85"/>
      <c r="AR20" s="85"/>
      <c r="AS20" s="85"/>
      <c r="AT20" s="85"/>
    </row>
    <row r="21" spans="1:46" x14ac:dyDescent="0.2">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85"/>
      <c r="AG21" s="85"/>
      <c r="AH21" s="85"/>
      <c r="AI21" s="85"/>
      <c r="AJ21" s="85"/>
      <c r="AK21" s="85"/>
      <c r="AL21" s="85"/>
      <c r="AM21" s="85"/>
      <c r="AN21" s="85"/>
      <c r="AO21" s="85"/>
      <c r="AP21" s="85"/>
      <c r="AQ21" s="85"/>
      <c r="AR21" s="85"/>
      <c r="AS21" s="85"/>
      <c r="AT21" s="85"/>
    </row>
    <row r="22" spans="1:46" x14ac:dyDescent="0.2">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85"/>
      <c r="AI22" s="85"/>
      <c r="AJ22" s="85"/>
      <c r="AK22" s="85"/>
      <c r="AL22" s="85"/>
      <c r="AM22" s="85"/>
      <c r="AN22" s="85"/>
      <c r="AO22" s="85"/>
      <c r="AP22" s="85"/>
      <c r="AQ22" s="85"/>
      <c r="AR22" s="85"/>
      <c r="AS22" s="85"/>
      <c r="AT22" s="85"/>
    </row>
    <row r="23" spans="1:46" x14ac:dyDescent="0.2">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c r="AL23" s="85"/>
      <c r="AM23" s="85"/>
      <c r="AN23" s="85"/>
      <c r="AO23" s="85"/>
      <c r="AP23" s="85"/>
      <c r="AQ23" s="85"/>
      <c r="AR23" s="85"/>
      <c r="AS23" s="85"/>
      <c r="AT23" s="85"/>
    </row>
    <row r="24" spans="1:46" x14ac:dyDescent="0.2">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row>
    <row r="25" spans="1:46" x14ac:dyDescent="0.2">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row>
    <row r="26" spans="1:46" x14ac:dyDescent="0.2">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row>
    <row r="27" spans="1:46" x14ac:dyDescent="0.2">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row>
    <row r="28" spans="1:46" x14ac:dyDescent="0.2">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row>
    <row r="29" spans="1:46" x14ac:dyDescent="0.2">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row>
    <row r="30" spans="1:46" x14ac:dyDescent="0.2">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row>
    <row r="31" spans="1:46" x14ac:dyDescent="0.2">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row>
    <row r="32" spans="1:46" x14ac:dyDescent="0.2">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row>
    <row r="33" spans="2:46" x14ac:dyDescent="0.2">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row>
    <row r="34" spans="2:46" x14ac:dyDescent="0.2">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row>
    <row r="35" spans="2:46" x14ac:dyDescent="0.2">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row>
    <row r="36" spans="2:46" x14ac:dyDescent="0.2">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row>
    <row r="37" spans="2:46" x14ac:dyDescent="0.2">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85"/>
      <c r="AG37" s="85"/>
      <c r="AH37" s="85"/>
      <c r="AI37" s="85"/>
      <c r="AJ37" s="85"/>
      <c r="AK37" s="85"/>
      <c r="AL37" s="85"/>
      <c r="AM37" s="85"/>
      <c r="AN37" s="85"/>
      <c r="AO37" s="85"/>
      <c r="AP37" s="85"/>
      <c r="AQ37" s="85"/>
      <c r="AR37" s="85"/>
      <c r="AS37" s="85"/>
      <c r="AT37" s="85"/>
    </row>
    <row r="38" spans="2:46" x14ac:dyDescent="0.2">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c r="AL38" s="85"/>
      <c r="AM38" s="85"/>
      <c r="AN38" s="85"/>
      <c r="AO38" s="85"/>
      <c r="AP38" s="85"/>
      <c r="AQ38" s="85"/>
      <c r="AR38" s="85"/>
      <c r="AS38" s="85"/>
      <c r="AT38" s="85"/>
    </row>
    <row r="39" spans="2:46" x14ac:dyDescent="0.2">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85"/>
      <c r="AH39" s="85"/>
      <c r="AI39" s="85"/>
      <c r="AJ39" s="85"/>
      <c r="AK39" s="85"/>
      <c r="AL39" s="85"/>
      <c r="AM39" s="85"/>
      <c r="AN39" s="85"/>
      <c r="AO39" s="85"/>
      <c r="AP39" s="85"/>
      <c r="AQ39" s="85"/>
      <c r="AR39" s="85"/>
      <c r="AS39" s="85"/>
      <c r="AT39" s="85"/>
    </row>
    <row r="40" spans="2:46" x14ac:dyDescent="0.2">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row>
    <row r="41" spans="2:46" x14ac:dyDescent="0.2">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85"/>
      <c r="AH41" s="85"/>
      <c r="AI41" s="85"/>
      <c r="AJ41" s="85"/>
      <c r="AK41" s="85"/>
      <c r="AL41" s="85"/>
      <c r="AM41" s="85"/>
      <c r="AN41" s="85"/>
      <c r="AO41" s="85"/>
      <c r="AP41" s="85"/>
      <c r="AQ41" s="85"/>
      <c r="AR41" s="85"/>
      <c r="AS41" s="85"/>
      <c r="AT41" s="85"/>
    </row>
    <row r="42" spans="2:46" x14ac:dyDescent="0.2">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row>
    <row r="43" spans="2:46" x14ac:dyDescent="0.2">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c r="AL43" s="85"/>
      <c r="AM43" s="85"/>
      <c r="AN43" s="85"/>
      <c r="AO43" s="85"/>
      <c r="AP43" s="85"/>
      <c r="AQ43" s="85"/>
      <c r="AR43" s="85"/>
      <c r="AS43" s="85"/>
      <c r="AT43" s="85"/>
    </row>
    <row r="44" spans="2:46" x14ac:dyDescent="0.2">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85"/>
      <c r="AG44" s="85"/>
      <c r="AH44" s="85"/>
      <c r="AI44" s="85"/>
      <c r="AJ44" s="85"/>
      <c r="AK44" s="85"/>
      <c r="AL44" s="85"/>
      <c r="AM44" s="85"/>
      <c r="AN44" s="85"/>
      <c r="AO44" s="85"/>
      <c r="AP44" s="85"/>
      <c r="AQ44" s="85"/>
      <c r="AR44" s="85"/>
      <c r="AS44" s="85"/>
      <c r="AT44" s="85"/>
    </row>
    <row r="45" spans="2:46" x14ac:dyDescent="0.2">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row>
    <row r="46" spans="2:46" x14ac:dyDescent="0.2">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85"/>
      <c r="AG46" s="85"/>
      <c r="AH46" s="85"/>
      <c r="AI46" s="85"/>
      <c r="AJ46" s="85"/>
      <c r="AK46" s="85"/>
      <c r="AL46" s="85"/>
      <c r="AM46" s="85"/>
      <c r="AN46" s="85"/>
      <c r="AO46" s="85"/>
      <c r="AP46" s="85"/>
      <c r="AQ46" s="85"/>
      <c r="AR46" s="85"/>
      <c r="AS46" s="85"/>
      <c r="AT46" s="85"/>
    </row>
  </sheetData>
  <sheetProtection selectLockedCells="1" selectUnlockedCells="1"/>
  <mergeCells count="24">
    <mergeCell ref="A18:A19"/>
    <mergeCell ref="B9:H9"/>
    <mergeCell ref="B1:H1"/>
    <mergeCell ref="I1:AI1"/>
    <mergeCell ref="AJ1:AN1"/>
    <mergeCell ref="B2:H2"/>
    <mergeCell ref="A3:A8"/>
    <mergeCell ref="B3:H3"/>
    <mergeCell ref="B4:H4"/>
    <mergeCell ref="B5:H5"/>
    <mergeCell ref="B6:H6"/>
    <mergeCell ref="B7:H7"/>
    <mergeCell ref="B8:H8"/>
    <mergeCell ref="B18:H18"/>
    <mergeCell ref="B19:H19"/>
    <mergeCell ref="B16:H16"/>
    <mergeCell ref="A15:A16"/>
    <mergeCell ref="B15:H15"/>
    <mergeCell ref="I9:AN9"/>
    <mergeCell ref="A10:A13"/>
    <mergeCell ref="B10:H10"/>
    <mergeCell ref="B11:H11"/>
    <mergeCell ref="B12:H12"/>
    <mergeCell ref="B13:H13"/>
  </mergeCells>
  <phoneticPr fontId="2" type="noConversion"/>
  <conditionalFormatting sqref="I16:AN17">
    <cfRule type="cellIs" dxfId="5" priority="2" stopIfTrue="1" operator="notEqual">
      <formula>0</formula>
    </cfRule>
  </conditionalFormatting>
  <conditionalFormatting sqref="I18:AN18">
    <cfRule type="cellIs" dxfId="4" priority="3" stopIfTrue="1" operator="notEqual">
      <formula>0</formula>
    </cfRule>
  </conditionalFormatting>
  <conditionalFormatting sqref="I14:AN14 I11:AN12">
    <cfRule type="cellIs" dxfId="3" priority="4" stopIfTrue="1" operator="equal">
      <formula>0</formula>
    </cfRule>
  </conditionalFormatting>
  <conditionalFormatting sqref="I15:AN15">
    <cfRule type="cellIs" dxfId="2" priority="5" stopIfTrue="1" operator="equal">
      <formula>0</formula>
    </cfRule>
  </conditionalFormatting>
  <conditionalFormatting sqref="I19:AN19">
    <cfRule type="cellIs" dxfId="1" priority="6" stopIfTrue="1" operator="equal">
      <formula>0</formula>
    </cfRule>
  </conditionalFormatting>
  <conditionalFormatting sqref="I13:AN13">
    <cfRule type="cellIs" dxfId="0" priority="1" stopIfTrue="1" operator="not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CDATA[&C&26&P de &N&R&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2"/>
  <sheetViews>
    <sheetView showGridLines="0" zoomScaleNormal="100" workbookViewId="0">
      <selection activeCell="H43" sqref="H43"/>
    </sheetView>
  </sheetViews>
  <sheetFormatPr baseColWidth="10" defaultRowHeight="12.75" x14ac:dyDescent="0.2"/>
  <sheetData>
    <row r="1" spans="1:14" ht="76.5" customHeight="1" x14ac:dyDescent="0.2">
      <c r="A1" s="256"/>
      <c r="B1" s="256"/>
      <c r="C1" s="396" t="s">
        <v>90</v>
      </c>
      <c r="D1" s="396"/>
      <c r="E1" s="396"/>
      <c r="F1" s="396"/>
      <c r="G1" s="396"/>
      <c r="H1" s="396"/>
      <c r="I1" s="396"/>
      <c r="J1" s="255" t="s">
        <v>99</v>
      </c>
      <c r="K1" s="256"/>
    </row>
    <row r="2" spans="1:14" x14ac:dyDescent="0.2">
      <c r="A2" s="381"/>
      <c r="B2" s="382"/>
      <c r="C2" s="382"/>
      <c r="D2" s="382"/>
      <c r="E2" s="382"/>
      <c r="F2" s="382"/>
      <c r="G2" s="382"/>
      <c r="H2" s="382"/>
      <c r="I2" s="382"/>
      <c r="J2" s="382"/>
      <c r="K2" s="395"/>
    </row>
    <row r="3" spans="1:14" x14ac:dyDescent="0.2">
      <c r="A3" s="383"/>
      <c r="B3" s="384"/>
      <c r="C3" s="384"/>
      <c r="D3" s="384"/>
      <c r="E3" s="384"/>
      <c r="F3" s="384"/>
      <c r="G3" s="384"/>
      <c r="H3" s="384"/>
      <c r="I3" s="384"/>
      <c r="J3" s="384"/>
      <c r="K3" s="447"/>
    </row>
    <row r="4" spans="1:14" x14ac:dyDescent="0.2">
      <c r="A4" s="383"/>
      <c r="B4" s="384"/>
      <c r="C4" s="384"/>
      <c r="D4" s="384"/>
      <c r="E4" s="384"/>
      <c r="F4" s="384"/>
      <c r="G4" s="384"/>
      <c r="H4" s="384"/>
      <c r="I4" s="384"/>
      <c r="J4" s="384"/>
      <c r="K4" s="447"/>
    </row>
    <row r="5" spans="1:14" x14ac:dyDescent="0.2">
      <c r="A5" s="383"/>
      <c r="B5" s="384"/>
      <c r="C5" s="384"/>
      <c r="D5" s="384"/>
      <c r="E5" s="384"/>
      <c r="F5" s="384"/>
      <c r="G5" s="384"/>
      <c r="H5" s="384"/>
      <c r="I5" s="384"/>
      <c r="J5" s="384"/>
      <c r="K5" s="447"/>
      <c r="N5" s="5"/>
    </row>
    <row r="6" spans="1:14" x14ac:dyDescent="0.2">
      <c r="A6" s="383"/>
      <c r="B6" s="384"/>
      <c r="C6" s="384"/>
      <c r="D6" s="384"/>
      <c r="E6" s="384"/>
      <c r="F6" s="384"/>
      <c r="G6" s="384"/>
      <c r="H6" s="384"/>
      <c r="I6" s="384"/>
      <c r="J6" s="384"/>
      <c r="K6" s="447"/>
    </row>
    <row r="7" spans="1:14" x14ac:dyDescent="0.2">
      <c r="A7" s="383"/>
      <c r="B7" s="384"/>
      <c r="C7" s="384"/>
      <c r="D7" s="384"/>
      <c r="E7" s="384"/>
      <c r="F7" s="384"/>
      <c r="G7" s="384"/>
      <c r="H7" s="384"/>
      <c r="I7" s="384"/>
      <c r="J7" s="384"/>
      <c r="K7" s="447"/>
    </row>
    <row r="8" spans="1:14" x14ac:dyDescent="0.2">
      <c r="A8" s="383"/>
      <c r="B8" s="384"/>
      <c r="C8" s="384"/>
      <c r="D8" s="384"/>
      <c r="E8" s="384"/>
      <c r="F8" s="384"/>
      <c r="G8" s="384"/>
      <c r="H8" s="384"/>
      <c r="I8" s="384"/>
      <c r="J8" s="384"/>
      <c r="K8" s="447"/>
    </row>
    <row r="9" spans="1:14" x14ac:dyDescent="0.2">
      <c r="A9" s="383"/>
      <c r="B9" s="384"/>
      <c r="C9" s="384"/>
      <c r="D9" s="384"/>
      <c r="E9" s="384"/>
      <c r="F9" s="384"/>
      <c r="G9" s="384"/>
      <c r="H9" s="384"/>
      <c r="I9" s="384"/>
      <c r="J9" s="384"/>
      <c r="K9" s="447"/>
    </row>
    <row r="10" spans="1:14" x14ac:dyDescent="0.2">
      <c r="A10" s="383"/>
      <c r="B10" s="384"/>
      <c r="C10" s="384"/>
      <c r="D10" s="384"/>
      <c r="E10" s="384"/>
      <c r="F10" s="384"/>
      <c r="G10" s="384"/>
      <c r="H10" s="384"/>
      <c r="I10" s="384"/>
      <c r="J10" s="384"/>
      <c r="K10" s="447"/>
    </row>
    <row r="11" spans="1:14" x14ac:dyDescent="0.2">
      <c r="A11" s="383"/>
      <c r="B11" s="384"/>
      <c r="C11" s="384"/>
      <c r="D11" s="384"/>
      <c r="E11" s="384"/>
      <c r="F11" s="384"/>
      <c r="G11" s="384"/>
      <c r="H11" s="384"/>
      <c r="I11" s="384"/>
      <c r="J11" s="384"/>
      <c r="K11" s="447"/>
    </row>
    <row r="12" spans="1:14" x14ac:dyDescent="0.2">
      <c r="A12" s="383"/>
      <c r="B12" s="384"/>
      <c r="C12" s="384"/>
      <c r="D12" s="384"/>
      <c r="E12" s="384"/>
      <c r="F12" s="384"/>
      <c r="G12" s="384"/>
      <c r="H12" s="384"/>
      <c r="I12" s="384"/>
      <c r="J12" s="384"/>
      <c r="K12" s="447"/>
    </row>
    <row r="13" spans="1:14" x14ac:dyDescent="0.2">
      <c r="A13" s="383"/>
      <c r="B13" s="384"/>
      <c r="C13" s="384"/>
      <c r="D13" s="384"/>
      <c r="E13" s="384"/>
      <c r="F13" s="384"/>
      <c r="G13" s="384"/>
      <c r="H13" s="384"/>
      <c r="I13" s="384"/>
      <c r="J13" s="384"/>
      <c r="K13" s="447"/>
    </row>
    <row r="14" spans="1:14" x14ac:dyDescent="0.2">
      <c r="A14" s="383"/>
      <c r="B14" s="384"/>
      <c r="C14" s="384"/>
      <c r="D14" s="384"/>
      <c r="E14" s="384"/>
      <c r="F14" s="384"/>
      <c r="G14" s="384"/>
      <c r="H14" s="384"/>
      <c r="I14" s="384"/>
      <c r="J14" s="384"/>
      <c r="K14" s="447"/>
    </row>
    <row r="15" spans="1:14" x14ac:dyDescent="0.2">
      <c r="A15" s="383"/>
      <c r="B15" s="384"/>
      <c r="C15" s="384"/>
      <c r="D15" s="384"/>
      <c r="E15" s="384"/>
      <c r="F15" s="384"/>
      <c r="G15" s="384"/>
      <c r="H15" s="384"/>
      <c r="I15" s="384"/>
      <c r="J15" s="384"/>
      <c r="K15" s="447"/>
    </row>
    <row r="16" spans="1:14" x14ac:dyDescent="0.2">
      <c r="A16" s="383"/>
      <c r="B16" s="384"/>
      <c r="C16" s="384"/>
      <c r="D16" s="384"/>
      <c r="E16" s="384"/>
      <c r="F16" s="384"/>
      <c r="G16" s="384"/>
      <c r="H16" s="384"/>
      <c r="I16" s="384"/>
      <c r="J16" s="384"/>
      <c r="K16" s="447"/>
    </row>
    <row r="17" spans="1:11" x14ac:dyDescent="0.2">
      <c r="A17" s="383"/>
      <c r="B17" s="384"/>
      <c r="C17" s="384"/>
      <c r="D17" s="384"/>
      <c r="E17" s="384"/>
      <c r="F17" s="384"/>
      <c r="G17" s="384"/>
      <c r="H17" s="384"/>
      <c r="I17" s="384"/>
      <c r="J17" s="384"/>
      <c r="K17" s="447"/>
    </row>
    <row r="18" spans="1:11" x14ac:dyDescent="0.2">
      <c r="A18" s="383"/>
      <c r="B18" s="384"/>
      <c r="C18" s="384"/>
      <c r="D18" s="384"/>
      <c r="E18" s="384"/>
      <c r="F18" s="384"/>
      <c r="G18" s="384"/>
      <c r="H18" s="384"/>
      <c r="I18" s="384"/>
      <c r="J18" s="384"/>
      <c r="K18" s="447"/>
    </row>
    <row r="19" spans="1:11" x14ac:dyDescent="0.2">
      <c r="A19" s="383"/>
      <c r="B19" s="384"/>
      <c r="C19" s="384"/>
      <c r="D19" s="384"/>
      <c r="E19" s="384"/>
      <c r="F19" s="384"/>
      <c r="G19" s="384"/>
      <c r="H19" s="384"/>
      <c r="I19" s="384"/>
      <c r="J19" s="384"/>
      <c r="K19" s="447"/>
    </row>
    <row r="20" spans="1:11" x14ac:dyDescent="0.2">
      <c r="A20" s="383"/>
      <c r="B20" s="384"/>
      <c r="C20" s="384"/>
      <c r="D20" s="384"/>
      <c r="E20" s="384"/>
      <c r="F20" s="384"/>
      <c r="G20" s="384"/>
      <c r="H20" s="384"/>
      <c r="I20" s="384"/>
      <c r="J20" s="384"/>
      <c r="K20" s="447"/>
    </row>
    <row r="21" spans="1:11" x14ac:dyDescent="0.2">
      <c r="A21" s="383"/>
      <c r="B21" s="384"/>
      <c r="C21" s="384"/>
      <c r="D21" s="384"/>
      <c r="E21" s="384"/>
      <c r="F21" s="384"/>
      <c r="G21" s="384"/>
      <c r="H21" s="384"/>
      <c r="I21" s="384"/>
      <c r="J21" s="384"/>
      <c r="K21" s="447"/>
    </row>
    <row r="22" spans="1:11" x14ac:dyDescent="0.2">
      <c r="A22" s="383"/>
      <c r="B22" s="384"/>
      <c r="C22" s="384"/>
      <c r="D22" s="384"/>
      <c r="E22" s="384"/>
      <c r="F22" s="384"/>
      <c r="G22" s="384"/>
      <c r="H22" s="384"/>
      <c r="I22" s="384"/>
      <c r="J22" s="384"/>
      <c r="K22" s="447"/>
    </row>
    <row r="23" spans="1:11" x14ac:dyDescent="0.2">
      <c r="A23" s="383"/>
      <c r="B23" s="384"/>
      <c r="C23" s="384"/>
      <c r="D23" s="384"/>
      <c r="E23" s="384"/>
      <c r="F23" s="384"/>
      <c r="G23" s="384"/>
      <c r="H23" s="384"/>
      <c r="I23" s="384"/>
      <c r="J23" s="384"/>
      <c r="K23" s="447"/>
    </row>
    <row r="24" spans="1:11" x14ac:dyDescent="0.2">
      <c r="A24" s="385"/>
      <c r="B24" s="386"/>
      <c r="C24" s="386"/>
      <c r="D24" s="386"/>
      <c r="E24" s="386"/>
      <c r="F24" s="386"/>
      <c r="G24" s="386"/>
      <c r="H24" s="386"/>
      <c r="I24" s="386"/>
      <c r="J24" s="386"/>
      <c r="K24" s="448"/>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horizontalDpi="200" verticalDpi="200"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0"/>
  <sheetViews>
    <sheetView workbookViewId="0">
      <selection activeCell="N12" sqref="N12"/>
    </sheetView>
  </sheetViews>
  <sheetFormatPr baseColWidth="10" defaultRowHeight="12.75" x14ac:dyDescent="0.2"/>
  <cols>
    <col min="1" max="1" customWidth="true" width="11.42578125" collapsed="true"/>
    <col min="2" max="2" bestFit="true" customWidth="true" width="13.5703125" collapsed="true"/>
    <col min="3" max="3" customWidth="true" width="15.5703125" collapsed="true"/>
    <col min="4" max="4" customWidth="true" width="9.28515625" collapsed="true"/>
    <col min="5" max="8" customWidth="true" width="13.5703125" collapsed="true"/>
  </cols>
  <sheetData>
    <row r="1" spans="1:8" ht="67.5" customHeight="1" x14ac:dyDescent="0.2">
      <c r="A1" s="449"/>
      <c r="B1" s="450"/>
      <c r="C1" s="451" t="s">
        <v>132</v>
      </c>
      <c r="D1" s="452"/>
      <c r="E1" s="452"/>
      <c r="F1" s="453"/>
      <c r="G1" s="454" t="s">
        <v>133</v>
      </c>
      <c r="H1" s="455"/>
    </row>
    <row r="2" spans="1:8" ht="15" customHeight="1" x14ac:dyDescent="0.2">
      <c r="A2" s="118" t="s">
        <v>13</v>
      </c>
      <c r="B2" s="118" t="s">
        <v>134</v>
      </c>
      <c r="C2" s="118" t="s">
        <v>135</v>
      </c>
      <c r="D2" s="118" t="s">
        <v>136</v>
      </c>
      <c r="E2" s="119" t="s">
        <v>137</v>
      </c>
      <c r="F2" s="120" t="s">
        <v>138</v>
      </c>
      <c r="G2" s="121" t="s">
        <v>139</v>
      </c>
      <c r="H2" s="121" t="s">
        <v>140</v>
      </c>
    </row>
    <row r="3" spans="1:8" ht="15" customHeight="1" x14ac:dyDescent="0.2">
      <c r="A3" s="122"/>
      <c r="B3" s="123"/>
      <c r="C3" s="124"/>
      <c r="D3" s="125"/>
      <c r="E3" s="126" t="n">
        <f>SUM(E4:E160)</f>
        <v>17.0</v>
      </c>
      <c r="F3" s="127" t="n">
        <f>SUM(F4:F160)</f>
        <v>14.0</v>
      </c>
      <c r="G3" s="128" t="n">
        <f>SUM(G4:G160)</f>
        <v>12.0</v>
      </c>
      <c r="H3" s="128" t="n">
        <f>SUM(E3:G3)</f>
        <v>43.0</v>
      </c>
    </row>
    <row r="4" spans="1:8" ht="15" customHeight="1" x14ac:dyDescent="0.2">
      <c r="A4" s="129" t="s">
        <v>236</v>
      </c>
      <c r="B4" s="129" t="s">
        <v>237</v>
      </c>
      <c r="C4" s="129" t="s">
        <v>238</v>
      </c>
      <c r="D4" s="129" t="s">
        <v>239</v>
      </c>
      <c r="E4" s="130" t="n">
        <v>8.0</v>
      </c>
      <c r="F4" s="130" t="n">
        <v>7.0</v>
      </c>
      <c r="G4" s="130" t="n">
        <v>6.0</v>
      </c>
      <c r="H4" s="130"/>
    </row>
    <row r="5" spans="1:8" ht="15" customHeight="1" x14ac:dyDescent="0.2">
      <c r="A5" s="130" t="s">
        <v>240</v>
      </c>
      <c r="B5" s="130" t="s">
        <v>239</v>
      </c>
      <c r="C5" s="130" t="s">
        <v>239</v>
      </c>
      <c r="D5" s="130" t="s">
        <v>241</v>
      </c>
      <c r="E5" s="130" t="n">
        <v>5.0</v>
      </c>
      <c r="F5" s="130" t="n">
        <v>4.0</v>
      </c>
      <c r="G5" s="130" t="n">
        <v>2.0</v>
      </c>
      <c r="H5" s="130"/>
    </row>
    <row r="6" spans="1:8" ht="15" customHeight="1" x14ac:dyDescent="0.2">
      <c r="A6" s="130" t="s">
        <v>242</v>
      </c>
      <c r="B6" s="130" t="s">
        <v>243</v>
      </c>
      <c r="C6" s="130" t="s">
        <v>239</v>
      </c>
      <c r="D6" s="130" t="s">
        <v>244</v>
      </c>
      <c r="E6" s="130" t="n">
        <v>4.0</v>
      </c>
      <c r="F6" s="130" t="n">
        <v>3.0</v>
      </c>
      <c r="G6" s="130" t="n">
        <v>4.0</v>
      </c>
      <c r="H6" s="130"/>
    </row>
    <row r="7" spans="1:8" ht="15" customHeight="1" x14ac:dyDescent="0.2">
      <c r="A7" s="130" t="s">
        <v>245</v>
      </c>
      <c r="B7" s="130" t="s">
        <v>237</v>
      </c>
      <c r="C7" s="130" t="s">
        <v>237</v>
      </c>
      <c r="D7" s="130"/>
      <c r="E7" s="130"/>
      <c r="F7" s="130"/>
      <c r="G7" s="130"/>
      <c r="H7" s="130"/>
    </row>
    <row r="8" spans="1:8" ht="15" customHeight="1" x14ac:dyDescent="0.2">
      <c r="A8" s="130"/>
      <c r="B8" s="130"/>
      <c r="C8" s="130"/>
      <c r="D8" s="130"/>
      <c r="E8" s="130"/>
      <c r="F8" s="130"/>
      <c r="G8" s="130"/>
      <c r="H8" s="130"/>
    </row>
    <row r="9" spans="1:8" ht="15" customHeight="1" x14ac:dyDescent="0.2">
      <c r="A9" s="130"/>
      <c r="B9" s="130"/>
      <c r="C9" s="130"/>
      <c r="D9" s="130"/>
      <c r="E9" s="130"/>
      <c r="F9" s="130"/>
      <c r="G9" s="130"/>
      <c r="H9" s="130"/>
    </row>
    <row r="10" spans="1:8" ht="15" customHeight="1" x14ac:dyDescent="0.2">
      <c r="A10" s="130"/>
      <c r="B10" s="130"/>
      <c r="C10" s="130"/>
      <c r="D10" s="130"/>
      <c r="E10" s="130"/>
      <c r="F10" s="130"/>
      <c r="G10" s="130"/>
      <c r="H10" s="130"/>
    </row>
    <row r="11" spans="1:8" ht="15" customHeight="1" x14ac:dyDescent="0.2">
      <c r="A11" s="130"/>
      <c r="B11" s="130"/>
      <c r="C11" s="130"/>
      <c r="D11" s="130"/>
      <c r="E11" s="130"/>
      <c r="F11" s="130"/>
      <c r="G11" s="130"/>
      <c r="H11" s="130"/>
    </row>
    <row r="12" spans="1:8" ht="15" customHeight="1" x14ac:dyDescent="0.2">
      <c r="A12" s="130"/>
      <c r="B12" s="130"/>
      <c r="C12" s="130"/>
      <c r="D12" s="130"/>
      <c r="E12" s="130"/>
      <c r="F12" s="130"/>
      <c r="G12" s="130"/>
      <c r="H12" s="130"/>
    </row>
    <row r="13" spans="1:8" ht="15" customHeight="1" x14ac:dyDescent="0.2">
      <c r="A13" s="130"/>
      <c r="B13" s="130"/>
      <c r="C13" s="130"/>
      <c r="D13" s="130"/>
      <c r="E13" s="130"/>
      <c r="F13" s="130"/>
      <c r="G13" s="130"/>
      <c r="H13" s="130"/>
    </row>
    <row r="14" spans="1:8" ht="15" customHeight="1" x14ac:dyDescent="0.2">
      <c r="A14" s="130"/>
      <c r="B14" s="130"/>
      <c r="C14" s="130"/>
      <c r="D14" s="130"/>
      <c r="E14" s="130"/>
      <c r="F14" s="130"/>
      <c r="G14" s="130"/>
      <c r="H14" s="130"/>
    </row>
    <row r="15" spans="1:8" ht="15" customHeight="1" x14ac:dyDescent="0.2">
      <c r="A15" s="130"/>
      <c r="B15" s="130"/>
      <c r="C15" s="130"/>
      <c r="D15" s="130"/>
      <c r="E15" s="130"/>
      <c r="F15" s="130"/>
      <c r="G15" s="130"/>
      <c r="H15" s="130"/>
    </row>
    <row r="16" spans="1:8" ht="15" customHeight="1" x14ac:dyDescent="0.2">
      <c r="A16" s="130"/>
      <c r="B16" s="130"/>
      <c r="C16" s="130"/>
      <c r="D16" s="130"/>
      <c r="E16" s="130"/>
      <c r="F16" s="130"/>
      <c r="G16" s="130"/>
      <c r="H16" s="130"/>
    </row>
    <row r="17" spans="1:8" ht="15" customHeight="1" x14ac:dyDescent="0.2">
      <c r="A17" s="130"/>
      <c r="B17" s="130"/>
      <c r="C17" s="130"/>
      <c r="D17" s="130"/>
      <c r="E17" s="130"/>
      <c r="F17" s="130"/>
      <c r="G17" s="130"/>
      <c r="H17" s="130"/>
    </row>
    <row r="18" spans="1:8" ht="15" customHeight="1" x14ac:dyDescent="0.2">
      <c r="A18" s="130"/>
      <c r="B18" s="130"/>
      <c r="C18" s="130"/>
      <c r="D18" s="130"/>
      <c r="E18" s="130"/>
      <c r="F18" s="130"/>
      <c r="G18" s="130"/>
      <c r="H18" s="130"/>
    </row>
    <row r="19" spans="1:8" ht="15" customHeight="1" x14ac:dyDescent="0.2">
      <c r="A19" s="130"/>
      <c r="B19" s="130"/>
      <c r="C19" s="130"/>
      <c r="D19" s="130"/>
      <c r="E19" s="130"/>
      <c r="F19" s="130"/>
      <c r="G19" s="130"/>
      <c r="H19" s="130"/>
    </row>
    <row r="20" spans="1:8" ht="15" customHeight="1" x14ac:dyDescent="0.2">
      <c r="A20" s="130"/>
      <c r="B20" s="130"/>
      <c r="C20" s="130"/>
      <c r="D20" s="130"/>
      <c r="E20" s="130"/>
      <c r="F20" s="130"/>
      <c r="G20" s="130"/>
      <c r="H20" s="130"/>
    </row>
    <row r="21" spans="1:8" ht="15" customHeight="1" x14ac:dyDescent="0.2">
      <c r="A21" s="130"/>
      <c r="B21" s="130"/>
      <c r="C21" s="130"/>
      <c r="D21" s="130"/>
      <c r="E21" s="130"/>
      <c r="F21" s="130"/>
      <c r="G21" s="130"/>
      <c r="H21" s="130"/>
    </row>
    <row r="22" spans="1:8" ht="15" customHeight="1" x14ac:dyDescent="0.2">
      <c r="A22" s="130"/>
      <c r="B22" s="130"/>
      <c r="C22" s="130"/>
      <c r="D22" s="130"/>
      <c r="E22" s="130"/>
      <c r="F22" s="130"/>
      <c r="G22" s="130"/>
      <c r="H22" s="130"/>
    </row>
    <row r="23" spans="1:8" ht="15" customHeight="1" x14ac:dyDescent="0.2">
      <c r="A23" s="130"/>
      <c r="B23" s="130"/>
      <c r="C23" s="130"/>
      <c r="D23" s="130"/>
      <c r="E23" s="130"/>
      <c r="F23" s="130"/>
      <c r="G23" s="130"/>
      <c r="H23" s="130"/>
    </row>
    <row r="24" spans="1:8" ht="15" customHeight="1" x14ac:dyDescent="0.2">
      <c r="A24" s="130"/>
      <c r="B24" s="130"/>
      <c r="C24" s="130"/>
      <c r="D24" s="130"/>
      <c r="E24" s="130"/>
      <c r="F24" s="130"/>
      <c r="G24" s="130"/>
      <c r="H24" s="130"/>
    </row>
    <row r="25" spans="1:8" ht="15" customHeight="1" x14ac:dyDescent="0.2">
      <c r="A25" s="130"/>
      <c r="B25" s="130"/>
      <c r="C25" s="130"/>
      <c r="D25" s="130"/>
      <c r="E25" s="130"/>
      <c r="F25" s="130"/>
      <c r="G25" s="130"/>
      <c r="H25" s="130"/>
    </row>
    <row r="26" spans="1:8" ht="15" customHeight="1" x14ac:dyDescent="0.2">
      <c r="A26" s="130"/>
      <c r="B26" s="130"/>
      <c r="C26" s="130"/>
      <c r="D26" s="130"/>
      <c r="E26" s="130"/>
      <c r="F26" s="130"/>
      <c r="G26" s="130"/>
      <c r="H26" s="130"/>
    </row>
    <row r="27" spans="1:8" ht="15" customHeight="1" x14ac:dyDescent="0.2">
      <c r="A27" s="130"/>
      <c r="B27" s="130"/>
      <c r="C27" s="130"/>
      <c r="D27" s="130"/>
      <c r="E27" s="130"/>
      <c r="F27" s="130"/>
      <c r="G27" s="130"/>
      <c r="H27" s="130"/>
    </row>
    <row r="28" spans="1:8" ht="15" customHeight="1" x14ac:dyDescent="0.2">
      <c r="A28" s="130"/>
      <c r="B28" s="130"/>
      <c r="C28" s="130"/>
      <c r="D28" s="130"/>
      <c r="E28" s="130"/>
      <c r="F28" s="130"/>
      <c r="G28" s="130"/>
      <c r="H28" s="130"/>
    </row>
    <row r="29" spans="1:8" ht="15" customHeight="1" x14ac:dyDescent="0.2">
      <c r="A29" s="130"/>
      <c r="B29" s="130"/>
      <c r="C29" s="130"/>
      <c r="D29" s="130"/>
      <c r="E29" s="130"/>
      <c r="F29" s="130"/>
      <c r="G29" s="130"/>
      <c r="H29" s="130"/>
    </row>
    <row r="30" spans="1:8" ht="15" customHeight="1" x14ac:dyDescent="0.2">
      <c r="A30" s="130"/>
      <c r="B30" s="130"/>
      <c r="C30" s="130"/>
      <c r="D30" s="130"/>
      <c r="E30" s="130"/>
      <c r="F30" s="130"/>
      <c r="G30" s="130"/>
      <c r="H30" s="130"/>
    </row>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20"/>
  <sheetViews>
    <sheetView showGridLines="0" zoomScaleNormal="100" workbookViewId="0">
      <selection activeCell="AJ21" sqref="AJ21"/>
    </sheetView>
  </sheetViews>
  <sheetFormatPr baseColWidth="10" defaultRowHeight="12.75" x14ac:dyDescent="0.2"/>
  <cols>
    <col min="2" max="2" customWidth="true" width="7.28515625" collapsed="true"/>
    <col min="3" max="33" customWidth="true" width="4.0" collapsed="true"/>
    <col min="34" max="34" customWidth="true" width="5.0" collapsed="true"/>
  </cols>
  <sheetData>
    <row r="1" spans="1:34" ht="60.75" customHeight="1" x14ac:dyDescent="0.2">
      <c r="A1" s="467"/>
      <c r="B1" s="468"/>
      <c r="C1" s="469"/>
      <c r="D1" s="451" t="s">
        <v>91</v>
      </c>
      <c r="E1" s="452"/>
      <c r="F1" s="452"/>
      <c r="G1" s="452"/>
      <c r="H1" s="452"/>
      <c r="I1" s="452"/>
      <c r="J1" s="452"/>
      <c r="K1" s="452"/>
      <c r="L1" s="452"/>
      <c r="M1" s="452"/>
      <c r="N1" s="452"/>
      <c r="O1" s="452"/>
      <c r="P1" s="452"/>
      <c r="Q1" s="452"/>
      <c r="R1" s="452"/>
      <c r="S1" s="452"/>
      <c r="T1" s="452"/>
      <c r="U1" s="452"/>
      <c r="V1" s="452"/>
      <c r="W1" s="452"/>
      <c r="X1" s="452"/>
      <c r="Y1" s="452"/>
      <c r="Z1" s="452"/>
      <c r="AA1" s="452"/>
      <c r="AB1" s="452"/>
      <c r="AC1" s="453"/>
      <c r="AD1" s="470" t="s">
        <v>126</v>
      </c>
      <c r="AE1" s="471"/>
      <c r="AF1" s="471"/>
      <c r="AG1" s="471"/>
      <c r="AH1" s="472"/>
    </row>
    <row r="2" spans="1:34" ht="45.75" customHeight="1" x14ac:dyDescent="0.2">
      <c r="A2" s="473" t="s">
        <v>92</v>
      </c>
      <c r="B2" s="474"/>
      <c r="C2" s="70">
        <v>41791</v>
      </c>
      <c r="D2" s="69">
        <v>41792</v>
      </c>
      <c r="E2" s="69">
        <v>41793</v>
      </c>
      <c r="F2" s="69">
        <v>41794</v>
      </c>
      <c r="G2" s="69">
        <v>41795</v>
      </c>
      <c r="H2" s="69">
        <v>41796</v>
      </c>
      <c r="I2" s="70">
        <v>41797</v>
      </c>
      <c r="J2" s="70">
        <v>41798</v>
      </c>
      <c r="K2" s="69">
        <v>41799</v>
      </c>
      <c r="L2" s="69">
        <v>41800</v>
      </c>
      <c r="M2" s="69">
        <v>41801</v>
      </c>
      <c r="N2" s="69">
        <v>41802</v>
      </c>
      <c r="O2" s="69">
        <v>41803</v>
      </c>
      <c r="P2" s="70">
        <v>41804</v>
      </c>
      <c r="Q2" s="70">
        <v>41805</v>
      </c>
      <c r="R2" s="69">
        <v>41806</v>
      </c>
      <c r="S2" s="69">
        <v>41807</v>
      </c>
      <c r="T2" s="69">
        <v>41808</v>
      </c>
      <c r="U2" s="69">
        <v>41809</v>
      </c>
      <c r="V2" s="69">
        <v>41810</v>
      </c>
      <c r="W2" s="70">
        <v>41811</v>
      </c>
      <c r="X2" s="70">
        <v>41812</v>
      </c>
      <c r="Y2" s="69">
        <v>41813</v>
      </c>
      <c r="Z2" s="69">
        <v>41814</v>
      </c>
      <c r="AA2" s="69">
        <v>41815</v>
      </c>
      <c r="AB2" s="69">
        <v>41816</v>
      </c>
      <c r="AC2" s="69">
        <v>41817</v>
      </c>
      <c r="AD2" s="70">
        <v>41818</v>
      </c>
      <c r="AE2" s="70">
        <v>41819</v>
      </c>
      <c r="AF2" s="69">
        <v>41820</v>
      </c>
      <c r="AG2" s="69">
        <v>41821</v>
      </c>
      <c r="AH2" s="71" t="s">
        <v>0</v>
      </c>
    </row>
    <row r="3" spans="1:34" ht="23.25" customHeight="1" x14ac:dyDescent="0.2">
      <c r="A3" s="458" t="s">
        <v>4</v>
      </c>
      <c r="B3" s="458"/>
      <c r="C3" s="39" t="n">
        <v>1.0</v>
      </c>
      <c r="D3" s="39" t="n">
        <v>2.0</v>
      </c>
      <c r="E3" s="40" t="n">
        <v>3.0</v>
      </c>
      <c r="F3" s="40" t="n">
        <v>4.0</v>
      </c>
      <c r="G3" s="40" t="n">
        <v>5.0</v>
      </c>
      <c r="H3" s="40" t="n">
        <v>6.0</v>
      </c>
      <c r="I3" s="40" t="n">
        <v>6.0</v>
      </c>
      <c r="J3" s="40" t="n">
        <v>1.0</v>
      </c>
      <c r="K3" s="40" t="n">
        <v>1.0</v>
      </c>
      <c r="L3" s="40" t="n">
        <v>1.0</v>
      </c>
      <c r="M3" s="40" t="n">
        <v>1.0</v>
      </c>
      <c r="N3" s="40" t="n">
        <v>1.0</v>
      </c>
      <c r="O3" s="40" t="n">
        <v>2.0</v>
      </c>
      <c r="P3" s="40" t="n">
        <v>4.0</v>
      </c>
      <c r="Q3" s="40" t="n">
        <v>5.0</v>
      </c>
      <c r="R3" s="40" t="n">
        <v>5.0</v>
      </c>
      <c r="S3" s="40" t="n">
        <v>5.0</v>
      </c>
      <c r="T3" s="40" t="n">
        <v>4.0</v>
      </c>
      <c r="U3" s="40" t="n">
        <v>7.0</v>
      </c>
      <c r="V3" s="40" t="n">
        <v>7.0</v>
      </c>
      <c r="W3" s="40" t="n">
        <v>8.0</v>
      </c>
      <c r="X3" s="40" t="n">
        <v>8.0</v>
      </c>
      <c r="Y3" s="40" t="n">
        <v>9.0</v>
      </c>
      <c r="Z3" s="40" t="n">
        <v>8.0</v>
      </c>
      <c r="AA3" s="40" t="n">
        <v>8.0</v>
      </c>
      <c r="AB3" s="40" t="n">
        <v>7.0</v>
      </c>
      <c r="AC3" s="40" t="n">
        <v>2.0</v>
      </c>
      <c r="AD3" s="40" t="n">
        <v>1.0</v>
      </c>
      <c r="AE3" s="40" t="n">
        <v>1.0</v>
      </c>
      <c r="AF3" s="40" t="n">
        <v>2.0</v>
      </c>
      <c r="AG3" s="40"/>
      <c r="AH3" s="72" t="n">
        <f t="shared" ref="AH3:AH11" si="0">SUM(C3:AG3)</f>
        <v>125.0</v>
      </c>
    </row>
    <row r="4" spans="1:34" ht="23.25" customHeight="1" x14ac:dyDescent="0.2">
      <c r="A4" s="456" t="s">
        <v>141</v>
      </c>
      <c r="B4" s="457"/>
      <c r="C4" s="39" t="n">
        <v>8.0</v>
      </c>
      <c r="D4" s="39" t="n">
        <v>7.0</v>
      </c>
      <c r="E4" s="40" t="n">
        <v>8.0</v>
      </c>
      <c r="F4" s="40" t="n">
        <v>6.0</v>
      </c>
      <c r="G4" s="40" t="n">
        <v>7.0</v>
      </c>
      <c r="H4" s="40" t="n">
        <v>4.0</v>
      </c>
      <c r="I4" s="40"/>
      <c r="J4" s="40"/>
      <c r="K4" s="40"/>
      <c r="L4" s="40"/>
      <c r="M4" s="40"/>
      <c r="N4" s="40"/>
      <c r="O4" s="40"/>
      <c r="P4" s="40"/>
      <c r="Q4" s="40"/>
      <c r="R4" s="40"/>
      <c r="S4" s="40"/>
      <c r="T4" s="40"/>
      <c r="U4" s="40"/>
      <c r="V4" s="40"/>
      <c r="W4" s="40"/>
      <c r="X4" s="40"/>
      <c r="Y4" s="40"/>
      <c r="Z4" s="40"/>
      <c r="AA4" s="40"/>
      <c r="AB4" s="40"/>
      <c r="AC4" s="40"/>
      <c r="AD4" s="40"/>
      <c r="AE4" s="40"/>
      <c r="AF4" s="40"/>
      <c r="AG4" s="40"/>
      <c r="AH4" s="72" t="n">
        <f t="shared" si="0"/>
        <v>40.0</v>
      </c>
    </row>
    <row r="5" spans="1:34" ht="23.25" customHeight="1" x14ac:dyDescent="0.2">
      <c r="A5" s="456" t="s">
        <v>142</v>
      </c>
      <c r="B5" s="457"/>
      <c r="C5" s="39" t="n">
        <v>1.0</v>
      </c>
      <c r="D5" s="39" t="n">
        <v>2.0</v>
      </c>
      <c r="E5" s="40" t="n">
        <v>3.0</v>
      </c>
      <c r="F5" s="40" t="n">
        <v>4.0</v>
      </c>
      <c r="G5" s="40" t="n">
        <v>5.0</v>
      </c>
      <c r="H5" s="40" t="n">
        <v>6.0</v>
      </c>
      <c r="I5" s="40" t="n">
        <v>6.0</v>
      </c>
      <c r="J5" s="40" t="n">
        <v>1.0</v>
      </c>
      <c r="K5" s="40" t="n">
        <v>1.0</v>
      </c>
      <c r="L5" s="40" t="n">
        <v>1.0</v>
      </c>
      <c r="M5" s="40" t="n">
        <v>1.0</v>
      </c>
      <c r="N5" s="40" t="n">
        <v>1.0</v>
      </c>
      <c r="O5" s="40" t="n">
        <v>2.0</v>
      </c>
      <c r="P5" s="40" t="n">
        <v>4.0</v>
      </c>
      <c r="Q5" s="40" t="n">
        <v>5.0</v>
      </c>
      <c r="R5" s="40" t="n">
        <v>5.0</v>
      </c>
      <c r="S5" s="40" t="n">
        <v>5.0</v>
      </c>
      <c r="T5" s="40" t="n">
        <v>4.0</v>
      </c>
      <c r="U5" s="40" t="n">
        <v>7.0</v>
      </c>
      <c r="V5" s="40" t="n">
        <v>7.0</v>
      </c>
      <c r="W5" s="40" t="n">
        <v>8.0</v>
      </c>
      <c r="X5" s="40" t="n">
        <v>8.0</v>
      </c>
      <c r="Y5" s="40" t="n">
        <v>9.0</v>
      </c>
      <c r="Z5" s="40" t="n">
        <v>8.0</v>
      </c>
      <c r="AA5" s="40" t="n">
        <v>8.0</v>
      </c>
      <c r="AB5" s="40" t="n">
        <v>7.0</v>
      </c>
      <c r="AC5" s="40" t="n">
        <v>2.0</v>
      </c>
      <c r="AD5" s="40" t="n">
        <v>1.0</v>
      </c>
      <c r="AE5" s="40" t="n">
        <v>1.0</v>
      </c>
      <c r="AF5" s="40" t="n">
        <v>2.0</v>
      </c>
      <c r="AG5" s="40"/>
      <c r="AH5" s="72" t="n">
        <f t="shared" si="0"/>
        <v>125.0</v>
      </c>
    </row>
    <row r="6" spans="1:34" ht="23.25" customHeight="1" x14ac:dyDescent="0.2">
      <c r="A6" s="456" t="s">
        <v>143</v>
      </c>
      <c r="B6" s="457"/>
      <c r="C6" s="39" t="n">
        <v>5.0</v>
      </c>
      <c r="D6" s="39" t="n">
        <v>4.0</v>
      </c>
      <c r="E6" s="40" t="n">
        <v>3.0</v>
      </c>
      <c r="F6" s="40" t="n">
        <v>1.0</v>
      </c>
      <c r="G6" s="40" t="n">
        <v>2.0</v>
      </c>
      <c r="H6" s="40" t="n">
        <v>2.0</v>
      </c>
      <c r="I6" s="40"/>
      <c r="J6" s="40"/>
      <c r="K6" s="40"/>
      <c r="L6" s="40"/>
      <c r="M6" s="40"/>
      <c r="N6" s="40"/>
      <c r="O6" s="40"/>
      <c r="P6" s="40"/>
      <c r="Q6" s="40"/>
      <c r="R6" s="40"/>
      <c r="S6" s="40"/>
      <c r="T6" s="40"/>
      <c r="U6" s="40"/>
      <c r="V6" s="40"/>
      <c r="W6" s="40"/>
      <c r="X6" s="40"/>
      <c r="Y6" s="40"/>
      <c r="Z6" s="40"/>
      <c r="AA6" s="40"/>
      <c r="AB6" s="40"/>
      <c r="AC6" s="40"/>
      <c r="AD6" s="40"/>
      <c r="AE6" s="40"/>
      <c r="AF6" s="40"/>
      <c r="AG6" s="40"/>
      <c r="AH6" s="72" t="n">
        <f t="shared" si="0"/>
        <v>17.0</v>
      </c>
    </row>
    <row r="7" spans="1:34" ht="23.25" customHeight="1" x14ac:dyDescent="0.2">
      <c r="A7" s="458" t="s">
        <v>3</v>
      </c>
      <c r="B7" s="458"/>
      <c r="C7" s="39" t="n">
        <v>5.0</v>
      </c>
      <c r="D7" s="39" t="n">
        <v>4.0</v>
      </c>
      <c r="E7" s="40" t="n">
        <v>6.0</v>
      </c>
      <c r="F7" s="40" t="n">
        <v>5.0</v>
      </c>
      <c r="G7" s="40" t="n">
        <v>3.0</v>
      </c>
      <c r="H7" s="40"/>
      <c r="I7" s="40"/>
      <c r="J7" s="40"/>
      <c r="K7" s="40"/>
      <c r="L7" s="40"/>
      <c r="M7" s="40"/>
      <c r="N7" s="40"/>
      <c r="O7" s="40"/>
      <c r="P7" s="40"/>
      <c r="Q7" s="40"/>
      <c r="R7" s="40"/>
      <c r="S7" s="40"/>
      <c r="T7" s="40"/>
      <c r="U7" s="40"/>
      <c r="V7" s="40"/>
      <c r="W7" s="40"/>
      <c r="X7" s="40"/>
      <c r="Y7" s="40"/>
      <c r="Z7" s="40"/>
      <c r="AA7" s="40"/>
      <c r="AB7" s="40"/>
      <c r="AC7" s="40"/>
      <c r="AD7" s="40"/>
      <c r="AE7" s="40"/>
      <c r="AF7" s="40"/>
      <c r="AG7" s="40"/>
      <c r="AH7" s="72" t="n">
        <f t="shared" si="0"/>
        <v>23.0</v>
      </c>
    </row>
    <row r="8" spans="1:34" ht="23.25" customHeight="1" x14ac:dyDescent="0.2">
      <c r="A8" s="458" t="s">
        <v>127</v>
      </c>
      <c r="B8" s="458"/>
      <c r="C8" s="39" t="n">
        <v>1.0</v>
      </c>
      <c r="D8" s="39" t="n">
        <v>2.0</v>
      </c>
      <c r="E8" s="40" t="n">
        <v>3.0</v>
      </c>
      <c r="F8" s="40" t="n">
        <v>4.0</v>
      </c>
      <c r="G8" s="40" t="n">
        <v>5.0</v>
      </c>
      <c r="H8" s="40" t="n">
        <v>6.0</v>
      </c>
      <c r="I8" s="40" t="n">
        <v>6.0</v>
      </c>
      <c r="J8" s="40" t="n">
        <v>1.0</v>
      </c>
      <c r="K8" s="40" t="n">
        <v>1.0</v>
      </c>
      <c r="L8" s="40" t="n">
        <v>1.0</v>
      </c>
      <c r="M8" s="40" t="n">
        <v>1.0</v>
      </c>
      <c r="N8" s="40" t="n">
        <v>1.0</v>
      </c>
      <c r="O8" s="40" t="n">
        <v>2.0</v>
      </c>
      <c r="P8" s="40" t="n">
        <v>4.0</v>
      </c>
      <c r="Q8" s="40" t="n">
        <v>5.0</v>
      </c>
      <c r="R8" s="40" t="n">
        <v>5.0</v>
      </c>
      <c r="S8" s="40" t="n">
        <v>5.0</v>
      </c>
      <c r="T8" s="40" t="n">
        <v>4.0</v>
      </c>
      <c r="U8" s="40" t="n">
        <v>7.0</v>
      </c>
      <c r="V8" s="40" t="n">
        <v>7.0</v>
      </c>
      <c r="W8" s="40" t="n">
        <v>8.0</v>
      </c>
      <c r="X8" s="40" t="n">
        <v>8.0</v>
      </c>
      <c r="Y8" s="40" t="n">
        <v>9.0</v>
      </c>
      <c r="Z8" s="40" t="n">
        <v>8.0</v>
      </c>
      <c r="AA8" s="40" t="n">
        <v>8.0</v>
      </c>
      <c r="AB8" s="40" t="n">
        <v>7.0</v>
      </c>
      <c r="AC8" s="40" t="n">
        <v>2.0</v>
      </c>
      <c r="AD8" s="40" t="n">
        <v>1.0</v>
      </c>
      <c r="AE8" s="40" t="n">
        <v>1.0</v>
      </c>
      <c r="AF8" s="40" t="n">
        <v>2.0</v>
      </c>
      <c r="AG8" s="40"/>
      <c r="AH8" s="131" t="n">
        <f t="shared" si="0"/>
        <v>125.0</v>
      </c>
    </row>
    <row r="9" spans="1:34" ht="23.25" customHeight="1" x14ac:dyDescent="0.2">
      <c r="A9" s="458" t="s">
        <v>202</v>
      </c>
      <c r="B9" s="458"/>
      <c r="C9" s="39"/>
      <c r="D9" s="39"/>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131" t="n">
        <f t="shared" si="0"/>
        <v>0.0</v>
      </c>
    </row>
    <row r="10" spans="1:34" ht="23.25" customHeight="1" x14ac:dyDescent="0.2">
      <c r="A10" s="458" t="s">
        <v>203</v>
      </c>
      <c r="B10" s="458"/>
      <c r="C10" s="39"/>
      <c r="D10" s="39"/>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131" t="n">
        <f t="shared" si="0"/>
        <v>0.0</v>
      </c>
    </row>
    <row r="11" spans="1:34" ht="23.25" customHeight="1" x14ac:dyDescent="0.2">
      <c r="A11" s="458" t="s">
        <v>128</v>
      </c>
      <c r="B11" s="458"/>
      <c r="C11" s="39" t="n">
        <v>9.0</v>
      </c>
      <c r="D11" s="39" t="n">
        <v>8.0</v>
      </c>
      <c r="E11" s="40" t="n">
        <v>7.0</v>
      </c>
      <c r="F11" s="40" t="n">
        <v>6.0</v>
      </c>
      <c r="G11" s="40" t="n">
        <v>7.0</v>
      </c>
      <c r="H11" s="40" t="n">
        <v>6.0</v>
      </c>
      <c r="I11" s="40" t="n">
        <v>5.0</v>
      </c>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131" t="n">
        <f t="shared" si="0"/>
        <v>48.0</v>
      </c>
    </row>
    <row r="12" spans="1:34" ht="23.25" customHeight="1" x14ac:dyDescent="0.2">
      <c r="A12" s="458" t="s">
        <v>129</v>
      </c>
      <c r="B12" s="458"/>
      <c r="C12" s="39" t="n">
        <v>8.0</v>
      </c>
      <c r="D12" s="39" t="n">
        <v>7.0</v>
      </c>
      <c r="E12" s="40" t="n">
        <v>6.0</v>
      </c>
      <c r="F12" s="40" t="n">
        <v>5.0</v>
      </c>
      <c r="G12" s="40" t="n">
        <v>4.0</v>
      </c>
      <c r="H12" s="40" t="n">
        <v>7.0</v>
      </c>
      <c r="I12" s="40" t="n">
        <v>8.0</v>
      </c>
      <c r="J12" s="40" t="n">
        <v>5.0</v>
      </c>
      <c r="K12" s="40"/>
      <c r="L12" s="40"/>
      <c r="M12" s="40"/>
      <c r="N12" s="40"/>
      <c r="O12" s="40"/>
      <c r="P12" s="40"/>
      <c r="Q12" s="40"/>
      <c r="R12" s="40"/>
      <c r="S12" s="40"/>
      <c r="T12" s="40"/>
      <c r="U12" s="40"/>
      <c r="V12" s="40"/>
      <c r="W12" s="40"/>
      <c r="X12" s="40"/>
      <c r="Y12" s="40"/>
      <c r="Z12" s="40"/>
      <c r="AA12" s="40"/>
      <c r="AB12" s="40"/>
      <c r="AC12" s="40"/>
      <c r="AD12" s="40"/>
      <c r="AE12" s="40"/>
      <c r="AF12" s="40"/>
      <c r="AG12" s="40"/>
      <c r="AH12" s="131" t="n">
        <f>SUM(C12:AG12)</f>
        <v>50.0</v>
      </c>
    </row>
    <row r="13" spans="1:34" ht="23.25" customHeight="1" x14ac:dyDescent="0.2">
      <c r="A13" s="458" t="s">
        <v>130</v>
      </c>
      <c r="B13" s="458"/>
      <c r="C13" s="40" t="n">
        <v>9.0</v>
      </c>
      <c r="D13" s="39" t="n">
        <v>8.0</v>
      </c>
      <c r="E13" s="39" t="n">
        <v>0.0</v>
      </c>
      <c r="F13" s="39" t="n">
        <v>7.0</v>
      </c>
      <c r="G13" s="39" t="n">
        <v>0.0</v>
      </c>
      <c r="H13" s="39" t="n">
        <v>7.0</v>
      </c>
      <c r="I13" s="39" t="n">
        <v>5.0</v>
      </c>
      <c r="J13" s="39" t="n">
        <v>0.0</v>
      </c>
      <c r="K13" s="39" t="n">
        <v>4.0</v>
      </c>
      <c r="L13" s="39"/>
      <c r="M13" s="39"/>
      <c r="N13" s="39"/>
      <c r="O13" s="39"/>
      <c r="P13" s="39"/>
      <c r="Q13" s="39"/>
      <c r="R13" s="39"/>
      <c r="S13" s="39"/>
      <c r="T13" s="39"/>
      <c r="U13" s="39"/>
      <c r="V13" s="39"/>
      <c r="W13" s="39"/>
      <c r="X13" s="39"/>
      <c r="Y13" s="39"/>
      <c r="Z13" s="39"/>
      <c r="AA13" s="39"/>
      <c r="AB13" s="39"/>
      <c r="AC13" s="39"/>
      <c r="AD13" s="39"/>
      <c r="AE13" s="39"/>
      <c r="AF13" s="39"/>
      <c r="AG13" s="39"/>
      <c r="AH13" s="72" t="n">
        <f>SUM(C13:AG13)</f>
        <v>40.0</v>
      </c>
    </row>
    <row r="14" spans="1:34" ht="23.25" customHeight="1" x14ac:dyDescent="0.2">
      <c r="A14" s="456" t="s">
        <v>131</v>
      </c>
      <c r="B14" s="457"/>
      <c r="C14" s="40" t="n">
        <v>1.0</v>
      </c>
      <c r="D14" s="39" t="n">
        <v>2.0</v>
      </c>
      <c r="E14" s="39" t="n">
        <v>3.0</v>
      </c>
      <c r="F14" s="39" t="n">
        <v>4.0</v>
      </c>
      <c r="G14" s="39" t="n">
        <v>5.0</v>
      </c>
      <c r="H14" s="39" t="n">
        <v>6.0</v>
      </c>
      <c r="I14" s="39" t="n">
        <v>6.0</v>
      </c>
      <c r="J14" s="39" t="n">
        <v>1.0</v>
      </c>
      <c r="K14" s="39" t="n">
        <v>1.0</v>
      </c>
      <c r="L14" s="39" t="n">
        <v>1.0</v>
      </c>
      <c r="M14" s="39" t="n">
        <v>1.0</v>
      </c>
      <c r="N14" s="39" t="n">
        <v>1.0</v>
      </c>
      <c r="O14" s="39" t="n">
        <v>2.0</v>
      </c>
      <c r="P14" s="39" t="n">
        <v>4.0</v>
      </c>
      <c r="Q14" s="39" t="n">
        <v>5.0</v>
      </c>
      <c r="R14" s="39" t="n">
        <v>5.0</v>
      </c>
      <c r="S14" s="39" t="n">
        <v>5.0</v>
      </c>
      <c r="T14" s="39" t="n">
        <v>4.0</v>
      </c>
      <c r="U14" s="39" t="n">
        <v>7.0</v>
      </c>
      <c r="V14" s="39" t="n">
        <v>7.0</v>
      </c>
      <c r="W14" s="39" t="n">
        <v>8.0</v>
      </c>
      <c r="X14" s="39" t="n">
        <v>8.0</v>
      </c>
      <c r="Y14" s="39" t="n">
        <v>9.0</v>
      </c>
      <c r="Z14" s="39" t="n">
        <v>8.0</v>
      </c>
      <c r="AA14" s="39" t="n">
        <v>8.0</v>
      </c>
      <c r="AB14" s="39" t="n">
        <v>7.0</v>
      </c>
      <c r="AC14" s="39" t="n">
        <v>2.0</v>
      </c>
      <c r="AD14" s="39" t="n">
        <v>1.0</v>
      </c>
      <c r="AE14" s="39" t="n">
        <v>1.0</v>
      </c>
      <c r="AF14" s="39" t="n">
        <v>2.0</v>
      </c>
      <c r="AG14" s="39"/>
      <c r="AH14" s="72" t="n">
        <f>SUM(C14:AG14)</f>
        <v>125.0</v>
      </c>
    </row>
    <row r="15" spans="1:34" ht="23.25" customHeight="1" x14ac:dyDescent="0.2">
      <c r="A15" s="456" t="s">
        <v>125</v>
      </c>
      <c r="B15" s="457"/>
      <c r="C15" s="40" t="n">
        <v>7.0</v>
      </c>
      <c r="D15" s="39" t="n">
        <v>6.0</v>
      </c>
      <c r="E15" s="39" t="n">
        <v>8.0</v>
      </c>
      <c r="F15" s="39" t="n">
        <v>2.0</v>
      </c>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72" t="n">
        <f>SUM(C15:AG15)</f>
        <v>23.0</v>
      </c>
    </row>
    <row r="16" spans="1:34" ht="23.25" customHeight="1" x14ac:dyDescent="0.2">
      <c r="A16" s="458" t="s">
        <v>204</v>
      </c>
      <c r="B16" s="458"/>
      <c r="C16" s="40" t="n">
        <v>8.0</v>
      </c>
      <c r="D16" s="39" t="n">
        <v>7.0</v>
      </c>
      <c r="E16" s="39" t="n">
        <v>5.0</v>
      </c>
      <c r="F16" s="39" t="n">
        <v>4.0</v>
      </c>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131" t="n">
        <f t="shared" ref="AH16" si="1">SUM(C16:AG16)</f>
        <v>24.0</v>
      </c>
    </row>
    <row r="17" spans="1:34" ht="23.25" customHeight="1" x14ac:dyDescent="0.2">
      <c r="A17" s="458" t="s">
        <v>205</v>
      </c>
      <c r="B17" s="458"/>
      <c r="C17" s="40"/>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72" t="n">
        <f>SUM(C17:AG17)</f>
        <v>0.0</v>
      </c>
    </row>
    <row r="18" spans="1:34" ht="21.75" customHeight="1" x14ac:dyDescent="0.2">
      <c r="A18" s="459"/>
      <c r="B18" s="460"/>
      <c r="C18" s="460"/>
      <c r="D18" s="460"/>
      <c r="E18" s="460"/>
      <c r="F18" s="460"/>
      <c r="G18" s="460"/>
      <c r="H18" s="460"/>
      <c r="I18" s="460"/>
      <c r="J18" s="460"/>
      <c r="K18" s="460"/>
      <c r="L18" s="460"/>
      <c r="M18" s="460"/>
      <c r="N18" s="460"/>
      <c r="O18" s="460"/>
      <c r="P18" s="460"/>
      <c r="Q18" s="460"/>
      <c r="R18" s="460"/>
      <c r="S18" s="460"/>
      <c r="T18" s="460"/>
      <c r="U18" s="460"/>
      <c r="V18" s="460"/>
      <c r="W18" s="460"/>
      <c r="X18" s="460"/>
      <c r="Y18" s="460"/>
      <c r="Z18" s="460"/>
      <c r="AA18" s="460"/>
      <c r="AB18" s="460"/>
      <c r="AC18" s="45"/>
      <c r="AD18" s="46"/>
      <c r="AE18" s="46"/>
      <c r="AF18" s="46"/>
      <c r="AG18" s="46"/>
      <c r="AH18" s="73" t="n">
        <f>SUM(AH3:AH17)</f>
        <v>765.0</v>
      </c>
    </row>
    <row r="19" spans="1:34" ht="21.75" customHeight="1" x14ac:dyDescent="0.2">
      <c r="A19" s="461"/>
      <c r="B19" s="462"/>
      <c r="C19" s="462"/>
      <c r="D19" s="462"/>
      <c r="E19" s="462"/>
      <c r="F19" s="462"/>
      <c r="G19" s="462"/>
      <c r="H19" s="462"/>
      <c r="I19" s="462"/>
      <c r="J19" s="462"/>
      <c r="K19" s="462"/>
      <c r="L19" s="462"/>
      <c r="M19" s="462"/>
      <c r="N19" s="462"/>
      <c r="O19" s="462"/>
      <c r="P19" s="462"/>
      <c r="Q19" s="462"/>
      <c r="R19" s="462"/>
      <c r="S19" s="462"/>
      <c r="T19" s="462"/>
      <c r="U19" s="462"/>
      <c r="V19" s="462"/>
      <c r="W19" s="462"/>
      <c r="X19" s="462"/>
      <c r="Y19" s="462"/>
      <c r="Z19" s="462"/>
      <c r="AA19" s="462"/>
      <c r="AB19" s="462"/>
      <c r="AC19" s="463" t="s">
        <v>2</v>
      </c>
      <c r="AD19" s="464"/>
      <c r="AE19" s="465">
        <v>0</v>
      </c>
      <c r="AF19" s="465"/>
      <c r="AG19" s="465"/>
      <c r="AH19" s="466"/>
    </row>
    <row r="20" spans="1:34"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row>
  </sheetData>
  <mergeCells count="22">
    <mergeCell ref="A14:B14"/>
    <mergeCell ref="A1:C1"/>
    <mergeCell ref="D1:AC1"/>
    <mergeCell ref="AD1:AH1"/>
    <mergeCell ref="A2:B2"/>
    <mergeCell ref="A3:B3"/>
    <mergeCell ref="A5:B5"/>
    <mergeCell ref="A4:B4"/>
    <mergeCell ref="A6:B6"/>
    <mergeCell ref="A7:B7"/>
    <mergeCell ref="A8:B8"/>
    <mergeCell ref="A12:B12"/>
    <mergeCell ref="A10:B10"/>
    <mergeCell ref="A13:B13"/>
    <mergeCell ref="A9:B9"/>
    <mergeCell ref="A11:B11"/>
    <mergeCell ref="A15:B15"/>
    <mergeCell ref="A17:B17"/>
    <mergeCell ref="A18:AB19"/>
    <mergeCell ref="AC19:AD19"/>
    <mergeCell ref="AE19:AH19"/>
    <mergeCell ref="A16:B16"/>
  </mergeCells>
  <printOptions horizontalCentered="1" verticalCentered="1"/>
  <pageMargins left="0.39370078740157483" right="0.39370078740157483" top="0.74803149606299213" bottom="0.74803149606299213" header="0.31496062992125984" footer="0.51181102362204722"/>
  <pageSetup paperSize="9" scale="96" orientation="landscape" horizontalDpi="200" verticalDpi="200"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I51"/>
  <sheetViews>
    <sheetView workbookViewId="0">
      <selection activeCell="O13" sqref="O13"/>
    </sheetView>
  </sheetViews>
  <sheetFormatPr baseColWidth="10" defaultRowHeight="12.75" x14ac:dyDescent="0.2"/>
  <cols>
    <col min="1" max="1" customWidth="true" style="5" width="23.0" collapsed="true"/>
    <col min="2" max="5" style="5" width="11.42578125" collapsed="true"/>
    <col min="6" max="6" bestFit="true" customWidth="true" style="5" width="12.28515625" collapsed="true"/>
    <col min="7" max="16384" style="5" width="11.42578125" collapsed="true"/>
  </cols>
  <sheetData>
    <row r="1" spans="1:9" ht="72" customHeight="1" x14ac:dyDescent="0.2">
      <c r="A1" s="135"/>
      <c r="B1" s="236" t="s">
        <v>153</v>
      </c>
      <c r="C1" s="236"/>
      <c r="D1" s="236"/>
      <c r="E1" s="236"/>
      <c r="F1" s="236"/>
      <c r="G1" s="236"/>
      <c r="H1" s="237" t="s">
        <v>152</v>
      </c>
      <c r="I1" s="237"/>
    </row>
    <row r="2" spans="1:9" ht="27" customHeight="1" x14ac:dyDescent="0.2">
      <c r="A2" s="234" t="s">
        <v>154</v>
      </c>
      <c r="B2" s="234"/>
      <c r="C2" s="234"/>
      <c r="D2" s="234"/>
      <c r="E2" s="234"/>
      <c r="F2" s="234"/>
      <c r="G2" s="234"/>
      <c r="H2" s="234"/>
      <c r="I2" s="234"/>
    </row>
    <row r="4" spans="1:9" ht="12.75" customHeight="1" x14ac:dyDescent="0.2">
      <c r="A4" s="480" t="s">
        <v>162</v>
      </c>
      <c r="B4" s="481"/>
      <c r="C4" s="481"/>
      <c r="D4" s="481"/>
      <c r="E4" s="481"/>
      <c r="F4" s="481"/>
      <c r="G4" s="481"/>
      <c r="H4" s="481"/>
      <c r="I4" s="481"/>
    </row>
    <row r="5" spans="1:9" x14ac:dyDescent="0.2">
      <c r="A5" s="481"/>
      <c r="B5" s="481"/>
      <c r="C5" s="481"/>
      <c r="D5" s="481"/>
      <c r="E5" s="481"/>
      <c r="F5" s="481"/>
      <c r="G5" s="481"/>
      <c r="H5" s="481"/>
      <c r="I5" s="481"/>
    </row>
    <row r="8" spans="1:9" ht="23.25" customHeight="1" x14ac:dyDescent="0.2">
      <c r="E8" s="139" t="s">
        <v>156</v>
      </c>
      <c r="F8" s="137" t="s">
        <v>158</v>
      </c>
      <c r="G8" s="141"/>
      <c r="H8" s="141"/>
      <c r="I8" s="141"/>
    </row>
    <row r="9" spans="1:9" ht="13.5" customHeight="1" x14ac:dyDescent="0.2">
      <c r="A9" s="365" t="s">
        <v>151</v>
      </c>
      <c r="B9" s="366"/>
      <c r="C9" s="366"/>
      <c r="D9" s="367"/>
      <c r="E9" s="256"/>
      <c r="F9" s="479" t="n">
        <f>(E9+E11+E13)/3</f>
        <v>0.0</v>
      </c>
      <c r="G9" s="478"/>
      <c r="H9" s="478"/>
      <c r="I9" s="136"/>
    </row>
    <row r="10" spans="1:9" ht="13.5" customHeight="1" x14ac:dyDescent="0.2">
      <c r="A10" s="371"/>
      <c r="B10" s="372"/>
      <c r="C10" s="372"/>
      <c r="D10" s="373"/>
      <c r="E10" s="256"/>
      <c r="F10" s="479"/>
      <c r="G10" s="478"/>
      <c r="H10" s="478"/>
      <c r="I10" s="136"/>
    </row>
    <row r="11" spans="1:9" ht="13.5" customHeight="1" x14ac:dyDescent="0.2">
      <c r="A11" s="365" t="s">
        <v>160</v>
      </c>
      <c r="B11" s="366"/>
      <c r="C11" s="366"/>
      <c r="D11" s="367"/>
      <c r="E11" s="256"/>
      <c r="F11" s="479"/>
      <c r="G11" s="478"/>
      <c r="H11" s="478"/>
      <c r="I11" s="136"/>
    </row>
    <row r="12" spans="1:9" ht="13.5" customHeight="1" x14ac:dyDescent="0.2">
      <c r="A12" s="371"/>
      <c r="B12" s="372"/>
      <c r="C12" s="372"/>
      <c r="D12" s="373"/>
      <c r="E12" s="256"/>
      <c r="F12" s="479"/>
      <c r="G12" s="478"/>
      <c r="H12" s="478"/>
      <c r="I12" s="136"/>
    </row>
    <row r="13" spans="1:9" ht="13.5" customHeight="1" x14ac:dyDescent="0.2">
      <c r="A13" s="365" t="s">
        <v>155</v>
      </c>
      <c r="B13" s="366"/>
      <c r="C13" s="366"/>
      <c r="D13" s="367"/>
      <c r="E13" s="387"/>
      <c r="F13" s="479"/>
      <c r="G13" s="141"/>
      <c r="H13" s="141"/>
      <c r="I13" s="136"/>
    </row>
    <row r="14" spans="1:9" ht="13.5" customHeight="1" x14ac:dyDescent="0.2">
      <c r="A14" s="371"/>
      <c r="B14" s="372"/>
      <c r="C14" s="372"/>
      <c r="D14" s="373"/>
      <c r="E14" s="389"/>
      <c r="F14" s="479"/>
      <c r="G14" s="141"/>
      <c r="H14" s="141"/>
      <c r="I14" s="136"/>
    </row>
    <row r="15" spans="1:9" ht="13.5" customHeight="1" x14ac:dyDescent="0.2">
      <c r="A15" s="134"/>
      <c r="B15" s="134"/>
      <c r="C15" s="134"/>
      <c r="D15" s="134"/>
      <c r="E15" s="133"/>
      <c r="F15" s="133"/>
      <c r="G15" s="133"/>
      <c r="H15" s="133"/>
    </row>
    <row r="16" spans="1:9" x14ac:dyDescent="0.2">
      <c r="E16" s="477" t="s">
        <v>159</v>
      </c>
      <c r="F16" s="477"/>
      <c r="G16" s="477"/>
      <c r="H16" s="477"/>
      <c r="I16" s="477"/>
    </row>
    <row r="17" spans="1:9" x14ac:dyDescent="0.2">
      <c r="E17" s="140"/>
      <c r="F17" s="140"/>
      <c r="G17" s="140"/>
      <c r="H17" s="140"/>
      <c r="I17" s="140"/>
    </row>
    <row r="18" spans="1:9" x14ac:dyDescent="0.2">
      <c r="E18" s="140"/>
      <c r="F18" s="140"/>
      <c r="G18" s="140"/>
      <c r="H18" s="140"/>
      <c r="I18" s="140"/>
    </row>
    <row r="19" spans="1:9" x14ac:dyDescent="0.2">
      <c r="A19" s="476" t="s">
        <v>151</v>
      </c>
      <c r="B19" s="476"/>
      <c r="C19" s="476"/>
      <c r="D19" s="476" t="s">
        <v>163</v>
      </c>
      <c r="E19" s="476"/>
      <c r="F19" s="476"/>
      <c r="G19" s="476"/>
      <c r="H19" s="476"/>
      <c r="I19" s="476"/>
    </row>
    <row r="20" spans="1:9" x14ac:dyDescent="0.2">
      <c r="D20" s="476" t="s">
        <v>164</v>
      </c>
      <c r="E20" s="476"/>
      <c r="F20" s="476"/>
      <c r="G20" s="476"/>
      <c r="H20" s="476"/>
      <c r="I20" s="476"/>
    </row>
    <row r="21" spans="1:9" x14ac:dyDescent="0.2">
      <c r="D21" s="476" t="s">
        <v>165</v>
      </c>
      <c r="E21" s="476"/>
      <c r="F21" s="476"/>
      <c r="G21" s="476"/>
      <c r="H21" s="476"/>
      <c r="I21" s="476"/>
    </row>
    <row r="22" spans="1:9" x14ac:dyDescent="0.2">
      <c r="D22" s="142"/>
      <c r="E22" s="142"/>
      <c r="F22" s="142"/>
      <c r="G22" s="142"/>
      <c r="H22" s="142"/>
      <c r="I22" s="142"/>
    </row>
    <row r="23" spans="1:9" x14ac:dyDescent="0.2">
      <c r="A23" s="476" t="s">
        <v>160</v>
      </c>
      <c r="B23" s="476"/>
      <c r="C23" s="476"/>
      <c r="D23" s="476" t="s">
        <v>166</v>
      </c>
      <c r="E23" s="476"/>
      <c r="F23" s="476"/>
      <c r="G23" s="476"/>
      <c r="H23" s="476"/>
      <c r="I23" s="476"/>
    </row>
    <row r="24" spans="1:9" x14ac:dyDescent="0.2">
      <c r="A24" s="142"/>
      <c r="B24" s="142"/>
      <c r="C24" s="142"/>
      <c r="D24" s="476" t="s">
        <v>167</v>
      </c>
      <c r="E24" s="476"/>
      <c r="F24" s="476"/>
      <c r="G24" s="476"/>
      <c r="H24" s="476"/>
      <c r="I24" s="476"/>
    </row>
    <row r="25" spans="1:9" x14ac:dyDescent="0.2">
      <c r="A25" s="142"/>
      <c r="B25" s="142"/>
      <c r="C25" s="142"/>
      <c r="D25" s="476" t="s">
        <v>168</v>
      </c>
      <c r="E25" s="476"/>
      <c r="F25" s="476"/>
      <c r="G25" s="476"/>
      <c r="H25" s="476"/>
      <c r="I25" s="476"/>
    </row>
    <row r="26" spans="1:9" x14ac:dyDescent="0.2">
      <c r="A26" s="142"/>
      <c r="B26" s="142"/>
      <c r="C26" s="142"/>
      <c r="D26" s="142"/>
      <c r="E26" s="142"/>
      <c r="F26" s="142"/>
      <c r="G26" s="142"/>
      <c r="H26" s="142"/>
      <c r="I26" s="142"/>
    </row>
    <row r="27" spans="1:9" x14ac:dyDescent="0.2">
      <c r="A27" s="476" t="s">
        <v>155</v>
      </c>
      <c r="B27" s="476"/>
      <c r="C27" s="476"/>
      <c r="D27" s="476" t="s">
        <v>169</v>
      </c>
      <c r="E27" s="476"/>
      <c r="F27" s="476"/>
      <c r="G27" s="476"/>
      <c r="H27" s="476"/>
      <c r="I27" s="476"/>
    </row>
    <row r="28" spans="1:9" x14ac:dyDescent="0.2">
      <c r="D28" s="476" t="s">
        <v>170</v>
      </c>
      <c r="E28" s="476"/>
      <c r="F28" s="476"/>
      <c r="G28" s="476"/>
      <c r="H28" s="476"/>
      <c r="I28" s="476"/>
    </row>
    <row r="29" spans="1:9" x14ac:dyDescent="0.2">
      <c r="C29" s="143"/>
      <c r="D29" s="143"/>
      <c r="E29" s="143"/>
      <c r="F29" s="143"/>
    </row>
    <row r="30" spans="1:9" x14ac:dyDescent="0.2">
      <c r="A30" s="138" t="s">
        <v>157</v>
      </c>
      <c r="B30" s="64"/>
    </row>
    <row r="32" spans="1:9" x14ac:dyDescent="0.2">
      <c r="A32" s="256"/>
      <c r="B32" s="256"/>
      <c r="C32" s="256"/>
      <c r="D32" s="256"/>
      <c r="E32" s="256"/>
      <c r="F32" s="256"/>
      <c r="G32" s="256"/>
      <c r="H32" s="256"/>
      <c r="I32" s="256"/>
    </row>
    <row r="33" spans="1:9" x14ac:dyDescent="0.2">
      <c r="A33" s="256"/>
      <c r="B33" s="256"/>
      <c r="C33" s="256"/>
      <c r="D33" s="256"/>
      <c r="E33" s="256"/>
      <c r="F33" s="256"/>
      <c r="G33" s="256"/>
      <c r="H33" s="256"/>
      <c r="I33" s="256"/>
    </row>
    <row r="34" spans="1:9" x14ac:dyDescent="0.2">
      <c r="A34" s="256"/>
      <c r="B34" s="256"/>
      <c r="C34" s="256"/>
      <c r="D34" s="256"/>
      <c r="E34" s="256"/>
      <c r="F34" s="256"/>
      <c r="G34" s="256"/>
      <c r="H34" s="256"/>
      <c r="I34" s="256"/>
    </row>
    <row r="35" spans="1:9" x14ac:dyDescent="0.2">
      <c r="A35" s="256"/>
      <c r="B35" s="256"/>
      <c r="C35" s="256"/>
      <c r="D35" s="256"/>
      <c r="E35" s="256"/>
      <c r="F35" s="256"/>
      <c r="G35" s="256"/>
      <c r="H35" s="256"/>
      <c r="I35" s="256"/>
    </row>
    <row r="36" spans="1:9" x14ac:dyDescent="0.2">
      <c r="A36" s="256"/>
      <c r="B36" s="256"/>
      <c r="C36" s="256"/>
      <c r="D36" s="256"/>
      <c r="E36" s="256"/>
      <c r="F36" s="256"/>
      <c r="G36" s="256"/>
      <c r="H36" s="256"/>
      <c r="I36" s="256"/>
    </row>
    <row r="37" spans="1:9" x14ac:dyDescent="0.2">
      <c r="A37" s="256"/>
      <c r="B37" s="256"/>
      <c r="C37" s="256"/>
      <c r="D37" s="256"/>
      <c r="E37" s="256"/>
      <c r="F37" s="256"/>
      <c r="G37" s="256"/>
      <c r="H37" s="256"/>
      <c r="I37" s="256"/>
    </row>
    <row r="38" spans="1:9" x14ac:dyDescent="0.2">
      <c r="A38" s="256"/>
      <c r="B38" s="256"/>
      <c r="C38" s="256"/>
      <c r="D38" s="256"/>
      <c r="E38" s="256"/>
      <c r="F38" s="256"/>
      <c r="G38" s="256"/>
      <c r="H38" s="256"/>
      <c r="I38" s="256"/>
    </row>
    <row r="39" spans="1:9" x14ac:dyDescent="0.2">
      <c r="A39" s="256"/>
      <c r="B39" s="256"/>
      <c r="C39" s="256"/>
      <c r="D39" s="256"/>
      <c r="E39" s="256"/>
      <c r="F39" s="256"/>
      <c r="G39" s="256"/>
      <c r="H39" s="256"/>
      <c r="I39" s="256"/>
    </row>
    <row r="40" spans="1:9" x14ac:dyDescent="0.2">
      <c r="A40" s="256"/>
      <c r="B40" s="256"/>
      <c r="C40" s="256"/>
      <c r="D40" s="256"/>
      <c r="E40" s="256"/>
      <c r="F40" s="256"/>
      <c r="G40" s="256"/>
      <c r="H40" s="256"/>
      <c r="I40" s="256"/>
    </row>
    <row r="41" spans="1:9" x14ac:dyDescent="0.2">
      <c r="A41" s="256"/>
      <c r="B41" s="256"/>
      <c r="C41" s="256"/>
      <c r="D41" s="256"/>
      <c r="E41" s="256"/>
      <c r="F41" s="256"/>
      <c r="G41" s="256"/>
      <c r="H41" s="256"/>
      <c r="I41" s="256"/>
    </row>
    <row r="42" spans="1:9" x14ac:dyDescent="0.2">
      <c r="A42" s="256"/>
      <c r="B42" s="256"/>
      <c r="C42" s="256"/>
      <c r="D42" s="256"/>
      <c r="E42" s="256"/>
      <c r="F42" s="256"/>
      <c r="G42" s="256"/>
      <c r="H42" s="256"/>
      <c r="I42" s="256"/>
    </row>
    <row r="43" spans="1:9" x14ac:dyDescent="0.2">
      <c r="A43" s="256"/>
      <c r="B43" s="256"/>
      <c r="C43" s="256"/>
      <c r="D43" s="256"/>
      <c r="E43" s="256"/>
      <c r="F43" s="256"/>
      <c r="G43" s="256"/>
      <c r="H43" s="256"/>
      <c r="I43" s="256"/>
    </row>
    <row r="44" spans="1:9" x14ac:dyDescent="0.2">
      <c r="A44" s="256"/>
      <c r="B44" s="256"/>
      <c r="C44" s="256"/>
      <c r="D44" s="256"/>
      <c r="E44" s="256"/>
      <c r="F44" s="256"/>
      <c r="G44" s="256"/>
      <c r="H44" s="256"/>
      <c r="I44" s="256"/>
    </row>
    <row r="45" spans="1:9" x14ac:dyDescent="0.2">
      <c r="A45" s="256"/>
      <c r="B45" s="256"/>
      <c r="C45" s="256"/>
      <c r="D45" s="256"/>
      <c r="E45" s="256"/>
      <c r="F45" s="256"/>
      <c r="G45" s="256"/>
      <c r="H45" s="256"/>
      <c r="I45" s="256"/>
    </row>
    <row r="46" spans="1:9" x14ac:dyDescent="0.2">
      <c r="A46" s="256"/>
      <c r="B46" s="256"/>
      <c r="C46" s="256"/>
      <c r="D46" s="256"/>
      <c r="E46" s="256"/>
      <c r="F46" s="256"/>
      <c r="G46" s="256"/>
      <c r="H46" s="256"/>
      <c r="I46" s="256"/>
    </row>
    <row r="51" spans="1:5" ht="20.25" x14ac:dyDescent="0.2">
      <c r="A51" s="475" t="s">
        <v>161</v>
      </c>
      <c r="B51" s="475"/>
      <c r="C51" s="475"/>
      <c r="D51" s="475"/>
      <c r="E51" s="475"/>
    </row>
  </sheetData>
  <mergeCells count="29">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 ref="A19:C19"/>
    <mergeCell ref="D19:I19"/>
    <mergeCell ref="D20:I20"/>
    <mergeCell ref="D21:I21"/>
    <mergeCell ref="A23:C23"/>
    <mergeCell ref="D23:I23"/>
    <mergeCell ref="A51:E51"/>
    <mergeCell ref="D24:I24"/>
    <mergeCell ref="D25:I25"/>
    <mergeCell ref="A27:C27"/>
    <mergeCell ref="D27:I27"/>
    <mergeCell ref="D28:I28"/>
    <mergeCell ref="A32:I46"/>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0"/>
  <sheetViews>
    <sheetView workbookViewId="0">
      <selection activeCell="Z13" sqref="Z13"/>
    </sheetView>
  </sheetViews>
  <sheetFormatPr baseColWidth="10" defaultRowHeight="12.75" x14ac:dyDescent="0.2"/>
  <cols>
    <col min="1" max="1" customWidth="true" style="147" width="12.28515625" collapsed="true"/>
    <col min="2" max="3" customWidth="true" style="5" width="6.42578125" collapsed="true"/>
    <col min="4" max="4" customWidth="true" style="5" width="10.140625" collapsed="true"/>
    <col min="5" max="5" customWidth="true" style="5" width="8.28515625" collapsed="true"/>
    <col min="6" max="6" customWidth="true" style="5" width="8.140625" collapsed="true"/>
    <col min="7" max="14" customWidth="true" style="5" width="6.42578125" collapsed="true"/>
    <col min="15" max="15" customWidth="true" style="5" width="5.28515625" collapsed="true"/>
    <col min="16" max="16" customWidth="true" style="5" width="6.42578125" collapsed="true"/>
    <col min="17" max="17" customWidth="true" style="5" width="10.7109375" collapsed="true"/>
    <col min="18" max="19" customWidth="true" style="5" width="6.42578125" collapsed="true"/>
    <col min="20" max="20" customWidth="true" style="5" width="6.5703125" collapsed="true"/>
    <col min="21" max="21" customWidth="true" style="5" width="6.42578125" collapsed="true"/>
    <col min="22" max="22" customWidth="true" style="5" width="8.5703125" collapsed="true"/>
    <col min="257" max="257" customWidth="true" width="12.28515625" collapsed="true"/>
    <col min="258" max="259" customWidth="true" width="6.42578125" collapsed="true"/>
    <col min="260" max="260" customWidth="true" width="10.140625" collapsed="true"/>
    <col min="261" max="261" customWidth="true" width="8.28515625" collapsed="true"/>
    <col min="262" max="262" customWidth="true" width="8.140625" collapsed="true"/>
    <col min="263" max="270" customWidth="true" width="6.42578125" collapsed="true"/>
    <col min="271" max="271" customWidth="true" width="5.28515625" collapsed="true"/>
    <col min="272" max="272" customWidth="true" width="6.42578125" collapsed="true"/>
    <col min="273" max="273" customWidth="true" width="10.7109375" collapsed="true"/>
    <col min="274" max="275" customWidth="true" width="6.42578125" collapsed="true"/>
    <col min="276" max="276" customWidth="true" width="6.5703125" collapsed="true"/>
    <col min="277" max="277" customWidth="true" width="6.42578125" collapsed="true"/>
    <col min="278" max="278" customWidth="true" width="8.5703125" collapsed="true"/>
    <col min="513" max="513" customWidth="true" width="12.28515625" collapsed="true"/>
    <col min="514" max="515" customWidth="true" width="6.42578125" collapsed="true"/>
    <col min="516" max="516" customWidth="true" width="10.140625" collapsed="true"/>
    <col min="517" max="517" customWidth="true" width="8.28515625" collapsed="true"/>
    <col min="518" max="518" customWidth="true" width="8.140625" collapsed="true"/>
    <col min="519" max="526" customWidth="true" width="6.42578125" collapsed="true"/>
    <col min="527" max="527" customWidth="true" width="5.28515625" collapsed="true"/>
    <col min="528" max="528" customWidth="true" width="6.42578125" collapsed="true"/>
    <col min="529" max="529" customWidth="true" width="10.7109375" collapsed="true"/>
    <col min="530" max="531" customWidth="true" width="6.42578125" collapsed="true"/>
    <col min="532" max="532" customWidth="true" width="6.5703125" collapsed="true"/>
    <col min="533" max="533" customWidth="true" width="6.42578125" collapsed="true"/>
    <col min="534" max="534" customWidth="true" width="8.5703125" collapsed="true"/>
    <col min="769" max="769" customWidth="true" width="12.28515625" collapsed="true"/>
    <col min="770" max="771" customWidth="true" width="6.42578125" collapsed="true"/>
    <col min="772" max="772" customWidth="true" width="10.140625" collapsed="true"/>
    <col min="773" max="773" customWidth="true" width="8.28515625" collapsed="true"/>
    <col min="774" max="774" customWidth="true" width="8.140625" collapsed="true"/>
    <col min="775" max="782" customWidth="true" width="6.42578125" collapsed="true"/>
    <col min="783" max="783" customWidth="true" width="5.28515625" collapsed="true"/>
    <col min="784" max="784" customWidth="true" width="6.42578125" collapsed="true"/>
    <col min="785" max="785" customWidth="true" width="10.7109375" collapsed="true"/>
    <col min="786" max="787" customWidth="true" width="6.42578125" collapsed="true"/>
    <col min="788" max="788" customWidth="true" width="6.5703125" collapsed="true"/>
    <col min="789" max="789" customWidth="true" width="6.42578125" collapsed="true"/>
    <col min="790" max="790" customWidth="true" width="8.5703125" collapsed="true"/>
    <col min="1025" max="1025" customWidth="true" width="12.28515625" collapsed="true"/>
    <col min="1026" max="1027" customWidth="true" width="6.42578125" collapsed="true"/>
    <col min="1028" max="1028" customWidth="true" width="10.140625" collapsed="true"/>
    <col min="1029" max="1029" customWidth="true" width="8.28515625" collapsed="true"/>
    <col min="1030" max="1030" customWidth="true" width="8.140625" collapsed="true"/>
    <col min="1031" max="1038" customWidth="true" width="6.42578125" collapsed="true"/>
    <col min="1039" max="1039" customWidth="true" width="5.28515625" collapsed="true"/>
    <col min="1040" max="1040" customWidth="true" width="6.42578125" collapsed="true"/>
    <col min="1041" max="1041" customWidth="true" width="10.7109375" collapsed="true"/>
    <col min="1042" max="1043" customWidth="true" width="6.42578125" collapsed="true"/>
    <col min="1044" max="1044" customWidth="true" width="6.5703125" collapsed="true"/>
    <col min="1045" max="1045" customWidth="true" width="6.42578125" collapsed="true"/>
    <col min="1046" max="1046" customWidth="true" width="8.5703125" collapsed="true"/>
    <col min="1281" max="1281" customWidth="true" width="12.28515625" collapsed="true"/>
    <col min="1282" max="1283" customWidth="true" width="6.42578125" collapsed="true"/>
    <col min="1284" max="1284" customWidth="true" width="10.140625" collapsed="true"/>
    <col min="1285" max="1285" customWidth="true" width="8.28515625" collapsed="true"/>
    <col min="1286" max="1286" customWidth="true" width="8.140625" collapsed="true"/>
    <col min="1287" max="1294" customWidth="true" width="6.42578125" collapsed="true"/>
    <col min="1295" max="1295" customWidth="true" width="5.28515625" collapsed="true"/>
    <col min="1296" max="1296" customWidth="true" width="6.42578125" collapsed="true"/>
    <col min="1297" max="1297" customWidth="true" width="10.7109375" collapsed="true"/>
    <col min="1298" max="1299" customWidth="true" width="6.42578125" collapsed="true"/>
    <col min="1300" max="1300" customWidth="true" width="6.5703125" collapsed="true"/>
    <col min="1301" max="1301" customWidth="true" width="6.42578125" collapsed="true"/>
    <col min="1302" max="1302" customWidth="true" width="8.5703125" collapsed="true"/>
    <col min="1537" max="1537" customWidth="true" width="12.28515625" collapsed="true"/>
    <col min="1538" max="1539" customWidth="true" width="6.42578125" collapsed="true"/>
    <col min="1540" max="1540" customWidth="true" width="10.140625" collapsed="true"/>
    <col min="1541" max="1541" customWidth="true" width="8.28515625" collapsed="true"/>
    <col min="1542" max="1542" customWidth="true" width="8.140625" collapsed="true"/>
    <col min="1543" max="1550" customWidth="true" width="6.42578125" collapsed="true"/>
    <col min="1551" max="1551" customWidth="true" width="5.28515625" collapsed="true"/>
    <col min="1552" max="1552" customWidth="true" width="6.42578125" collapsed="true"/>
    <col min="1553" max="1553" customWidth="true" width="10.7109375" collapsed="true"/>
    <col min="1554" max="1555" customWidth="true" width="6.42578125" collapsed="true"/>
    <col min="1556" max="1556" customWidth="true" width="6.5703125" collapsed="true"/>
    <col min="1557" max="1557" customWidth="true" width="6.42578125" collapsed="true"/>
    <col min="1558" max="1558" customWidth="true" width="8.5703125" collapsed="true"/>
    <col min="1793" max="1793" customWidth="true" width="12.28515625" collapsed="true"/>
    <col min="1794" max="1795" customWidth="true" width="6.42578125" collapsed="true"/>
    <col min="1796" max="1796" customWidth="true" width="10.140625" collapsed="true"/>
    <col min="1797" max="1797" customWidth="true" width="8.28515625" collapsed="true"/>
    <col min="1798" max="1798" customWidth="true" width="8.140625" collapsed="true"/>
    <col min="1799" max="1806" customWidth="true" width="6.42578125" collapsed="true"/>
    <col min="1807" max="1807" customWidth="true" width="5.28515625" collapsed="true"/>
    <col min="1808" max="1808" customWidth="true" width="6.42578125" collapsed="true"/>
    <col min="1809" max="1809" customWidth="true" width="10.7109375" collapsed="true"/>
    <col min="1810" max="1811" customWidth="true" width="6.42578125" collapsed="true"/>
    <col min="1812" max="1812" customWidth="true" width="6.5703125" collapsed="true"/>
    <col min="1813" max="1813" customWidth="true" width="6.42578125" collapsed="true"/>
    <col min="1814" max="1814" customWidth="true" width="8.5703125" collapsed="true"/>
    <col min="2049" max="2049" customWidth="true" width="12.28515625" collapsed="true"/>
    <col min="2050" max="2051" customWidth="true" width="6.42578125" collapsed="true"/>
    <col min="2052" max="2052" customWidth="true" width="10.140625" collapsed="true"/>
    <col min="2053" max="2053" customWidth="true" width="8.28515625" collapsed="true"/>
    <col min="2054" max="2054" customWidth="true" width="8.140625" collapsed="true"/>
    <col min="2055" max="2062" customWidth="true" width="6.42578125" collapsed="true"/>
    <col min="2063" max="2063" customWidth="true" width="5.28515625" collapsed="true"/>
    <col min="2064" max="2064" customWidth="true" width="6.42578125" collapsed="true"/>
    <col min="2065" max="2065" customWidth="true" width="10.7109375" collapsed="true"/>
    <col min="2066" max="2067" customWidth="true" width="6.42578125" collapsed="true"/>
    <col min="2068" max="2068" customWidth="true" width="6.5703125" collapsed="true"/>
    <col min="2069" max="2069" customWidth="true" width="6.42578125" collapsed="true"/>
    <col min="2070" max="2070" customWidth="true" width="8.5703125" collapsed="true"/>
    <col min="2305" max="2305" customWidth="true" width="12.28515625" collapsed="true"/>
    <col min="2306" max="2307" customWidth="true" width="6.42578125" collapsed="true"/>
    <col min="2308" max="2308" customWidth="true" width="10.140625" collapsed="true"/>
    <col min="2309" max="2309" customWidth="true" width="8.28515625" collapsed="true"/>
    <col min="2310" max="2310" customWidth="true" width="8.140625" collapsed="true"/>
    <col min="2311" max="2318" customWidth="true" width="6.42578125" collapsed="true"/>
    <col min="2319" max="2319" customWidth="true" width="5.28515625" collapsed="true"/>
    <col min="2320" max="2320" customWidth="true" width="6.42578125" collapsed="true"/>
    <col min="2321" max="2321" customWidth="true" width="10.7109375" collapsed="true"/>
    <col min="2322" max="2323" customWidth="true" width="6.42578125" collapsed="true"/>
    <col min="2324" max="2324" customWidth="true" width="6.5703125" collapsed="true"/>
    <col min="2325" max="2325" customWidth="true" width="6.42578125" collapsed="true"/>
    <col min="2326" max="2326" customWidth="true" width="8.5703125" collapsed="true"/>
    <col min="2561" max="2561" customWidth="true" width="12.28515625" collapsed="true"/>
    <col min="2562" max="2563" customWidth="true" width="6.42578125" collapsed="true"/>
    <col min="2564" max="2564" customWidth="true" width="10.140625" collapsed="true"/>
    <col min="2565" max="2565" customWidth="true" width="8.28515625" collapsed="true"/>
    <col min="2566" max="2566" customWidth="true" width="8.140625" collapsed="true"/>
    <col min="2567" max="2574" customWidth="true" width="6.42578125" collapsed="true"/>
    <col min="2575" max="2575" customWidth="true" width="5.28515625" collapsed="true"/>
    <col min="2576" max="2576" customWidth="true" width="6.42578125" collapsed="true"/>
    <col min="2577" max="2577" customWidth="true" width="10.7109375" collapsed="true"/>
    <col min="2578" max="2579" customWidth="true" width="6.42578125" collapsed="true"/>
    <col min="2580" max="2580" customWidth="true" width="6.5703125" collapsed="true"/>
    <col min="2581" max="2581" customWidth="true" width="6.42578125" collapsed="true"/>
    <col min="2582" max="2582" customWidth="true" width="8.5703125" collapsed="true"/>
    <col min="2817" max="2817" customWidth="true" width="12.28515625" collapsed="true"/>
    <col min="2818" max="2819" customWidth="true" width="6.42578125" collapsed="true"/>
    <col min="2820" max="2820" customWidth="true" width="10.140625" collapsed="true"/>
    <col min="2821" max="2821" customWidth="true" width="8.28515625" collapsed="true"/>
    <col min="2822" max="2822" customWidth="true" width="8.140625" collapsed="true"/>
    <col min="2823" max="2830" customWidth="true" width="6.42578125" collapsed="true"/>
    <col min="2831" max="2831" customWidth="true" width="5.28515625" collapsed="true"/>
    <col min="2832" max="2832" customWidth="true" width="6.42578125" collapsed="true"/>
    <col min="2833" max="2833" customWidth="true" width="10.7109375" collapsed="true"/>
    <col min="2834" max="2835" customWidth="true" width="6.42578125" collapsed="true"/>
    <col min="2836" max="2836" customWidth="true" width="6.5703125" collapsed="true"/>
    <col min="2837" max="2837" customWidth="true" width="6.42578125" collapsed="true"/>
    <col min="2838" max="2838" customWidth="true" width="8.5703125" collapsed="true"/>
    <col min="3073" max="3073" customWidth="true" width="12.28515625" collapsed="true"/>
    <col min="3074" max="3075" customWidth="true" width="6.42578125" collapsed="true"/>
    <col min="3076" max="3076" customWidth="true" width="10.140625" collapsed="true"/>
    <col min="3077" max="3077" customWidth="true" width="8.28515625" collapsed="true"/>
    <col min="3078" max="3078" customWidth="true" width="8.140625" collapsed="true"/>
    <col min="3079" max="3086" customWidth="true" width="6.42578125" collapsed="true"/>
    <col min="3087" max="3087" customWidth="true" width="5.28515625" collapsed="true"/>
    <col min="3088" max="3088" customWidth="true" width="6.42578125" collapsed="true"/>
    <col min="3089" max="3089" customWidth="true" width="10.7109375" collapsed="true"/>
    <col min="3090" max="3091" customWidth="true" width="6.42578125" collapsed="true"/>
    <col min="3092" max="3092" customWidth="true" width="6.5703125" collapsed="true"/>
    <col min="3093" max="3093" customWidth="true" width="6.42578125" collapsed="true"/>
    <col min="3094" max="3094" customWidth="true" width="8.5703125" collapsed="true"/>
    <col min="3329" max="3329" customWidth="true" width="12.28515625" collapsed="true"/>
    <col min="3330" max="3331" customWidth="true" width="6.42578125" collapsed="true"/>
    <col min="3332" max="3332" customWidth="true" width="10.140625" collapsed="true"/>
    <col min="3333" max="3333" customWidth="true" width="8.28515625" collapsed="true"/>
    <col min="3334" max="3334" customWidth="true" width="8.140625" collapsed="true"/>
    <col min="3335" max="3342" customWidth="true" width="6.42578125" collapsed="true"/>
    <col min="3343" max="3343" customWidth="true" width="5.28515625" collapsed="true"/>
    <col min="3344" max="3344" customWidth="true" width="6.42578125" collapsed="true"/>
    <col min="3345" max="3345" customWidth="true" width="10.7109375" collapsed="true"/>
    <col min="3346" max="3347" customWidth="true" width="6.42578125" collapsed="true"/>
    <col min="3348" max="3348" customWidth="true" width="6.5703125" collapsed="true"/>
    <col min="3349" max="3349" customWidth="true" width="6.42578125" collapsed="true"/>
    <col min="3350" max="3350" customWidth="true" width="8.5703125" collapsed="true"/>
    <col min="3585" max="3585" customWidth="true" width="12.28515625" collapsed="true"/>
    <col min="3586" max="3587" customWidth="true" width="6.42578125" collapsed="true"/>
    <col min="3588" max="3588" customWidth="true" width="10.140625" collapsed="true"/>
    <col min="3589" max="3589" customWidth="true" width="8.28515625" collapsed="true"/>
    <col min="3590" max="3590" customWidth="true" width="8.140625" collapsed="true"/>
    <col min="3591" max="3598" customWidth="true" width="6.42578125" collapsed="true"/>
    <col min="3599" max="3599" customWidth="true" width="5.28515625" collapsed="true"/>
    <col min="3600" max="3600" customWidth="true" width="6.42578125" collapsed="true"/>
    <col min="3601" max="3601" customWidth="true" width="10.7109375" collapsed="true"/>
    <col min="3602" max="3603" customWidth="true" width="6.42578125" collapsed="true"/>
    <col min="3604" max="3604" customWidth="true" width="6.5703125" collapsed="true"/>
    <col min="3605" max="3605" customWidth="true" width="6.42578125" collapsed="true"/>
    <col min="3606" max="3606" customWidth="true" width="8.5703125" collapsed="true"/>
    <col min="3841" max="3841" customWidth="true" width="12.28515625" collapsed="true"/>
    <col min="3842" max="3843" customWidth="true" width="6.42578125" collapsed="true"/>
    <col min="3844" max="3844" customWidth="true" width="10.140625" collapsed="true"/>
    <col min="3845" max="3845" customWidth="true" width="8.28515625" collapsed="true"/>
    <col min="3846" max="3846" customWidth="true" width="8.140625" collapsed="true"/>
    <col min="3847" max="3854" customWidth="true" width="6.42578125" collapsed="true"/>
    <col min="3855" max="3855" customWidth="true" width="5.28515625" collapsed="true"/>
    <col min="3856" max="3856" customWidth="true" width="6.42578125" collapsed="true"/>
    <col min="3857" max="3857" customWidth="true" width="10.7109375" collapsed="true"/>
    <col min="3858" max="3859" customWidth="true" width="6.42578125" collapsed="true"/>
    <col min="3860" max="3860" customWidth="true" width="6.5703125" collapsed="true"/>
    <col min="3861" max="3861" customWidth="true" width="6.42578125" collapsed="true"/>
    <col min="3862" max="3862" customWidth="true" width="8.5703125" collapsed="true"/>
    <col min="4097" max="4097" customWidth="true" width="12.28515625" collapsed="true"/>
    <col min="4098" max="4099" customWidth="true" width="6.42578125" collapsed="true"/>
    <col min="4100" max="4100" customWidth="true" width="10.140625" collapsed="true"/>
    <col min="4101" max="4101" customWidth="true" width="8.28515625" collapsed="true"/>
    <col min="4102" max="4102" customWidth="true" width="8.140625" collapsed="true"/>
    <col min="4103" max="4110" customWidth="true" width="6.42578125" collapsed="true"/>
    <col min="4111" max="4111" customWidth="true" width="5.28515625" collapsed="true"/>
    <col min="4112" max="4112" customWidth="true" width="6.42578125" collapsed="true"/>
    <col min="4113" max="4113" customWidth="true" width="10.7109375" collapsed="true"/>
    <col min="4114" max="4115" customWidth="true" width="6.42578125" collapsed="true"/>
    <col min="4116" max="4116" customWidth="true" width="6.5703125" collapsed="true"/>
    <col min="4117" max="4117" customWidth="true" width="6.42578125" collapsed="true"/>
    <col min="4118" max="4118" customWidth="true" width="8.5703125" collapsed="true"/>
    <col min="4353" max="4353" customWidth="true" width="12.28515625" collapsed="true"/>
    <col min="4354" max="4355" customWidth="true" width="6.42578125" collapsed="true"/>
    <col min="4356" max="4356" customWidth="true" width="10.140625" collapsed="true"/>
    <col min="4357" max="4357" customWidth="true" width="8.28515625" collapsed="true"/>
    <col min="4358" max="4358" customWidth="true" width="8.140625" collapsed="true"/>
    <col min="4359" max="4366" customWidth="true" width="6.42578125" collapsed="true"/>
    <col min="4367" max="4367" customWidth="true" width="5.28515625" collapsed="true"/>
    <col min="4368" max="4368" customWidth="true" width="6.42578125" collapsed="true"/>
    <col min="4369" max="4369" customWidth="true" width="10.7109375" collapsed="true"/>
    <col min="4370" max="4371" customWidth="true" width="6.42578125" collapsed="true"/>
    <col min="4372" max="4372" customWidth="true" width="6.5703125" collapsed="true"/>
    <col min="4373" max="4373" customWidth="true" width="6.42578125" collapsed="true"/>
    <col min="4374" max="4374" customWidth="true" width="8.5703125" collapsed="true"/>
    <col min="4609" max="4609" customWidth="true" width="12.28515625" collapsed="true"/>
    <col min="4610" max="4611" customWidth="true" width="6.42578125" collapsed="true"/>
    <col min="4612" max="4612" customWidth="true" width="10.140625" collapsed="true"/>
    <col min="4613" max="4613" customWidth="true" width="8.28515625" collapsed="true"/>
    <col min="4614" max="4614" customWidth="true" width="8.140625" collapsed="true"/>
    <col min="4615" max="4622" customWidth="true" width="6.42578125" collapsed="true"/>
    <col min="4623" max="4623" customWidth="true" width="5.28515625" collapsed="true"/>
    <col min="4624" max="4624" customWidth="true" width="6.42578125" collapsed="true"/>
    <col min="4625" max="4625" customWidth="true" width="10.7109375" collapsed="true"/>
    <col min="4626" max="4627" customWidth="true" width="6.42578125" collapsed="true"/>
    <col min="4628" max="4628" customWidth="true" width="6.5703125" collapsed="true"/>
    <col min="4629" max="4629" customWidth="true" width="6.42578125" collapsed="true"/>
    <col min="4630" max="4630" customWidth="true" width="8.5703125" collapsed="true"/>
    <col min="4865" max="4865" customWidth="true" width="12.28515625" collapsed="true"/>
    <col min="4866" max="4867" customWidth="true" width="6.42578125" collapsed="true"/>
    <col min="4868" max="4868" customWidth="true" width="10.140625" collapsed="true"/>
    <col min="4869" max="4869" customWidth="true" width="8.28515625" collapsed="true"/>
    <col min="4870" max="4870" customWidth="true" width="8.140625" collapsed="true"/>
    <col min="4871" max="4878" customWidth="true" width="6.42578125" collapsed="true"/>
    <col min="4879" max="4879" customWidth="true" width="5.28515625" collapsed="true"/>
    <col min="4880" max="4880" customWidth="true" width="6.42578125" collapsed="true"/>
    <col min="4881" max="4881" customWidth="true" width="10.7109375" collapsed="true"/>
    <col min="4882" max="4883" customWidth="true" width="6.42578125" collapsed="true"/>
    <col min="4884" max="4884" customWidth="true" width="6.5703125" collapsed="true"/>
    <col min="4885" max="4885" customWidth="true" width="6.42578125" collapsed="true"/>
    <col min="4886" max="4886" customWidth="true" width="8.5703125" collapsed="true"/>
    <col min="5121" max="5121" customWidth="true" width="12.28515625" collapsed="true"/>
    <col min="5122" max="5123" customWidth="true" width="6.42578125" collapsed="true"/>
    <col min="5124" max="5124" customWidth="true" width="10.140625" collapsed="true"/>
    <col min="5125" max="5125" customWidth="true" width="8.28515625" collapsed="true"/>
    <col min="5126" max="5126" customWidth="true" width="8.140625" collapsed="true"/>
    <col min="5127" max="5134" customWidth="true" width="6.42578125" collapsed="true"/>
    <col min="5135" max="5135" customWidth="true" width="5.28515625" collapsed="true"/>
    <col min="5136" max="5136" customWidth="true" width="6.42578125" collapsed="true"/>
    <col min="5137" max="5137" customWidth="true" width="10.7109375" collapsed="true"/>
    <col min="5138" max="5139" customWidth="true" width="6.42578125" collapsed="true"/>
    <col min="5140" max="5140" customWidth="true" width="6.5703125" collapsed="true"/>
    <col min="5141" max="5141" customWidth="true" width="6.42578125" collapsed="true"/>
    <col min="5142" max="5142" customWidth="true" width="8.5703125" collapsed="true"/>
    <col min="5377" max="5377" customWidth="true" width="12.28515625" collapsed="true"/>
    <col min="5378" max="5379" customWidth="true" width="6.42578125" collapsed="true"/>
    <col min="5380" max="5380" customWidth="true" width="10.140625" collapsed="true"/>
    <col min="5381" max="5381" customWidth="true" width="8.28515625" collapsed="true"/>
    <col min="5382" max="5382" customWidth="true" width="8.140625" collapsed="true"/>
    <col min="5383" max="5390" customWidth="true" width="6.42578125" collapsed="true"/>
    <col min="5391" max="5391" customWidth="true" width="5.28515625" collapsed="true"/>
    <col min="5392" max="5392" customWidth="true" width="6.42578125" collapsed="true"/>
    <col min="5393" max="5393" customWidth="true" width="10.7109375" collapsed="true"/>
    <col min="5394" max="5395" customWidth="true" width="6.42578125" collapsed="true"/>
    <col min="5396" max="5396" customWidth="true" width="6.5703125" collapsed="true"/>
    <col min="5397" max="5397" customWidth="true" width="6.42578125" collapsed="true"/>
    <col min="5398" max="5398" customWidth="true" width="8.5703125" collapsed="true"/>
    <col min="5633" max="5633" customWidth="true" width="12.28515625" collapsed="true"/>
    <col min="5634" max="5635" customWidth="true" width="6.42578125" collapsed="true"/>
    <col min="5636" max="5636" customWidth="true" width="10.140625" collapsed="true"/>
    <col min="5637" max="5637" customWidth="true" width="8.28515625" collapsed="true"/>
    <col min="5638" max="5638" customWidth="true" width="8.140625" collapsed="true"/>
    <col min="5639" max="5646" customWidth="true" width="6.42578125" collapsed="true"/>
    <col min="5647" max="5647" customWidth="true" width="5.28515625" collapsed="true"/>
    <col min="5648" max="5648" customWidth="true" width="6.42578125" collapsed="true"/>
    <col min="5649" max="5649" customWidth="true" width="10.7109375" collapsed="true"/>
    <col min="5650" max="5651" customWidth="true" width="6.42578125" collapsed="true"/>
    <col min="5652" max="5652" customWidth="true" width="6.5703125" collapsed="true"/>
    <col min="5653" max="5653" customWidth="true" width="6.42578125" collapsed="true"/>
    <col min="5654" max="5654" customWidth="true" width="8.5703125" collapsed="true"/>
    <col min="5889" max="5889" customWidth="true" width="12.28515625" collapsed="true"/>
    <col min="5890" max="5891" customWidth="true" width="6.42578125" collapsed="true"/>
    <col min="5892" max="5892" customWidth="true" width="10.140625" collapsed="true"/>
    <col min="5893" max="5893" customWidth="true" width="8.28515625" collapsed="true"/>
    <col min="5894" max="5894" customWidth="true" width="8.140625" collapsed="true"/>
    <col min="5895" max="5902" customWidth="true" width="6.42578125" collapsed="true"/>
    <col min="5903" max="5903" customWidth="true" width="5.28515625" collapsed="true"/>
    <col min="5904" max="5904" customWidth="true" width="6.42578125" collapsed="true"/>
    <col min="5905" max="5905" customWidth="true" width="10.7109375" collapsed="true"/>
    <col min="5906" max="5907" customWidth="true" width="6.42578125" collapsed="true"/>
    <col min="5908" max="5908" customWidth="true" width="6.5703125" collapsed="true"/>
    <col min="5909" max="5909" customWidth="true" width="6.42578125" collapsed="true"/>
    <col min="5910" max="5910" customWidth="true" width="8.5703125" collapsed="true"/>
    <col min="6145" max="6145" customWidth="true" width="12.28515625" collapsed="true"/>
    <col min="6146" max="6147" customWidth="true" width="6.42578125" collapsed="true"/>
    <col min="6148" max="6148" customWidth="true" width="10.140625" collapsed="true"/>
    <col min="6149" max="6149" customWidth="true" width="8.28515625" collapsed="true"/>
    <col min="6150" max="6150" customWidth="true" width="8.140625" collapsed="true"/>
    <col min="6151" max="6158" customWidth="true" width="6.42578125" collapsed="true"/>
    <col min="6159" max="6159" customWidth="true" width="5.28515625" collapsed="true"/>
    <col min="6160" max="6160" customWidth="true" width="6.42578125" collapsed="true"/>
    <col min="6161" max="6161" customWidth="true" width="10.7109375" collapsed="true"/>
    <col min="6162" max="6163" customWidth="true" width="6.42578125" collapsed="true"/>
    <col min="6164" max="6164" customWidth="true" width="6.5703125" collapsed="true"/>
    <col min="6165" max="6165" customWidth="true" width="6.42578125" collapsed="true"/>
    <col min="6166" max="6166" customWidth="true" width="8.5703125" collapsed="true"/>
    <col min="6401" max="6401" customWidth="true" width="12.28515625" collapsed="true"/>
    <col min="6402" max="6403" customWidth="true" width="6.42578125" collapsed="true"/>
    <col min="6404" max="6404" customWidth="true" width="10.140625" collapsed="true"/>
    <col min="6405" max="6405" customWidth="true" width="8.28515625" collapsed="true"/>
    <col min="6406" max="6406" customWidth="true" width="8.140625" collapsed="true"/>
    <col min="6407" max="6414" customWidth="true" width="6.42578125" collapsed="true"/>
    <col min="6415" max="6415" customWidth="true" width="5.28515625" collapsed="true"/>
    <col min="6416" max="6416" customWidth="true" width="6.42578125" collapsed="true"/>
    <col min="6417" max="6417" customWidth="true" width="10.7109375" collapsed="true"/>
    <col min="6418" max="6419" customWidth="true" width="6.42578125" collapsed="true"/>
    <col min="6420" max="6420" customWidth="true" width="6.5703125" collapsed="true"/>
    <col min="6421" max="6421" customWidth="true" width="6.42578125" collapsed="true"/>
    <col min="6422" max="6422" customWidth="true" width="8.5703125" collapsed="true"/>
    <col min="6657" max="6657" customWidth="true" width="12.28515625" collapsed="true"/>
    <col min="6658" max="6659" customWidth="true" width="6.42578125" collapsed="true"/>
    <col min="6660" max="6660" customWidth="true" width="10.140625" collapsed="true"/>
    <col min="6661" max="6661" customWidth="true" width="8.28515625" collapsed="true"/>
    <col min="6662" max="6662" customWidth="true" width="8.140625" collapsed="true"/>
    <col min="6663" max="6670" customWidth="true" width="6.42578125" collapsed="true"/>
    <col min="6671" max="6671" customWidth="true" width="5.28515625" collapsed="true"/>
    <col min="6672" max="6672" customWidth="true" width="6.42578125" collapsed="true"/>
    <col min="6673" max="6673" customWidth="true" width="10.7109375" collapsed="true"/>
    <col min="6674" max="6675" customWidth="true" width="6.42578125" collapsed="true"/>
    <col min="6676" max="6676" customWidth="true" width="6.5703125" collapsed="true"/>
    <col min="6677" max="6677" customWidth="true" width="6.42578125" collapsed="true"/>
    <col min="6678" max="6678" customWidth="true" width="8.5703125" collapsed="true"/>
    <col min="6913" max="6913" customWidth="true" width="12.28515625" collapsed="true"/>
    <col min="6914" max="6915" customWidth="true" width="6.42578125" collapsed="true"/>
    <col min="6916" max="6916" customWidth="true" width="10.140625" collapsed="true"/>
    <col min="6917" max="6917" customWidth="true" width="8.28515625" collapsed="true"/>
    <col min="6918" max="6918" customWidth="true" width="8.140625" collapsed="true"/>
    <col min="6919" max="6926" customWidth="true" width="6.42578125" collapsed="true"/>
    <col min="6927" max="6927" customWidth="true" width="5.28515625" collapsed="true"/>
    <col min="6928" max="6928" customWidth="true" width="6.42578125" collapsed="true"/>
    <col min="6929" max="6929" customWidth="true" width="10.7109375" collapsed="true"/>
    <col min="6930" max="6931" customWidth="true" width="6.42578125" collapsed="true"/>
    <col min="6932" max="6932" customWidth="true" width="6.5703125" collapsed="true"/>
    <col min="6933" max="6933" customWidth="true" width="6.42578125" collapsed="true"/>
    <col min="6934" max="6934" customWidth="true" width="8.5703125" collapsed="true"/>
    <col min="7169" max="7169" customWidth="true" width="12.28515625" collapsed="true"/>
    <col min="7170" max="7171" customWidth="true" width="6.42578125" collapsed="true"/>
    <col min="7172" max="7172" customWidth="true" width="10.140625" collapsed="true"/>
    <col min="7173" max="7173" customWidth="true" width="8.28515625" collapsed="true"/>
    <col min="7174" max="7174" customWidth="true" width="8.140625" collapsed="true"/>
    <col min="7175" max="7182" customWidth="true" width="6.42578125" collapsed="true"/>
    <col min="7183" max="7183" customWidth="true" width="5.28515625" collapsed="true"/>
    <col min="7184" max="7184" customWidth="true" width="6.42578125" collapsed="true"/>
    <col min="7185" max="7185" customWidth="true" width="10.7109375" collapsed="true"/>
    <col min="7186" max="7187" customWidth="true" width="6.42578125" collapsed="true"/>
    <col min="7188" max="7188" customWidth="true" width="6.5703125" collapsed="true"/>
    <col min="7189" max="7189" customWidth="true" width="6.42578125" collapsed="true"/>
    <col min="7190" max="7190" customWidth="true" width="8.5703125" collapsed="true"/>
    <col min="7425" max="7425" customWidth="true" width="12.28515625" collapsed="true"/>
    <col min="7426" max="7427" customWidth="true" width="6.42578125" collapsed="true"/>
    <col min="7428" max="7428" customWidth="true" width="10.140625" collapsed="true"/>
    <col min="7429" max="7429" customWidth="true" width="8.28515625" collapsed="true"/>
    <col min="7430" max="7430" customWidth="true" width="8.140625" collapsed="true"/>
    <col min="7431" max="7438" customWidth="true" width="6.42578125" collapsed="true"/>
    <col min="7439" max="7439" customWidth="true" width="5.28515625" collapsed="true"/>
    <col min="7440" max="7440" customWidth="true" width="6.42578125" collapsed="true"/>
    <col min="7441" max="7441" customWidth="true" width="10.7109375" collapsed="true"/>
    <col min="7442" max="7443" customWidth="true" width="6.42578125" collapsed="true"/>
    <col min="7444" max="7444" customWidth="true" width="6.5703125" collapsed="true"/>
    <col min="7445" max="7445" customWidth="true" width="6.42578125" collapsed="true"/>
    <col min="7446" max="7446" customWidth="true" width="8.5703125" collapsed="true"/>
    <col min="7681" max="7681" customWidth="true" width="12.28515625" collapsed="true"/>
    <col min="7682" max="7683" customWidth="true" width="6.42578125" collapsed="true"/>
    <col min="7684" max="7684" customWidth="true" width="10.140625" collapsed="true"/>
    <col min="7685" max="7685" customWidth="true" width="8.28515625" collapsed="true"/>
    <col min="7686" max="7686" customWidth="true" width="8.140625" collapsed="true"/>
    <col min="7687" max="7694" customWidth="true" width="6.42578125" collapsed="true"/>
    <col min="7695" max="7695" customWidth="true" width="5.28515625" collapsed="true"/>
    <col min="7696" max="7696" customWidth="true" width="6.42578125" collapsed="true"/>
    <col min="7697" max="7697" customWidth="true" width="10.7109375" collapsed="true"/>
    <col min="7698" max="7699" customWidth="true" width="6.42578125" collapsed="true"/>
    <col min="7700" max="7700" customWidth="true" width="6.5703125" collapsed="true"/>
    <col min="7701" max="7701" customWidth="true" width="6.42578125" collapsed="true"/>
    <col min="7702" max="7702" customWidth="true" width="8.5703125" collapsed="true"/>
    <col min="7937" max="7937" customWidth="true" width="12.28515625" collapsed="true"/>
    <col min="7938" max="7939" customWidth="true" width="6.42578125" collapsed="true"/>
    <col min="7940" max="7940" customWidth="true" width="10.140625" collapsed="true"/>
    <col min="7941" max="7941" customWidth="true" width="8.28515625" collapsed="true"/>
    <col min="7942" max="7942" customWidth="true" width="8.140625" collapsed="true"/>
    <col min="7943" max="7950" customWidth="true" width="6.42578125" collapsed="true"/>
    <col min="7951" max="7951" customWidth="true" width="5.28515625" collapsed="true"/>
    <col min="7952" max="7952" customWidth="true" width="6.42578125" collapsed="true"/>
    <col min="7953" max="7953" customWidth="true" width="10.7109375" collapsed="true"/>
    <col min="7954" max="7955" customWidth="true" width="6.42578125" collapsed="true"/>
    <col min="7956" max="7956" customWidth="true" width="6.5703125" collapsed="true"/>
    <col min="7957" max="7957" customWidth="true" width="6.42578125" collapsed="true"/>
    <col min="7958" max="7958" customWidth="true" width="8.5703125" collapsed="true"/>
    <col min="8193" max="8193" customWidth="true" width="12.28515625" collapsed="true"/>
    <col min="8194" max="8195" customWidth="true" width="6.42578125" collapsed="true"/>
    <col min="8196" max="8196" customWidth="true" width="10.140625" collapsed="true"/>
    <col min="8197" max="8197" customWidth="true" width="8.28515625" collapsed="true"/>
    <col min="8198" max="8198" customWidth="true" width="8.140625" collapsed="true"/>
    <col min="8199" max="8206" customWidth="true" width="6.42578125" collapsed="true"/>
    <col min="8207" max="8207" customWidth="true" width="5.28515625" collapsed="true"/>
    <col min="8208" max="8208" customWidth="true" width="6.42578125" collapsed="true"/>
    <col min="8209" max="8209" customWidth="true" width="10.7109375" collapsed="true"/>
    <col min="8210" max="8211" customWidth="true" width="6.42578125" collapsed="true"/>
    <col min="8212" max="8212" customWidth="true" width="6.5703125" collapsed="true"/>
    <col min="8213" max="8213" customWidth="true" width="6.42578125" collapsed="true"/>
    <col min="8214" max="8214" customWidth="true" width="8.5703125" collapsed="true"/>
    <col min="8449" max="8449" customWidth="true" width="12.28515625" collapsed="true"/>
    <col min="8450" max="8451" customWidth="true" width="6.42578125" collapsed="true"/>
    <col min="8452" max="8452" customWidth="true" width="10.140625" collapsed="true"/>
    <col min="8453" max="8453" customWidth="true" width="8.28515625" collapsed="true"/>
    <col min="8454" max="8454" customWidth="true" width="8.140625" collapsed="true"/>
    <col min="8455" max="8462" customWidth="true" width="6.42578125" collapsed="true"/>
    <col min="8463" max="8463" customWidth="true" width="5.28515625" collapsed="true"/>
    <col min="8464" max="8464" customWidth="true" width="6.42578125" collapsed="true"/>
    <col min="8465" max="8465" customWidth="true" width="10.7109375" collapsed="true"/>
    <col min="8466" max="8467" customWidth="true" width="6.42578125" collapsed="true"/>
    <col min="8468" max="8468" customWidth="true" width="6.5703125" collapsed="true"/>
    <col min="8469" max="8469" customWidth="true" width="6.42578125" collapsed="true"/>
    <col min="8470" max="8470" customWidth="true" width="8.5703125" collapsed="true"/>
    <col min="8705" max="8705" customWidth="true" width="12.28515625" collapsed="true"/>
    <col min="8706" max="8707" customWidth="true" width="6.42578125" collapsed="true"/>
    <col min="8708" max="8708" customWidth="true" width="10.140625" collapsed="true"/>
    <col min="8709" max="8709" customWidth="true" width="8.28515625" collapsed="true"/>
    <col min="8710" max="8710" customWidth="true" width="8.140625" collapsed="true"/>
    <col min="8711" max="8718" customWidth="true" width="6.42578125" collapsed="true"/>
    <col min="8719" max="8719" customWidth="true" width="5.28515625" collapsed="true"/>
    <col min="8720" max="8720" customWidth="true" width="6.42578125" collapsed="true"/>
    <col min="8721" max="8721" customWidth="true" width="10.7109375" collapsed="true"/>
    <col min="8722" max="8723" customWidth="true" width="6.42578125" collapsed="true"/>
    <col min="8724" max="8724" customWidth="true" width="6.5703125" collapsed="true"/>
    <col min="8725" max="8725" customWidth="true" width="6.42578125" collapsed="true"/>
    <col min="8726" max="8726" customWidth="true" width="8.5703125" collapsed="true"/>
    <col min="8961" max="8961" customWidth="true" width="12.28515625" collapsed="true"/>
    <col min="8962" max="8963" customWidth="true" width="6.42578125" collapsed="true"/>
    <col min="8964" max="8964" customWidth="true" width="10.140625" collapsed="true"/>
    <col min="8965" max="8965" customWidth="true" width="8.28515625" collapsed="true"/>
    <col min="8966" max="8966" customWidth="true" width="8.140625" collapsed="true"/>
    <col min="8967" max="8974" customWidth="true" width="6.42578125" collapsed="true"/>
    <col min="8975" max="8975" customWidth="true" width="5.28515625" collapsed="true"/>
    <col min="8976" max="8976" customWidth="true" width="6.42578125" collapsed="true"/>
    <col min="8977" max="8977" customWidth="true" width="10.7109375" collapsed="true"/>
    <col min="8978" max="8979" customWidth="true" width="6.42578125" collapsed="true"/>
    <col min="8980" max="8980" customWidth="true" width="6.5703125" collapsed="true"/>
    <col min="8981" max="8981" customWidth="true" width="6.42578125" collapsed="true"/>
    <col min="8982" max="8982" customWidth="true" width="8.5703125" collapsed="true"/>
    <col min="9217" max="9217" customWidth="true" width="12.28515625" collapsed="true"/>
    <col min="9218" max="9219" customWidth="true" width="6.42578125" collapsed="true"/>
    <col min="9220" max="9220" customWidth="true" width="10.140625" collapsed="true"/>
    <col min="9221" max="9221" customWidth="true" width="8.28515625" collapsed="true"/>
    <col min="9222" max="9222" customWidth="true" width="8.140625" collapsed="true"/>
    <col min="9223" max="9230" customWidth="true" width="6.42578125" collapsed="true"/>
    <col min="9231" max="9231" customWidth="true" width="5.28515625" collapsed="true"/>
    <col min="9232" max="9232" customWidth="true" width="6.42578125" collapsed="true"/>
    <col min="9233" max="9233" customWidth="true" width="10.7109375" collapsed="true"/>
    <col min="9234" max="9235" customWidth="true" width="6.42578125" collapsed="true"/>
    <col min="9236" max="9236" customWidth="true" width="6.5703125" collapsed="true"/>
    <col min="9237" max="9237" customWidth="true" width="6.42578125" collapsed="true"/>
    <col min="9238" max="9238" customWidth="true" width="8.5703125" collapsed="true"/>
    <col min="9473" max="9473" customWidth="true" width="12.28515625" collapsed="true"/>
    <col min="9474" max="9475" customWidth="true" width="6.42578125" collapsed="true"/>
    <col min="9476" max="9476" customWidth="true" width="10.140625" collapsed="true"/>
    <col min="9477" max="9477" customWidth="true" width="8.28515625" collapsed="true"/>
    <col min="9478" max="9478" customWidth="true" width="8.140625" collapsed="true"/>
    <col min="9479" max="9486" customWidth="true" width="6.42578125" collapsed="true"/>
    <col min="9487" max="9487" customWidth="true" width="5.28515625" collapsed="true"/>
    <col min="9488" max="9488" customWidth="true" width="6.42578125" collapsed="true"/>
    <col min="9489" max="9489" customWidth="true" width="10.7109375" collapsed="true"/>
    <col min="9490" max="9491" customWidth="true" width="6.42578125" collapsed="true"/>
    <col min="9492" max="9492" customWidth="true" width="6.5703125" collapsed="true"/>
    <col min="9493" max="9493" customWidth="true" width="6.42578125" collapsed="true"/>
    <col min="9494" max="9494" customWidth="true" width="8.5703125" collapsed="true"/>
    <col min="9729" max="9729" customWidth="true" width="12.28515625" collapsed="true"/>
    <col min="9730" max="9731" customWidth="true" width="6.42578125" collapsed="true"/>
    <col min="9732" max="9732" customWidth="true" width="10.140625" collapsed="true"/>
    <col min="9733" max="9733" customWidth="true" width="8.28515625" collapsed="true"/>
    <col min="9734" max="9734" customWidth="true" width="8.140625" collapsed="true"/>
    <col min="9735" max="9742" customWidth="true" width="6.42578125" collapsed="true"/>
    <col min="9743" max="9743" customWidth="true" width="5.28515625" collapsed="true"/>
    <col min="9744" max="9744" customWidth="true" width="6.42578125" collapsed="true"/>
    <col min="9745" max="9745" customWidth="true" width="10.7109375" collapsed="true"/>
    <col min="9746" max="9747" customWidth="true" width="6.42578125" collapsed="true"/>
    <col min="9748" max="9748" customWidth="true" width="6.5703125" collapsed="true"/>
    <col min="9749" max="9749" customWidth="true" width="6.42578125" collapsed="true"/>
    <col min="9750" max="9750" customWidth="true" width="8.5703125" collapsed="true"/>
    <col min="9985" max="9985" customWidth="true" width="12.28515625" collapsed="true"/>
    <col min="9986" max="9987" customWidth="true" width="6.42578125" collapsed="true"/>
    <col min="9988" max="9988" customWidth="true" width="10.140625" collapsed="true"/>
    <col min="9989" max="9989" customWidth="true" width="8.28515625" collapsed="true"/>
    <col min="9990" max="9990" customWidth="true" width="8.140625" collapsed="true"/>
    <col min="9991" max="9998" customWidth="true" width="6.42578125" collapsed="true"/>
    <col min="9999" max="9999" customWidth="true" width="5.28515625" collapsed="true"/>
    <col min="10000" max="10000" customWidth="true" width="6.42578125" collapsed="true"/>
    <col min="10001" max="10001" customWidth="true" width="10.7109375" collapsed="true"/>
    <col min="10002" max="10003" customWidth="true" width="6.42578125" collapsed="true"/>
    <col min="10004" max="10004" customWidth="true" width="6.5703125" collapsed="true"/>
    <col min="10005" max="10005" customWidth="true" width="6.42578125" collapsed="true"/>
    <col min="10006" max="10006" customWidth="true" width="8.5703125" collapsed="true"/>
    <col min="10241" max="10241" customWidth="true" width="12.28515625" collapsed="true"/>
    <col min="10242" max="10243" customWidth="true" width="6.42578125" collapsed="true"/>
    <col min="10244" max="10244" customWidth="true" width="10.140625" collapsed="true"/>
    <col min="10245" max="10245" customWidth="true" width="8.28515625" collapsed="true"/>
    <col min="10246" max="10246" customWidth="true" width="8.140625" collapsed="true"/>
    <col min="10247" max="10254" customWidth="true" width="6.42578125" collapsed="true"/>
    <col min="10255" max="10255" customWidth="true" width="5.28515625" collapsed="true"/>
    <col min="10256" max="10256" customWidth="true" width="6.42578125" collapsed="true"/>
    <col min="10257" max="10257" customWidth="true" width="10.7109375" collapsed="true"/>
    <col min="10258" max="10259" customWidth="true" width="6.42578125" collapsed="true"/>
    <col min="10260" max="10260" customWidth="true" width="6.5703125" collapsed="true"/>
    <col min="10261" max="10261" customWidth="true" width="6.42578125" collapsed="true"/>
    <col min="10262" max="10262" customWidth="true" width="8.5703125" collapsed="true"/>
    <col min="10497" max="10497" customWidth="true" width="12.28515625" collapsed="true"/>
    <col min="10498" max="10499" customWidth="true" width="6.42578125" collapsed="true"/>
    <col min="10500" max="10500" customWidth="true" width="10.140625" collapsed="true"/>
    <col min="10501" max="10501" customWidth="true" width="8.28515625" collapsed="true"/>
    <col min="10502" max="10502" customWidth="true" width="8.140625" collapsed="true"/>
    <col min="10503" max="10510" customWidth="true" width="6.42578125" collapsed="true"/>
    <col min="10511" max="10511" customWidth="true" width="5.28515625" collapsed="true"/>
    <col min="10512" max="10512" customWidth="true" width="6.42578125" collapsed="true"/>
    <col min="10513" max="10513" customWidth="true" width="10.7109375" collapsed="true"/>
    <col min="10514" max="10515" customWidth="true" width="6.42578125" collapsed="true"/>
    <col min="10516" max="10516" customWidth="true" width="6.5703125" collapsed="true"/>
    <col min="10517" max="10517" customWidth="true" width="6.42578125" collapsed="true"/>
    <col min="10518" max="10518" customWidth="true" width="8.5703125" collapsed="true"/>
    <col min="10753" max="10753" customWidth="true" width="12.28515625" collapsed="true"/>
    <col min="10754" max="10755" customWidth="true" width="6.42578125" collapsed="true"/>
    <col min="10756" max="10756" customWidth="true" width="10.140625" collapsed="true"/>
    <col min="10757" max="10757" customWidth="true" width="8.28515625" collapsed="true"/>
    <col min="10758" max="10758" customWidth="true" width="8.140625" collapsed="true"/>
    <col min="10759" max="10766" customWidth="true" width="6.42578125" collapsed="true"/>
    <col min="10767" max="10767" customWidth="true" width="5.28515625" collapsed="true"/>
    <col min="10768" max="10768" customWidth="true" width="6.42578125" collapsed="true"/>
    <col min="10769" max="10769" customWidth="true" width="10.7109375" collapsed="true"/>
    <col min="10770" max="10771" customWidth="true" width="6.42578125" collapsed="true"/>
    <col min="10772" max="10772" customWidth="true" width="6.5703125" collapsed="true"/>
    <col min="10773" max="10773" customWidth="true" width="6.42578125" collapsed="true"/>
    <col min="10774" max="10774" customWidth="true" width="8.5703125" collapsed="true"/>
    <col min="11009" max="11009" customWidth="true" width="12.28515625" collapsed="true"/>
    <col min="11010" max="11011" customWidth="true" width="6.42578125" collapsed="true"/>
    <col min="11012" max="11012" customWidth="true" width="10.140625" collapsed="true"/>
    <col min="11013" max="11013" customWidth="true" width="8.28515625" collapsed="true"/>
    <col min="11014" max="11014" customWidth="true" width="8.140625" collapsed="true"/>
    <col min="11015" max="11022" customWidth="true" width="6.42578125" collapsed="true"/>
    <col min="11023" max="11023" customWidth="true" width="5.28515625" collapsed="true"/>
    <col min="11024" max="11024" customWidth="true" width="6.42578125" collapsed="true"/>
    <col min="11025" max="11025" customWidth="true" width="10.7109375" collapsed="true"/>
    <col min="11026" max="11027" customWidth="true" width="6.42578125" collapsed="true"/>
    <col min="11028" max="11028" customWidth="true" width="6.5703125" collapsed="true"/>
    <col min="11029" max="11029" customWidth="true" width="6.42578125" collapsed="true"/>
    <col min="11030" max="11030" customWidth="true" width="8.5703125" collapsed="true"/>
    <col min="11265" max="11265" customWidth="true" width="12.28515625" collapsed="true"/>
    <col min="11266" max="11267" customWidth="true" width="6.42578125" collapsed="true"/>
    <col min="11268" max="11268" customWidth="true" width="10.140625" collapsed="true"/>
    <col min="11269" max="11269" customWidth="true" width="8.28515625" collapsed="true"/>
    <col min="11270" max="11270" customWidth="true" width="8.140625" collapsed="true"/>
    <col min="11271" max="11278" customWidth="true" width="6.42578125" collapsed="true"/>
    <col min="11279" max="11279" customWidth="true" width="5.28515625" collapsed="true"/>
    <col min="11280" max="11280" customWidth="true" width="6.42578125" collapsed="true"/>
    <col min="11281" max="11281" customWidth="true" width="10.7109375" collapsed="true"/>
    <col min="11282" max="11283" customWidth="true" width="6.42578125" collapsed="true"/>
    <col min="11284" max="11284" customWidth="true" width="6.5703125" collapsed="true"/>
    <col min="11285" max="11285" customWidth="true" width="6.42578125" collapsed="true"/>
    <col min="11286" max="11286" customWidth="true" width="8.5703125" collapsed="true"/>
    <col min="11521" max="11521" customWidth="true" width="12.28515625" collapsed="true"/>
    <col min="11522" max="11523" customWidth="true" width="6.42578125" collapsed="true"/>
    <col min="11524" max="11524" customWidth="true" width="10.140625" collapsed="true"/>
    <col min="11525" max="11525" customWidth="true" width="8.28515625" collapsed="true"/>
    <col min="11526" max="11526" customWidth="true" width="8.140625" collapsed="true"/>
    <col min="11527" max="11534" customWidth="true" width="6.42578125" collapsed="true"/>
    <col min="11535" max="11535" customWidth="true" width="5.28515625" collapsed="true"/>
    <col min="11536" max="11536" customWidth="true" width="6.42578125" collapsed="true"/>
    <col min="11537" max="11537" customWidth="true" width="10.7109375" collapsed="true"/>
    <col min="11538" max="11539" customWidth="true" width="6.42578125" collapsed="true"/>
    <col min="11540" max="11540" customWidth="true" width="6.5703125" collapsed="true"/>
    <col min="11541" max="11541" customWidth="true" width="6.42578125" collapsed="true"/>
    <col min="11542" max="11542" customWidth="true" width="8.5703125" collapsed="true"/>
    <col min="11777" max="11777" customWidth="true" width="12.28515625" collapsed="true"/>
    <col min="11778" max="11779" customWidth="true" width="6.42578125" collapsed="true"/>
    <col min="11780" max="11780" customWidth="true" width="10.140625" collapsed="true"/>
    <col min="11781" max="11781" customWidth="true" width="8.28515625" collapsed="true"/>
    <col min="11782" max="11782" customWidth="true" width="8.140625" collapsed="true"/>
    <col min="11783" max="11790" customWidth="true" width="6.42578125" collapsed="true"/>
    <col min="11791" max="11791" customWidth="true" width="5.28515625" collapsed="true"/>
    <col min="11792" max="11792" customWidth="true" width="6.42578125" collapsed="true"/>
    <col min="11793" max="11793" customWidth="true" width="10.7109375" collapsed="true"/>
    <col min="11794" max="11795" customWidth="true" width="6.42578125" collapsed="true"/>
    <col min="11796" max="11796" customWidth="true" width="6.5703125" collapsed="true"/>
    <col min="11797" max="11797" customWidth="true" width="6.42578125" collapsed="true"/>
    <col min="11798" max="11798" customWidth="true" width="8.5703125" collapsed="true"/>
    <col min="12033" max="12033" customWidth="true" width="12.28515625" collapsed="true"/>
    <col min="12034" max="12035" customWidth="true" width="6.42578125" collapsed="true"/>
    <col min="12036" max="12036" customWidth="true" width="10.140625" collapsed="true"/>
    <col min="12037" max="12037" customWidth="true" width="8.28515625" collapsed="true"/>
    <col min="12038" max="12038" customWidth="true" width="8.140625" collapsed="true"/>
    <col min="12039" max="12046" customWidth="true" width="6.42578125" collapsed="true"/>
    <col min="12047" max="12047" customWidth="true" width="5.28515625" collapsed="true"/>
    <col min="12048" max="12048" customWidth="true" width="6.42578125" collapsed="true"/>
    <col min="12049" max="12049" customWidth="true" width="10.7109375" collapsed="true"/>
    <col min="12050" max="12051" customWidth="true" width="6.42578125" collapsed="true"/>
    <col min="12052" max="12052" customWidth="true" width="6.5703125" collapsed="true"/>
    <col min="12053" max="12053" customWidth="true" width="6.42578125" collapsed="true"/>
    <col min="12054" max="12054" customWidth="true" width="8.5703125" collapsed="true"/>
    <col min="12289" max="12289" customWidth="true" width="12.28515625" collapsed="true"/>
    <col min="12290" max="12291" customWidth="true" width="6.42578125" collapsed="true"/>
    <col min="12292" max="12292" customWidth="true" width="10.140625" collapsed="true"/>
    <col min="12293" max="12293" customWidth="true" width="8.28515625" collapsed="true"/>
    <col min="12294" max="12294" customWidth="true" width="8.140625" collapsed="true"/>
    <col min="12295" max="12302" customWidth="true" width="6.42578125" collapsed="true"/>
    <col min="12303" max="12303" customWidth="true" width="5.28515625" collapsed="true"/>
    <col min="12304" max="12304" customWidth="true" width="6.42578125" collapsed="true"/>
    <col min="12305" max="12305" customWidth="true" width="10.7109375" collapsed="true"/>
    <col min="12306" max="12307" customWidth="true" width="6.42578125" collapsed="true"/>
    <col min="12308" max="12308" customWidth="true" width="6.5703125" collapsed="true"/>
    <col min="12309" max="12309" customWidth="true" width="6.42578125" collapsed="true"/>
    <col min="12310" max="12310" customWidth="true" width="8.5703125" collapsed="true"/>
    <col min="12545" max="12545" customWidth="true" width="12.28515625" collapsed="true"/>
    <col min="12546" max="12547" customWidth="true" width="6.42578125" collapsed="true"/>
    <col min="12548" max="12548" customWidth="true" width="10.140625" collapsed="true"/>
    <col min="12549" max="12549" customWidth="true" width="8.28515625" collapsed="true"/>
    <col min="12550" max="12550" customWidth="true" width="8.140625" collapsed="true"/>
    <col min="12551" max="12558" customWidth="true" width="6.42578125" collapsed="true"/>
    <col min="12559" max="12559" customWidth="true" width="5.28515625" collapsed="true"/>
    <col min="12560" max="12560" customWidth="true" width="6.42578125" collapsed="true"/>
    <col min="12561" max="12561" customWidth="true" width="10.7109375" collapsed="true"/>
    <col min="12562" max="12563" customWidth="true" width="6.42578125" collapsed="true"/>
    <col min="12564" max="12564" customWidth="true" width="6.5703125" collapsed="true"/>
    <col min="12565" max="12565" customWidth="true" width="6.42578125" collapsed="true"/>
    <col min="12566" max="12566" customWidth="true" width="8.5703125" collapsed="true"/>
    <col min="12801" max="12801" customWidth="true" width="12.28515625" collapsed="true"/>
    <col min="12802" max="12803" customWidth="true" width="6.42578125" collapsed="true"/>
    <col min="12804" max="12804" customWidth="true" width="10.140625" collapsed="true"/>
    <col min="12805" max="12805" customWidth="true" width="8.28515625" collapsed="true"/>
    <col min="12806" max="12806" customWidth="true" width="8.140625" collapsed="true"/>
    <col min="12807" max="12814" customWidth="true" width="6.42578125" collapsed="true"/>
    <col min="12815" max="12815" customWidth="true" width="5.28515625" collapsed="true"/>
    <col min="12816" max="12816" customWidth="true" width="6.42578125" collapsed="true"/>
    <col min="12817" max="12817" customWidth="true" width="10.7109375" collapsed="true"/>
    <col min="12818" max="12819" customWidth="true" width="6.42578125" collapsed="true"/>
    <col min="12820" max="12820" customWidth="true" width="6.5703125" collapsed="true"/>
    <col min="12821" max="12821" customWidth="true" width="6.42578125" collapsed="true"/>
    <col min="12822" max="12822" customWidth="true" width="8.5703125" collapsed="true"/>
    <col min="13057" max="13057" customWidth="true" width="12.28515625" collapsed="true"/>
    <col min="13058" max="13059" customWidth="true" width="6.42578125" collapsed="true"/>
    <col min="13060" max="13060" customWidth="true" width="10.140625" collapsed="true"/>
    <col min="13061" max="13061" customWidth="true" width="8.28515625" collapsed="true"/>
    <col min="13062" max="13062" customWidth="true" width="8.140625" collapsed="true"/>
    <col min="13063" max="13070" customWidth="true" width="6.42578125" collapsed="true"/>
    <col min="13071" max="13071" customWidth="true" width="5.28515625" collapsed="true"/>
    <col min="13072" max="13072" customWidth="true" width="6.42578125" collapsed="true"/>
    <col min="13073" max="13073" customWidth="true" width="10.7109375" collapsed="true"/>
    <col min="13074" max="13075" customWidth="true" width="6.42578125" collapsed="true"/>
    <col min="13076" max="13076" customWidth="true" width="6.5703125" collapsed="true"/>
    <col min="13077" max="13077" customWidth="true" width="6.42578125" collapsed="true"/>
    <col min="13078" max="13078" customWidth="true" width="8.5703125" collapsed="true"/>
    <col min="13313" max="13313" customWidth="true" width="12.28515625" collapsed="true"/>
    <col min="13314" max="13315" customWidth="true" width="6.42578125" collapsed="true"/>
    <col min="13316" max="13316" customWidth="true" width="10.140625" collapsed="true"/>
    <col min="13317" max="13317" customWidth="true" width="8.28515625" collapsed="true"/>
    <col min="13318" max="13318" customWidth="true" width="8.140625" collapsed="true"/>
    <col min="13319" max="13326" customWidth="true" width="6.42578125" collapsed="true"/>
    <col min="13327" max="13327" customWidth="true" width="5.28515625" collapsed="true"/>
    <col min="13328" max="13328" customWidth="true" width="6.42578125" collapsed="true"/>
    <col min="13329" max="13329" customWidth="true" width="10.7109375" collapsed="true"/>
    <col min="13330" max="13331" customWidth="true" width="6.42578125" collapsed="true"/>
    <col min="13332" max="13332" customWidth="true" width="6.5703125" collapsed="true"/>
    <col min="13333" max="13333" customWidth="true" width="6.42578125" collapsed="true"/>
    <col min="13334" max="13334" customWidth="true" width="8.5703125" collapsed="true"/>
    <col min="13569" max="13569" customWidth="true" width="12.28515625" collapsed="true"/>
    <col min="13570" max="13571" customWidth="true" width="6.42578125" collapsed="true"/>
    <col min="13572" max="13572" customWidth="true" width="10.140625" collapsed="true"/>
    <col min="13573" max="13573" customWidth="true" width="8.28515625" collapsed="true"/>
    <col min="13574" max="13574" customWidth="true" width="8.140625" collapsed="true"/>
    <col min="13575" max="13582" customWidth="true" width="6.42578125" collapsed="true"/>
    <col min="13583" max="13583" customWidth="true" width="5.28515625" collapsed="true"/>
    <col min="13584" max="13584" customWidth="true" width="6.42578125" collapsed="true"/>
    <col min="13585" max="13585" customWidth="true" width="10.7109375" collapsed="true"/>
    <col min="13586" max="13587" customWidth="true" width="6.42578125" collapsed="true"/>
    <col min="13588" max="13588" customWidth="true" width="6.5703125" collapsed="true"/>
    <col min="13589" max="13589" customWidth="true" width="6.42578125" collapsed="true"/>
    <col min="13590" max="13590" customWidth="true" width="8.5703125" collapsed="true"/>
    <col min="13825" max="13825" customWidth="true" width="12.28515625" collapsed="true"/>
    <col min="13826" max="13827" customWidth="true" width="6.42578125" collapsed="true"/>
    <col min="13828" max="13828" customWidth="true" width="10.140625" collapsed="true"/>
    <col min="13829" max="13829" customWidth="true" width="8.28515625" collapsed="true"/>
    <col min="13830" max="13830" customWidth="true" width="8.140625" collapsed="true"/>
    <col min="13831" max="13838" customWidth="true" width="6.42578125" collapsed="true"/>
    <col min="13839" max="13839" customWidth="true" width="5.28515625" collapsed="true"/>
    <col min="13840" max="13840" customWidth="true" width="6.42578125" collapsed="true"/>
    <col min="13841" max="13841" customWidth="true" width="10.7109375" collapsed="true"/>
    <col min="13842" max="13843" customWidth="true" width="6.42578125" collapsed="true"/>
    <col min="13844" max="13844" customWidth="true" width="6.5703125" collapsed="true"/>
    <col min="13845" max="13845" customWidth="true" width="6.42578125" collapsed="true"/>
    <col min="13846" max="13846" customWidth="true" width="8.5703125" collapsed="true"/>
    <col min="14081" max="14081" customWidth="true" width="12.28515625" collapsed="true"/>
    <col min="14082" max="14083" customWidth="true" width="6.42578125" collapsed="true"/>
    <col min="14084" max="14084" customWidth="true" width="10.140625" collapsed="true"/>
    <col min="14085" max="14085" customWidth="true" width="8.28515625" collapsed="true"/>
    <col min="14086" max="14086" customWidth="true" width="8.140625" collapsed="true"/>
    <col min="14087" max="14094" customWidth="true" width="6.42578125" collapsed="true"/>
    <col min="14095" max="14095" customWidth="true" width="5.28515625" collapsed="true"/>
    <col min="14096" max="14096" customWidth="true" width="6.42578125" collapsed="true"/>
    <col min="14097" max="14097" customWidth="true" width="10.7109375" collapsed="true"/>
    <col min="14098" max="14099" customWidth="true" width="6.42578125" collapsed="true"/>
    <col min="14100" max="14100" customWidth="true" width="6.5703125" collapsed="true"/>
    <col min="14101" max="14101" customWidth="true" width="6.42578125" collapsed="true"/>
    <col min="14102" max="14102" customWidth="true" width="8.5703125" collapsed="true"/>
    <col min="14337" max="14337" customWidth="true" width="12.28515625" collapsed="true"/>
    <col min="14338" max="14339" customWidth="true" width="6.42578125" collapsed="true"/>
    <col min="14340" max="14340" customWidth="true" width="10.140625" collapsed="true"/>
    <col min="14341" max="14341" customWidth="true" width="8.28515625" collapsed="true"/>
    <col min="14342" max="14342" customWidth="true" width="8.140625" collapsed="true"/>
    <col min="14343" max="14350" customWidth="true" width="6.42578125" collapsed="true"/>
    <col min="14351" max="14351" customWidth="true" width="5.28515625" collapsed="true"/>
    <col min="14352" max="14352" customWidth="true" width="6.42578125" collapsed="true"/>
    <col min="14353" max="14353" customWidth="true" width="10.7109375" collapsed="true"/>
    <col min="14354" max="14355" customWidth="true" width="6.42578125" collapsed="true"/>
    <col min="14356" max="14356" customWidth="true" width="6.5703125" collapsed="true"/>
    <col min="14357" max="14357" customWidth="true" width="6.42578125" collapsed="true"/>
    <col min="14358" max="14358" customWidth="true" width="8.5703125" collapsed="true"/>
    <col min="14593" max="14593" customWidth="true" width="12.28515625" collapsed="true"/>
    <col min="14594" max="14595" customWidth="true" width="6.42578125" collapsed="true"/>
    <col min="14596" max="14596" customWidth="true" width="10.140625" collapsed="true"/>
    <col min="14597" max="14597" customWidth="true" width="8.28515625" collapsed="true"/>
    <col min="14598" max="14598" customWidth="true" width="8.140625" collapsed="true"/>
    <col min="14599" max="14606" customWidth="true" width="6.42578125" collapsed="true"/>
    <col min="14607" max="14607" customWidth="true" width="5.28515625" collapsed="true"/>
    <col min="14608" max="14608" customWidth="true" width="6.42578125" collapsed="true"/>
    <col min="14609" max="14609" customWidth="true" width="10.7109375" collapsed="true"/>
    <col min="14610" max="14611" customWidth="true" width="6.42578125" collapsed="true"/>
    <col min="14612" max="14612" customWidth="true" width="6.5703125" collapsed="true"/>
    <col min="14613" max="14613" customWidth="true" width="6.42578125" collapsed="true"/>
    <col min="14614" max="14614" customWidth="true" width="8.5703125" collapsed="true"/>
    <col min="14849" max="14849" customWidth="true" width="12.28515625" collapsed="true"/>
    <col min="14850" max="14851" customWidth="true" width="6.42578125" collapsed="true"/>
    <col min="14852" max="14852" customWidth="true" width="10.140625" collapsed="true"/>
    <col min="14853" max="14853" customWidth="true" width="8.28515625" collapsed="true"/>
    <col min="14854" max="14854" customWidth="true" width="8.140625" collapsed="true"/>
    <col min="14855" max="14862" customWidth="true" width="6.42578125" collapsed="true"/>
    <col min="14863" max="14863" customWidth="true" width="5.28515625" collapsed="true"/>
    <col min="14864" max="14864" customWidth="true" width="6.42578125" collapsed="true"/>
    <col min="14865" max="14865" customWidth="true" width="10.7109375" collapsed="true"/>
    <col min="14866" max="14867" customWidth="true" width="6.42578125" collapsed="true"/>
    <col min="14868" max="14868" customWidth="true" width="6.5703125" collapsed="true"/>
    <col min="14869" max="14869" customWidth="true" width="6.42578125" collapsed="true"/>
    <col min="14870" max="14870" customWidth="true" width="8.5703125" collapsed="true"/>
    <col min="15105" max="15105" customWidth="true" width="12.28515625" collapsed="true"/>
    <col min="15106" max="15107" customWidth="true" width="6.42578125" collapsed="true"/>
    <col min="15108" max="15108" customWidth="true" width="10.140625" collapsed="true"/>
    <col min="15109" max="15109" customWidth="true" width="8.28515625" collapsed="true"/>
    <col min="15110" max="15110" customWidth="true" width="8.140625" collapsed="true"/>
    <col min="15111" max="15118" customWidth="true" width="6.42578125" collapsed="true"/>
    <col min="15119" max="15119" customWidth="true" width="5.28515625" collapsed="true"/>
    <col min="15120" max="15120" customWidth="true" width="6.42578125" collapsed="true"/>
    <col min="15121" max="15121" customWidth="true" width="10.7109375" collapsed="true"/>
    <col min="15122" max="15123" customWidth="true" width="6.42578125" collapsed="true"/>
    <col min="15124" max="15124" customWidth="true" width="6.5703125" collapsed="true"/>
    <col min="15125" max="15125" customWidth="true" width="6.42578125" collapsed="true"/>
    <col min="15126" max="15126" customWidth="true" width="8.5703125" collapsed="true"/>
    <col min="15361" max="15361" customWidth="true" width="12.28515625" collapsed="true"/>
    <col min="15362" max="15363" customWidth="true" width="6.42578125" collapsed="true"/>
    <col min="15364" max="15364" customWidth="true" width="10.140625" collapsed="true"/>
    <col min="15365" max="15365" customWidth="true" width="8.28515625" collapsed="true"/>
    <col min="15366" max="15366" customWidth="true" width="8.140625" collapsed="true"/>
    <col min="15367" max="15374" customWidth="true" width="6.42578125" collapsed="true"/>
    <col min="15375" max="15375" customWidth="true" width="5.28515625" collapsed="true"/>
    <col min="15376" max="15376" customWidth="true" width="6.42578125" collapsed="true"/>
    <col min="15377" max="15377" customWidth="true" width="10.7109375" collapsed="true"/>
    <col min="15378" max="15379" customWidth="true" width="6.42578125" collapsed="true"/>
    <col min="15380" max="15380" customWidth="true" width="6.5703125" collapsed="true"/>
    <col min="15381" max="15381" customWidth="true" width="6.42578125" collapsed="true"/>
    <col min="15382" max="15382" customWidth="true" width="8.5703125" collapsed="true"/>
    <col min="15617" max="15617" customWidth="true" width="12.28515625" collapsed="true"/>
    <col min="15618" max="15619" customWidth="true" width="6.42578125" collapsed="true"/>
    <col min="15620" max="15620" customWidth="true" width="10.140625" collapsed="true"/>
    <col min="15621" max="15621" customWidth="true" width="8.28515625" collapsed="true"/>
    <col min="15622" max="15622" customWidth="true" width="8.140625" collapsed="true"/>
    <col min="15623" max="15630" customWidth="true" width="6.42578125" collapsed="true"/>
    <col min="15631" max="15631" customWidth="true" width="5.28515625" collapsed="true"/>
    <col min="15632" max="15632" customWidth="true" width="6.42578125" collapsed="true"/>
    <col min="15633" max="15633" customWidth="true" width="10.7109375" collapsed="true"/>
    <col min="15634" max="15635" customWidth="true" width="6.42578125" collapsed="true"/>
    <col min="15636" max="15636" customWidth="true" width="6.5703125" collapsed="true"/>
    <col min="15637" max="15637" customWidth="true" width="6.42578125" collapsed="true"/>
    <col min="15638" max="15638" customWidth="true" width="8.5703125" collapsed="true"/>
    <col min="15873" max="15873" customWidth="true" width="12.28515625" collapsed="true"/>
    <col min="15874" max="15875" customWidth="true" width="6.42578125" collapsed="true"/>
    <col min="15876" max="15876" customWidth="true" width="10.140625" collapsed="true"/>
    <col min="15877" max="15877" customWidth="true" width="8.28515625" collapsed="true"/>
    <col min="15878" max="15878" customWidth="true" width="8.140625" collapsed="true"/>
    <col min="15879" max="15886" customWidth="true" width="6.42578125" collapsed="true"/>
    <col min="15887" max="15887" customWidth="true" width="5.28515625" collapsed="true"/>
    <col min="15888" max="15888" customWidth="true" width="6.42578125" collapsed="true"/>
    <col min="15889" max="15889" customWidth="true" width="10.7109375" collapsed="true"/>
    <col min="15890" max="15891" customWidth="true" width="6.42578125" collapsed="true"/>
    <col min="15892" max="15892" customWidth="true" width="6.5703125" collapsed="true"/>
    <col min="15893" max="15893" customWidth="true" width="6.42578125" collapsed="true"/>
    <col min="15894" max="15894" customWidth="true" width="8.5703125" collapsed="true"/>
    <col min="16129" max="16129" customWidth="true" width="12.28515625" collapsed="true"/>
    <col min="16130" max="16131" customWidth="true" width="6.42578125" collapsed="true"/>
    <col min="16132" max="16132" customWidth="true" width="10.140625" collapsed="true"/>
    <col min="16133" max="16133" customWidth="true" width="8.28515625" collapsed="true"/>
    <col min="16134" max="16134" customWidth="true" width="8.140625" collapsed="true"/>
    <col min="16135" max="16142" customWidth="true" width="6.42578125" collapsed="true"/>
    <col min="16143" max="16143" customWidth="true" width="5.28515625" collapsed="true"/>
    <col min="16144" max="16144" customWidth="true" width="6.42578125" collapsed="true"/>
    <col min="16145" max="16145" customWidth="true" width="10.7109375" collapsed="true"/>
    <col min="16146" max="16147" customWidth="true" width="6.42578125" collapsed="true"/>
    <col min="16148" max="16148" customWidth="true" width="6.5703125" collapsed="true"/>
    <col min="16149" max="16149" customWidth="true" width="6.42578125" collapsed="true"/>
    <col min="16150" max="16150" customWidth="true" width="8.5703125" collapsed="true"/>
  </cols>
  <sheetData>
    <row r="1" spans="1:22" s="5" customFormat="1" ht="36" customHeight="1" x14ac:dyDescent="0.2">
      <c r="A1" s="256"/>
      <c r="B1" s="256"/>
      <c r="C1" s="256"/>
      <c r="D1" s="256"/>
      <c r="E1" s="256"/>
      <c r="F1" s="482" t="s">
        <v>171</v>
      </c>
      <c r="G1" s="482"/>
      <c r="H1" s="482"/>
      <c r="I1" s="482"/>
      <c r="J1" s="482"/>
      <c r="K1" s="482"/>
      <c r="L1" s="482"/>
      <c r="M1" s="482"/>
      <c r="N1" s="482"/>
      <c r="O1" s="483" t="s">
        <v>172</v>
      </c>
      <c r="P1" s="483"/>
      <c r="Q1" s="483"/>
      <c r="R1" s="484" t="s">
        <v>246</v>
      </c>
      <c r="S1" s="484"/>
      <c r="T1" s="484"/>
      <c r="U1" s="484"/>
      <c r="V1" s="484"/>
    </row>
    <row r="2" spans="1:22" s="5" customFormat="1" ht="36" customHeight="1" x14ac:dyDescent="0.2">
      <c r="A2" s="256"/>
      <c r="B2" s="256"/>
      <c r="C2" s="256"/>
      <c r="D2" s="256"/>
      <c r="E2" s="256"/>
      <c r="F2" s="482"/>
      <c r="G2" s="482"/>
      <c r="H2" s="482"/>
      <c r="I2" s="482"/>
      <c r="J2" s="482"/>
      <c r="K2" s="482"/>
      <c r="L2" s="482"/>
      <c r="M2" s="482"/>
      <c r="N2" s="482"/>
      <c r="O2" s="483" t="s">
        <v>173</v>
      </c>
      <c r="P2" s="483"/>
      <c r="Q2" s="483"/>
      <c r="R2" s="485" t="n">
        <v>42099.816091863424</v>
      </c>
      <c r="S2" s="484"/>
      <c r="T2" s="484"/>
      <c r="U2" s="484"/>
      <c r="V2" s="484"/>
    </row>
    <row r="3" spans="1:22" s="5" customFormat="1" ht="34.5" customHeight="1" x14ac:dyDescent="0.2">
      <c r="A3" s="486" t="s">
        <v>174</v>
      </c>
      <c r="B3" s="487"/>
      <c r="C3" s="487"/>
      <c r="D3" s="488"/>
      <c r="E3" s="489" t="s">
        <v>247</v>
      </c>
      <c r="F3" s="489"/>
      <c r="G3" s="489"/>
      <c r="H3" s="489"/>
      <c r="I3" s="489"/>
      <c r="J3" s="489"/>
      <c r="K3" s="489"/>
      <c r="L3" s="489"/>
      <c r="M3" s="489"/>
      <c r="N3" s="489"/>
      <c r="O3" s="489"/>
      <c r="P3" s="489"/>
      <c r="Q3" s="489"/>
      <c r="R3" s="489"/>
      <c r="S3" s="489"/>
      <c r="T3" s="489"/>
      <c r="U3" s="489"/>
      <c r="V3" s="489"/>
    </row>
    <row r="4" spans="1:22" s="5" customFormat="1" ht="30" customHeight="1" x14ac:dyDescent="0.2">
      <c r="A4" s="486" t="s">
        <v>175</v>
      </c>
      <c r="B4" s="487"/>
      <c r="C4" s="487"/>
      <c r="D4" s="488"/>
      <c r="E4" s="490" t="s">
        <v>248</v>
      </c>
      <c r="F4" s="490"/>
      <c r="G4" s="490"/>
      <c r="H4" s="490"/>
      <c r="I4" s="490"/>
      <c r="J4" s="490"/>
      <c r="K4" s="490"/>
      <c r="L4" s="490"/>
      <c r="M4" s="490"/>
      <c r="N4" s="490"/>
      <c r="O4" s="490"/>
      <c r="P4" s="490"/>
      <c r="Q4" s="490"/>
      <c r="R4" s="490"/>
      <c r="S4" s="490"/>
      <c r="T4" s="490"/>
      <c r="U4" s="490"/>
      <c r="V4" s="490"/>
    </row>
    <row r="5" spans="1:22" s="5" customFormat="1" ht="30" customHeight="1" x14ac:dyDescent="0.2">
      <c r="A5" s="486" t="s">
        <v>176</v>
      </c>
      <c r="B5" s="487"/>
      <c r="C5" s="487"/>
      <c r="D5" s="488"/>
      <c r="E5" s="490" t="s">
        <v>249</v>
      </c>
      <c r="F5" s="490"/>
      <c r="G5" s="490"/>
      <c r="H5" s="490"/>
      <c r="I5" s="490"/>
      <c r="J5" s="490"/>
      <c r="K5" s="490"/>
      <c r="L5" s="490"/>
      <c r="M5" s="490"/>
      <c r="N5" s="490"/>
      <c r="O5" s="490"/>
      <c r="P5" s="490"/>
      <c r="Q5" s="490"/>
      <c r="R5" s="490"/>
      <c r="S5" s="490"/>
      <c r="T5" s="490"/>
      <c r="U5" s="490"/>
      <c r="V5" s="490"/>
    </row>
    <row r="6" spans="1:22" s="149" customFormat="1" ht="38.25" customHeight="1" x14ac:dyDescent="0.2">
      <c r="A6" s="148" t="s">
        <v>177</v>
      </c>
      <c r="B6" s="491" t="s">
        <v>178</v>
      </c>
      <c r="C6" s="491"/>
      <c r="D6" s="491"/>
      <c r="E6" s="491"/>
      <c r="F6" s="491"/>
      <c r="G6" s="491"/>
      <c r="H6" s="491"/>
      <c r="I6" s="491"/>
      <c r="J6" s="491"/>
      <c r="K6" s="491"/>
      <c r="L6" s="491"/>
      <c r="M6" s="491"/>
      <c r="N6" s="492" t="s">
        <v>179</v>
      </c>
      <c r="O6" s="492"/>
      <c r="P6" s="492"/>
      <c r="Q6" s="492"/>
      <c r="R6" s="492" t="s">
        <v>180</v>
      </c>
      <c r="S6" s="492"/>
      <c r="T6" s="492"/>
      <c r="U6" s="492"/>
      <c r="V6" s="492"/>
    </row>
    <row r="7" spans="1:22" s="146" customFormat="1" ht="33.75" customHeight="1" x14ac:dyDescent="0.2">
      <c r="A7" s="145">
        <v>1</v>
      </c>
      <c r="B7" s="493" t="s">
        <v>250</v>
      </c>
      <c r="C7" s="493"/>
      <c r="D7" s="493"/>
      <c r="E7" s="493"/>
      <c r="F7" s="493"/>
      <c r="G7" s="493"/>
      <c r="H7" s="493"/>
      <c r="I7" s="493"/>
      <c r="J7" s="493"/>
      <c r="K7" s="493"/>
      <c r="L7" s="493"/>
      <c r="M7" s="493"/>
      <c r="N7" s="256"/>
      <c r="O7" s="256"/>
      <c r="P7" s="256"/>
      <c r="Q7" s="256"/>
      <c r="R7" s="403" t="s">
        <v>251</v>
      </c>
      <c r="S7" s="256"/>
      <c r="T7" s="256"/>
      <c r="U7" s="256"/>
      <c r="V7" s="256"/>
    </row>
    <row r="8" spans="1:22" s="146" customFormat="1" ht="33.75" customHeight="1" x14ac:dyDescent="0.2">
      <c r="A8" s="145">
        <v>2</v>
      </c>
      <c r="B8" s="493" t="s">
        <v>252</v>
      </c>
      <c r="C8" s="493"/>
      <c r="D8" s="493"/>
      <c r="E8" s="493"/>
      <c r="F8" s="493"/>
      <c r="G8" s="493"/>
      <c r="H8" s="493"/>
      <c r="I8" s="493"/>
      <c r="J8" s="493"/>
      <c r="K8" s="493"/>
      <c r="L8" s="493"/>
      <c r="M8" s="493"/>
      <c r="N8" s="256"/>
      <c r="O8" s="256"/>
      <c r="P8" s="256"/>
      <c r="Q8" s="256"/>
      <c r="R8" s="403" t="s">
        <v>253</v>
      </c>
      <c r="S8" s="256"/>
      <c r="T8" s="256"/>
      <c r="U8" s="256"/>
      <c r="V8" s="256"/>
    </row>
    <row r="9" spans="1:22" s="146" customFormat="1" ht="33.75" customHeight="1" x14ac:dyDescent="0.2">
      <c r="A9" s="145">
        <v>3</v>
      </c>
      <c r="B9" s="493"/>
      <c r="C9" s="493"/>
      <c r="D9" s="493"/>
      <c r="E9" s="493"/>
      <c r="F9" s="493"/>
      <c r="G9" s="493"/>
      <c r="H9" s="493"/>
      <c r="I9" s="493"/>
      <c r="J9" s="493"/>
      <c r="K9" s="493"/>
      <c r="L9" s="493"/>
      <c r="M9" s="493"/>
      <c r="N9" s="256"/>
      <c r="O9" s="256"/>
      <c r="P9" s="256"/>
      <c r="Q9" s="256"/>
      <c r="R9" s="256"/>
      <c r="S9" s="256"/>
      <c r="T9" s="256"/>
      <c r="U9" s="256"/>
      <c r="V9" s="256"/>
    </row>
    <row r="10" spans="1:22" s="146" customFormat="1" ht="33.75" customHeight="1" x14ac:dyDescent="0.2">
      <c r="A10" s="145">
        <v>4</v>
      </c>
      <c r="B10" s="493"/>
      <c r="C10" s="493"/>
      <c r="D10" s="493"/>
      <c r="E10" s="493"/>
      <c r="F10" s="493"/>
      <c r="G10" s="493"/>
      <c r="H10" s="493"/>
      <c r="I10" s="493"/>
      <c r="J10" s="493"/>
      <c r="K10" s="493"/>
      <c r="L10" s="493"/>
      <c r="M10" s="493"/>
      <c r="N10" s="256"/>
      <c r="O10" s="256"/>
      <c r="P10" s="256"/>
      <c r="Q10" s="256"/>
      <c r="R10" s="256"/>
      <c r="S10" s="256"/>
      <c r="T10" s="256"/>
      <c r="U10" s="256"/>
      <c r="V10" s="256"/>
    </row>
    <row r="11" spans="1:22" s="146" customFormat="1" ht="33.75" customHeight="1" x14ac:dyDescent="0.2">
      <c r="A11" s="145">
        <v>5</v>
      </c>
      <c r="B11" s="493"/>
      <c r="C11" s="493"/>
      <c r="D11" s="493"/>
      <c r="E11" s="493"/>
      <c r="F11" s="493"/>
      <c r="G11" s="493"/>
      <c r="H11" s="493"/>
      <c r="I11" s="493"/>
      <c r="J11" s="493"/>
      <c r="K11" s="493"/>
      <c r="L11" s="493"/>
      <c r="M11" s="493"/>
      <c r="N11" s="256"/>
      <c r="O11" s="256"/>
      <c r="P11" s="256"/>
      <c r="Q11" s="256"/>
      <c r="R11" s="256"/>
      <c r="S11" s="256"/>
      <c r="T11" s="256"/>
      <c r="U11" s="256"/>
      <c r="V11" s="256"/>
    </row>
    <row r="12" spans="1:22" s="146" customFormat="1" ht="33.75" customHeight="1" x14ac:dyDescent="0.2">
      <c r="A12" s="145">
        <v>6</v>
      </c>
      <c r="B12" s="493"/>
      <c r="C12" s="493"/>
      <c r="D12" s="493"/>
      <c r="E12" s="493"/>
      <c r="F12" s="493"/>
      <c r="G12" s="493"/>
      <c r="H12" s="493"/>
      <c r="I12" s="493"/>
      <c r="J12" s="493"/>
      <c r="K12" s="493"/>
      <c r="L12" s="493"/>
      <c r="M12" s="493"/>
      <c r="N12" s="256"/>
      <c r="O12" s="256"/>
      <c r="P12" s="256"/>
      <c r="Q12" s="256"/>
      <c r="R12" s="256"/>
      <c r="S12" s="256"/>
      <c r="T12" s="256"/>
      <c r="U12" s="256"/>
      <c r="V12" s="256"/>
    </row>
    <row r="13" spans="1:22" s="146" customFormat="1" ht="33.75" customHeight="1" x14ac:dyDescent="0.2">
      <c r="A13" s="145">
        <v>7</v>
      </c>
      <c r="B13" s="493"/>
      <c r="C13" s="493"/>
      <c r="D13" s="493"/>
      <c r="E13" s="493"/>
      <c r="F13" s="493"/>
      <c r="G13" s="493"/>
      <c r="H13" s="493"/>
      <c r="I13" s="493"/>
      <c r="J13" s="493"/>
      <c r="K13" s="493"/>
      <c r="L13" s="493"/>
      <c r="M13" s="493"/>
      <c r="N13" s="256"/>
      <c r="O13" s="256"/>
      <c r="P13" s="256"/>
      <c r="Q13" s="256"/>
      <c r="R13" s="256"/>
      <c r="S13" s="256"/>
      <c r="T13" s="256"/>
      <c r="U13" s="256"/>
      <c r="V13" s="256"/>
    </row>
    <row r="14" spans="1:22" s="146" customFormat="1" ht="33.75" customHeight="1" x14ac:dyDescent="0.2">
      <c r="A14" s="145">
        <v>8</v>
      </c>
      <c r="B14" s="493"/>
      <c r="C14" s="493"/>
      <c r="D14" s="493"/>
      <c r="E14" s="493"/>
      <c r="F14" s="493"/>
      <c r="G14" s="493"/>
      <c r="H14" s="493"/>
      <c r="I14" s="493"/>
      <c r="J14" s="493"/>
      <c r="K14" s="493"/>
      <c r="L14" s="493"/>
      <c r="M14" s="493"/>
      <c r="N14" s="256"/>
      <c r="O14" s="256"/>
      <c r="P14" s="256"/>
      <c r="Q14" s="256"/>
      <c r="R14" s="256"/>
      <c r="S14" s="256"/>
      <c r="T14" s="256"/>
      <c r="U14" s="256"/>
      <c r="V14" s="256"/>
    </row>
    <row r="15" spans="1:22" s="146" customFormat="1" ht="33.75" customHeight="1" x14ac:dyDescent="0.2">
      <c r="A15" s="145">
        <v>9</v>
      </c>
      <c r="B15" s="493"/>
      <c r="C15" s="493"/>
      <c r="D15" s="493"/>
      <c r="E15" s="493"/>
      <c r="F15" s="493"/>
      <c r="G15" s="493"/>
      <c r="H15" s="493"/>
      <c r="I15" s="493"/>
      <c r="J15" s="493"/>
      <c r="K15" s="493"/>
      <c r="L15" s="493"/>
      <c r="M15" s="493"/>
      <c r="N15" s="256"/>
      <c r="O15" s="256"/>
      <c r="P15" s="256"/>
      <c r="Q15" s="256"/>
      <c r="R15" s="256"/>
      <c r="S15" s="256"/>
      <c r="T15" s="256"/>
      <c r="U15" s="256"/>
      <c r="V15" s="256"/>
    </row>
    <row r="16" spans="1:22" s="146" customFormat="1" ht="33.75" customHeight="1" x14ac:dyDescent="0.2">
      <c r="A16" s="145">
        <v>10</v>
      </c>
      <c r="B16" s="493"/>
      <c r="C16" s="493"/>
      <c r="D16" s="493"/>
      <c r="E16" s="493"/>
      <c r="F16" s="493"/>
      <c r="G16" s="493"/>
      <c r="H16" s="493"/>
      <c r="I16" s="493"/>
      <c r="J16" s="493"/>
      <c r="K16" s="493"/>
      <c r="L16" s="493"/>
      <c r="M16" s="493"/>
      <c r="N16" s="256"/>
      <c r="O16" s="256"/>
      <c r="P16" s="256"/>
      <c r="Q16" s="256"/>
      <c r="R16" s="256"/>
      <c r="S16" s="256"/>
      <c r="T16" s="256"/>
      <c r="U16" s="256"/>
      <c r="V16" s="256"/>
    </row>
    <row r="17" spans="1:22" s="5" customFormat="1" x14ac:dyDescent="0.2">
      <c r="A17" s="147"/>
    </row>
    <row r="18" spans="1:22" s="5" customFormat="1" x14ac:dyDescent="0.2">
      <c r="A18" s="476" t="s">
        <v>181</v>
      </c>
      <c r="B18" s="476"/>
      <c r="C18" s="476"/>
      <c r="D18" s="476"/>
      <c r="E18" s="476"/>
      <c r="F18" s="476"/>
      <c r="G18" s="476"/>
      <c r="H18" s="476"/>
      <c r="I18" s="476"/>
      <c r="J18" s="476"/>
      <c r="K18" s="476"/>
      <c r="L18" s="476"/>
      <c r="M18" s="476"/>
      <c r="N18" s="476"/>
      <c r="O18" s="476"/>
      <c r="P18" s="476"/>
      <c r="Q18" s="476"/>
      <c r="R18" s="476"/>
      <c r="S18" s="476"/>
      <c r="T18" s="476"/>
      <c r="U18" s="476"/>
      <c r="V18" s="476"/>
    </row>
    <row r="19" spans="1:22" s="5" customFormat="1" x14ac:dyDescent="0.2">
      <c r="A19" s="147"/>
    </row>
    <row r="20" spans="1:22" s="5" customFormat="1" x14ac:dyDescent="0.2">
      <c r="A20" s="476" t="s">
        <v>182</v>
      </c>
      <c r="B20" s="476"/>
      <c r="C20" s="476"/>
      <c r="D20" s="476"/>
      <c r="E20" s="476"/>
      <c r="F20" s="476"/>
      <c r="G20" s="476"/>
      <c r="H20" s="476"/>
      <c r="I20" s="476"/>
      <c r="J20" s="476"/>
      <c r="K20" s="476"/>
      <c r="L20" s="476"/>
      <c r="M20" s="476"/>
      <c r="N20" s="476"/>
      <c r="O20" s="476"/>
      <c r="P20" s="476"/>
      <c r="Q20" s="476"/>
      <c r="R20" s="476"/>
      <c r="S20" s="476"/>
      <c r="T20" s="476"/>
      <c r="U20" s="476"/>
      <c r="V20" s="476"/>
    </row>
  </sheetData>
  <mergeCells count="48">
    <mergeCell ref="B16:M16"/>
    <mergeCell ref="N16:Q16"/>
    <mergeCell ref="R16:V16"/>
    <mergeCell ref="B14:M14"/>
    <mergeCell ref="N14:Q14"/>
    <mergeCell ref="R14:V14"/>
    <mergeCell ref="B15:M15"/>
    <mergeCell ref="N15:Q15"/>
    <mergeCell ref="R15:V15"/>
    <mergeCell ref="B12:M12"/>
    <mergeCell ref="N12:Q12"/>
    <mergeCell ref="R12:V12"/>
    <mergeCell ref="B13:M13"/>
    <mergeCell ref="N13:Q13"/>
    <mergeCell ref="R13:V13"/>
    <mergeCell ref="B10:M10"/>
    <mergeCell ref="N10:Q10"/>
    <mergeCell ref="R10:V10"/>
    <mergeCell ref="B11:M11"/>
    <mergeCell ref="N11:Q11"/>
    <mergeCell ref="R11:V11"/>
    <mergeCell ref="B8:M8"/>
    <mergeCell ref="N8:Q8"/>
    <mergeCell ref="R8:V8"/>
    <mergeCell ref="B9:M9"/>
    <mergeCell ref="N9:Q9"/>
    <mergeCell ref="R9:V9"/>
    <mergeCell ref="N6:Q6"/>
    <mergeCell ref="R6:V6"/>
    <mergeCell ref="B7:M7"/>
    <mergeCell ref="N7:Q7"/>
    <mergeCell ref="R7:V7"/>
    <mergeCell ref="A18:V18"/>
    <mergeCell ref="A20:V20"/>
    <mergeCell ref="A1:C2"/>
    <mergeCell ref="D1:E2"/>
    <mergeCell ref="F1:N2"/>
    <mergeCell ref="O1:Q1"/>
    <mergeCell ref="R1:V1"/>
    <mergeCell ref="O2:Q2"/>
    <mergeCell ref="R2:V2"/>
    <mergeCell ref="A3:D3"/>
    <mergeCell ref="E3:V3"/>
    <mergeCell ref="A4:D4"/>
    <mergeCell ref="E4:V4"/>
    <mergeCell ref="A5:D5"/>
    <mergeCell ref="E5:V5"/>
    <mergeCell ref="B6:M6"/>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9"/>
  <sheetViews>
    <sheetView tabSelected="1" workbookViewId="0">
      <selection activeCell="H30" sqref="H30"/>
    </sheetView>
  </sheetViews>
  <sheetFormatPr baseColWidth="10" defaultRowHeight="12.75" x14ac:dyDescent="0.2"/>
  <sheetData>
    <row r="1" spans="1:22" ht="15.75" customHeight="1" x14ac:dyDescent="0.2">
      <c r="A1" s="256"/>
      <c r="B1" s="256"/>
      <c r="C1" s="256"/>
      <c r="D1" s="256"/>
      <c r="E1" s="256"/>
      <c r="F1" s="506" t="s">
        <v>183</v>
      </c>
      <c r="G1" s="506"/>
      <c r="H1" s="506"/>
      <c r="I1" s="506"/>
      <c r="J1" s="506"/>
      <c r="K1" s="506"/>
      <c r="L1" s="506"/>
      <c r="M1" s="506"/>
      <c r="N1" s="506"/>
      <c r="O1" s="498" t="s">
        <v>184</v>
      </c>
      <c r="P1" s="498"/>
      <c r="Q1" s="498"/>
      <c r="R1" s="484" t="s">
        <v>254</v>
      </c>
      <c r="S1" s="484"/>
      <c r="T1" s="484"/>
      <c r="U1" s="484"/>
      <c r="V1" s="484"/>
    </row>
    <row r="2" spans="1:22" ht="15.75" customHeight="1" x14ac:dyDescent="0.2">
      <c r="A2" s="256"/>
      <c r="B2" s="256"/>
      <c r="C2" s="256"/>
      <c r="D2" s="256"/>
      <c r="E2" s="256"/>
      <c r="F2" s="506"/>
      <c r="G2" s="506"/>
      <c r="H2" s="506"/>
      <c r="I2" s="506"/>
      <c r="J2" s="506"/>
      <c r="K2" s="506"/>
      <c r="L2" s="506"/>
      <c r="M2" s="506"/>
      <c r="N2" s="506"/>
      <c r="O2" s="498" t="s">
        <v>185</v>
      </c>
      <c r="P2" s="498"/>
      <c r="Q2" s="498"/>
      <c r="R2" s="485" t="n">
        <v>42099.816091863424</v>
      </c>
      <c r="S2" s="484"/>
      <c r="T2" s="484"/>
      <c r="U2" s="484"/>
      <c r="V2" s="484"/>
    </row>
    <row r="3" spans="1:22" ht="12.75" customHeight="1" x14ac:dyDescent="0.2">
      <c r="A3" s="256"/>
      <c r="B3" s="256"/>
      <c r="C3" s="256"/>
      <c r="D3" s="256"/>
      <c r="E3" s="256"/>
      <c r="F3" s="506"/>
      <c r="G3" s="506"/>
      <c r="H3" s="506"/>
      <c r="I3" s="506"/>
      <c r="J3" s="506"/>
      <c r="K3" s="506"/>
      <c r="L3" s="506"/>
      <c r="M3" s="506"/>
      <c r="N3" s="506"/>
      <c r="O3" s="498" t="s">
        <v>186</v>
      </c>
      <c r="P3" s="498"/>
      <c r="Q3" s="498"/>
      <c r="R3" s="507" t="s">
        <v>187</v>
      </c>
      <c r="S3" s="507"/>
      <c r="T3" s="507"/>
      <c r="U3" s="507"/>
      <c r="V3" s="507"/>
    </row>
    <row r="4" spans="1:22" ht="15.75" customHeight="1" x14ac:dyDescent="0.2">
      <c r="A4" s="256"/>
      <c r="B4" s="256"/>
      <c r="C4" s="256"/>
      <c r="D4" s="256"/>
      <c r="E4" s="256"/>
      <c r="F4" s="506"/>
      <c r="G4" s="506"/>
      <c r="H4" s="506"/>
      <c r="I4" s="506"/>
      <c r="J4" s="506"/>
      <c r="K4" s="506"/>
      <c r="L4" s="506"/>
      <c r="M4" s="506"/>
      <c r="N4" s="506"/>
      <c r="O4" s="498" t="s">
        <v>188</v>
      </c>
      <c r="P4" s="498"/>
      <c r="Q4" s="498"/>
      <c r="R4" s="485" t="n">
        <v>42099.816091863424</v>
      </c>
      <c r="S4" s="484"/>
      <c r="T4" s="484"/>
      <c r="U4" s="484"/>
      <c r="V4" s="484"/>
    </row>
    <row r="5" spans="1:22" ht="12.75" customHeight="1" x14ac:dyDescent="0.2">
      <c r="A5" s="500" t="s">
        <v>189</v>
      </c>
      <c r="B5" s="500"/>
      <c r="C5" s="500"/>
      <c r="D5" s="151"/>
      <c r="E5" s="490" t="s">
        <v>190</v>
      </c>
      <c r="F5" s="490"/>
      <c r="G5" s="501" t="s">
        <v>191</v>
      </c>
      <c r="H5" s="502"/>
      <c r="I5" s="502"/>
      <c r="J5" s="502"/>
      <c r="K5" s="502"/>
      <c r="L5" s="502"/>
      <c r="M5" s="502"/>
      <c r="N5" s="502"/>
      <c r="O5" s="502"/>
      <c r="P5" s="502"/>
      <c r="Q5" s="502"/>
      <c r="R5" s="502"/>
      <c r="S5" s="490" t="s">
        <v>192</v>
      </c>
      <c r="T5" s="490"/>
      <c r="U5" s="500" t="s">
        <v>193</v>
      </c>
      <c r="V5" s="503"/>
    </row>
    <row r="6" spans="1:22" ht="12.75" customHeight="1" x14ac:dyDescent="0.2">
      <c r="A6" s="489" t="s">
        <v>255</v>
      </c>
      <c r="B6" s="489"/>
      <c r="C6" s="489"/>
      <c r="D6" s="489"/>
      <c r="E6" s="504" t="n">
        <v>42099.816091863424</v>
      </c>
      <c r="F6" s="489"/>
      <c r="G6" s="502" t="s">
        <v>256</v>
      </c>
      <c r="H6" s="502"/>
      <c r="I6" s="502"/>
      <c r="J6" s="502"/>
      <c r="K6" s="502"/>
      <c r="L6" s="502"/>
      <c r="M6" s="502"/>
      <c r="N6" s="502"/>
      <c r="O6" s="502"/>
      <c r="P6" s="502"/>
      <c r="Q6" s="502"/>
      <c r="R6" s="502"/>
      <c r="S6" s="505" t="n">
        <v>42099.816091863424</v>
      </c>
      <c r="T6" s="505"/>
      <c r="U6" s="256" t="s">
        <v>257</v>
      </c>
      <c r="V6" s="256"/>
    </row>
    <row r="7" spans="1:22" ht="12.75" customHeight="1" x14ac:dyDescent="0.2">
      <c r="A7" s="496" t="s">
        <v>194</v>
      </c>
      <c r="B7" s="497"/>
      <c r="C7" s="497"/>
      <c r="D7" s="497" t="s">
        <v>258</v>
      </c>
      <c r="E7" s="497"/>
      <c r="F7" s="497"/>
      <c r="G7" s="497"/>
      <c r="H7" s="498" t="s">
        <v>195</v>
      </c>
      <c r="I7" s="498"/>
      <c r="J7" s="498"/>
      <c r="K7" s="498"/>
      <c r="L7" s="498"/>
      <c r="M7" s="498"/>
      <c r="N7" s="498"/>
      <c r="O7" s="498"/>
      <c r="P7" s="498"/>
      <c r="Q7" s="498"/>
      <c r="R7" s="499" t="s">
        <v>196</v>
      </c>
      <c r="S7" s="499"/>
      <c r="T7" s="499"/>
      <c r="U7" s="499"/>
      <c r="V7" s="499"/>
    </row>
    <row r="8" spans="1:22" x14ac:dyDescent="0.2">
      <c r="A8" s="500" t="s">
        <v>197</v>
      </c>
      <c r="B8" s="500"/>
      <c r="C8" s="500"/>
      <c r="D8" s="500"/>
      <c r="E8" s="500" t="s">
        <v>198</v>
      </c>
      <c r="F8" s="500"/>
      <c r="G8" s="500"/>
      <c r="H8" s="500"/>
      <c r="I8" s="500" t="s">
        <v>199</v>
      </c>
      <c r="J8" s="500"/>
      <c r="K8" s="500"/>
      <c r="L8" s="500"/>
      <c r="M8" s="500"/>
      <c r="N8" s="500" t="s">
        <v>198</v>
      </c>
      <c r="O8" s="500"/>
      <c r="P8" s="500"/>
      <c r="Q8" s="500"/>
      <c r="R8" s="500" t="s">
        <v>200</v>
      </c>
      <c r="S8" s="500"/>
      <c r="T8" s="500"/>
      <c r="U8" s="500"/>
      <c r="V8" s="500"/>
    </row>
    <row r="9" spans="1:22" ht="15.75" customHeight="1" x14ac:dyDescent="0.2">
      <c r="A9" s="152" t="s">
        <v>177</v>
      </c>
      <c r="B9" s="494" t="s">
        <v>201</v>
      </c>
      <c r="C9" s="494"/>
      <c r="D9" s="494"/>
      <c r="E9" s="494"/>
      <c r="F9" s="494"/>
      <c r="G9" s="494"/>
      <c r="H9" s="494"/>
      <c r="I9" s="494"/>
      <c r="J9" s="494"/>
      <c r="K9" s="494"/>
      <c r="L9" s="494"/>
      <c r="M9" s="494"/>
      <c r="N9" s="495" t="s">
        <v>179</v>
      </c>
      <c r="O9" s="495"/>
      <c r="P9" s="495"/>
      <c r="Q9" s="495"/>
      <c r="R9" s="495" t="s">
        <v>180</v>
      </c>
      <c r="S9" s="495"/>
      <c r="T9" s="495"/>
      <c r="U9" s="495"/>
      <c r="V9" s="495"/>
    </row>
    <row r="10" spans="1:22" ht="15.75" x14ac:dyDescent="0.2">
      <c r="A10" s="150">
        <v>1</v>
      </c>
      <c r="B10" s="493" t="s">
        <v>259</v>
      </c>
      <c r="C10" s="493"/>
      <c r="D10" s="493"/>
      <c r="E10" s="493"/>
      <c r="F10" s="493"/>
      <c r="G10" s="493"/>
      <c r="H10" s="493"/>
      <c r="I10" s="493"/>
      <c r="J10" s="493"/>
      <c r="K10" s="493"/>
      <c r="L10" s="493"/>
      <c r="M10" s="493"/>
      <c r="N10" s="256"/>
      <c r="O10" s="256"/>
      <c r="P10" s="256"/>
      <c r="Q10" s="256"/>
      <c r="R10" s="403" t="s">
        <v>260</v>
      </c>
      <c r="S10" s="256"/>
      <c r="T10" s="256"/>
      <c r="U10" s="256"/>
      <c r="V10" s="256"/>
    </row>
    <row r="11" spans="1:22" ht="15.75" x14ac:dyDescent="0.2">
      <c r="A11" s="150">
        <v>2</v>
      </c>
      <c r="B11" s="493" t="s">
        <v>261</v>
      </c>
      <c r="C11" s="493"/>
      <c r="D11" s="493"/>
      <c r="E11" s="493"/>
      <c r="F11" s="493"/>
      <c r="G11" s="493"/>
      <c r="H11" s="493"/>
      <c r="I11" s="493"/>
      <c r="J11" s="493"/>
      <c r="K11" s="493"/>
      <c r="L11" s="493"/>
      <c r="M11" s="493"/>
      <c r="N11" s="256"/>
      <c r="O11" s="256"/>
      <c r="P11" s="256"/>
      <c r="Q11" s="256"/>
      <c r="R11" s="403" t="s">
        <v>262</v>
      </c>
      <c r="S11" s="256"/>
      <c r="T11" s="256"/>
      <c r="U11" s="256"/>
      <c r="V11" s="256"/>
    </row>
    <row r="12" spans="1:22" ht="15.75" x14ac:dyDescent="0.2">
      <c r="A12" s="150">
        <v>3</v>
      </c>
      <c r="B12" s="493"/>
      <c r="C12" s="493"/>
      <c r="D12" s="493"/>
      <c r="E12" s="493"/>
      <c r="F12" s="493"/>
      <c r="G12" s="493"/>
      <c r="H12" s="493"/>
      <c r="I12" s="493"/>
      <c r="J12" s="493"/>
      <c r="K12" s="493"/>
      <c r="L12" s="493"/>
      <c r="M12" s="493"/>
      <c r="N12" s="256"/>
      <c r="O12" s="256"/>
      <c r="P12" s="256"/>
      <c r="Q12" s="256"/>
      <c r="R12" s="256"/>
      <c r="S12" s="256"/>
      <c r="T12" s="256"/>
      <c r="U12" s="256"/>
      <c r="V12" s="256"/>
    </row>
    <row r="13" spans="1:22" ht="15.75" x14ac:dyDescent="0.2">
      <c r="A13" s="150">
        <v>4</v>
      </c>
      <c r="B13" s="493"/>
      <c r="C13" s="493"/>
      <c r="D13" s="493"/>
      <c r="E13" s="493"/>
      <c r="F13" s="493"/>
      <c r="G13" s="493"/>
      <c r="H13" s="493"/>
      <c r="I13" s="493"/>
      <c r="J13" s="493"/>
      <c r="K13" s="493"/>
      <c r="L13" s="493"/>
      <c r="M13" s="493"/>
      <c r="N13" s="256"/>
      <c r="O13" s="256"/>
      <c r="P13" s="256"/>
      <c r="Q13" s="256"/>
      <c r="R13" s="256"/>
      <c r="S13" s="256"/>
      <c r="T13" s="256"/>
      <c r="U13" s="256"/>
      <c r="V13" s="256"/>
    </row>
    <row r="14" spans="1:22" ht="15.75" x14ac:dyDescent="0.2">
      <c r="A14" s="150">
        <v>5</v>
      </c>
      <c r="B14" s="493"/>
      <c r="C14" s="493"/>
      <c r="D14" s="493"/>
      <c r="E14" s="493"/>
      <c r="F14" s="493"/>
      <c r="G14" s="493"/>
      <c r="H14" s="493"/>
      <c r="I14" s="493"/>
      <c r="J14" s="493"/>
      <c r="K14" s="493"/>
      <c r="L14" s="493"/>
      <c r="M14" s="493"/>
      <c r="N14" s="256"/>
      <c r="O14" s="256"/>
      <c r="P14" s="256"/>
      <c r="Q14" s="256"/>
      <c r="R14" s="256"/>
      <c r="S14" s="256"/>
      <c r="T14" s="256"/>
      <c r="U14" s="256"/>
      <c r="V14" s="256"/>
    </row>
    <row r="15" spans="1:22" ht="15.75" x14ac:dyDescent="0.2">
      <c r="A15" s="150">
        <v>6</v>
      </c>
      <c r="B15" s="493"/>
      <c r="C15" s="493"/>
      <c r="D15" s="493"/>
      <c r="E15" s="493"/>
      <c r="F15" s="493"/>
      <c r="G15" s="493"/>
      <c r="H15" s="493"/>
      <c r="I15" s="493"/>
      <c r="J15" s="493"/>
      <c r="K15" s="493"/>
      <c r="L15" s="493"/>
      <c r="M15" s="493"/>
      <c r="N15" s="256"/>
      <c r="O15" s="256"/>
      <c r="P15" s="256"/>
      <c r="Q15" s="256"/>
      <c r="R15" s="256"/>
      <c r="S15" s="256"/>
      <c r="T15" s="256"/>
      <c r="U15" s="256"/>
      <c r="V15" s="256"/>
    </row>
    <row r="16" spans="1:22" ht="15.75" x14ac:dyDescent="0.2">
      <c r="A16" s="150">
        <v>7</v>
      </c>
      <c r="B16" s="493"/>
      <c r="C16" s="493"/>
      <c r="D16" s="493"/>
      <c r="E16" s="493"/>
      <c r="F16" s="493"/>
      <c r="G16" s="493"/>
      <c r="H16" s="493"/>
      <c r="I16" s="493"/>
      <c r="J16" s="493"/>
      <c r="K16" s="493"/>
      <c r="L16" s="493"/>
      <c r="M16" s="493"/>
      <c r="N16" s="256"/>
      <c r="O16" s="256"/>
      <c r="P16" s="256"/>
      <c r="Q16" s="256"/>
      <c r="R16" s="256"/>
      <c r="S16" s="256"/>
      <c r="T16" s="256"/>
      <c r="U16" s="256"/>
      <c r="V16" s="256"/>
    </row>
    <row r="17" spans="1:22" ht="15.75" x14ac:dyDescent="0.2">
      <c r="A17" s="150">
        <v>8</v>
      </c>
      <c r="B17" s="493"/>
      <c r="C17" s="493"/>
      <c r="D17" s="493"/>
      <c r="E17" s="493"/>
      <c r="F17" s="493"/>
      <c r="G17" s="493"/>
      <c r="H17" s="493"/>
      <c r="I17" s="493"/>
      <c r="J17" s="493"/>
      <c r="K17" s="493"/>
      <c r="L17" s="493"/>
      <c r="M17" s="493"/>
      <c r="N17" s="256"/>
      <c r="O17" s="256"/>
      <c r="P17" s="256"/>
      <c r="Q17" s="256"/>
      <c r="R17" s="256"/>
      <c r="S17" s="256"/>
      <c r="T17" s="256"/>
      <c r="U17" s="256"/>
      <c r="V17" s="256"/>
    </row>
    <row r="18" spans="1:22" ht="15.75" x14ac:dyDescent="0.2">
      <c r="A18" s="153">
        <v>9</v>
      </c>
      <c r="B18" s="493"/>
      <c r="C18" s="493"/>
      <c r="D18" s="493"/>
      <c r="E18" s="493"/>
      <c r="F18" s="493"/>
      <c r="G18" s="493"/>
      <c r="H18" s="493"/>
      <c r="I18" s="493"/>
      <c r="J18" s="493"/>
      <c r="K18" s="493"/>
      <c r="L18" s="493"/>
      <c r="M18" s="493"/>
      <c r="N18" s="256"/>
      <c r="O18" s="256"/>
      <c r="P18" s="256"/>
      <c r="Q18" s="256"/>
      <c r="R18" s="256"/>
      <c r="S18" s="256"/>
      <c r="T18" s="256"/>
      <c r="U18" s="256"/>
      <c r="V18" s="256"/>
    </row>
    <row r="19" spans="1:22" ht="15.75" x14ac:dyDescent="0.2">
      <c r="A19" s="150">
        <v>10</v>
      </c>
      <c r="B19" s="493"/>
      <c r="C19" s="493"/>
      <c r="D19" s="493"/>
      <c r="E19" s="493"/>
      <c r="F19" s="493"/>
      <c r="G19" s="493"/>
      <c r="H19" s="493"/>
      <c r="I19" s="493"/>
      <c r="J19" s="493"/>
      <c r="K19" s="493"/>
      <c r="L19" s="493"/>
      <c r="M19" s="493"/>
      <c r="N19" s="256"/>
      <c r="O19" s="256"/>
      <c r="P19" s="256"/>
      <c r="Q19" s="256"/>
      <c r="R19" s="256"/>
      <c r="S19" s="256"/>
      <c r="T19" s="256"/>
      <c r="U19" s="256"/>
      <c r="V19" s="256"/>
    </row>
  </sheetData>
  <mergeCells count="60">
    <mergeCell ref="A1:E4"/>
    <mergeCell ref="F1:N4"/>
    <mergeCell ref="O1:Q1"/>
    <mergeCell ref="R1:V1"/>
    <mergeCell ref="O2:Q2"/>
    <mergeCell ref="R2:V2"/>
    <mergeCell ref="O3:Q3"/>
    <mergeCell ref="R3:V3"/>
    <mergeCell ref="O4:Q4"/>
    <mergeCell ref="R4:V4"/>
    <mergeCell ref="A5:C5"/>
    <mergeCell ref="E5:F5"/>
    <mergeCell ref="G5:R6"/>
    <mergeCell ref="S5:T5"/>
    <mergeCell ref="U5:V5"/>
    <mergeCell ref="A6:D6"/>
    <mergeCell ref="E6:F6"/>
    <mergeCell ref="S6:T6"/>
    <mergeCell ref="U6:V6"/>
    <mergeCell ref="A7:G7"/>
    <mergeCell ref="H7:Q7"/>
    <mergeCell ref="R7:V7"/>
    <mergeCell ref="A8:D8"/>
    <mergeCell ref="E8:H8"/>
    <mergeCell ref="I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4:M14"/>
    <mergeCell ref="N14:Q14"/>
    <mergeCell ref="R14:V14"/>
    <mergeCell ref="B15:M15"/>
    <mergeCell ref="N15:Q15"/>
    <mergeCell ref="R15:V15"/>
    <mergeCell ref="B16:M16"/>
    <mergeCell ref="N16:Q16"/>
    <mergeCell ref="R16:V16"/>
    <mergeCell ref="B17:M17"/>
    <mergeCell ref="N17:Q17"/>
    <mergeCell ref="R17:V17"/>
    <mergeCell ref="B19:M19"/>
    <mergeCell ref="N19:Q19"/>
    <mergeCell ref="R19:V19"/>
    <mergeCell ref="B18:M18"/>
    <mergeCell ref="N18:Q18"/>
    <mergeCell ref="R18:V1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vt:i4>
      </vt:variant>
    </vt:vector>
  </HeadingPairs>
  <TitlesOfParts>
    <vt:vector size="14" baseType="lpstr">
      <vt:lpstr>Validación</vt:lpstr>
      <vt:lpstr>Orden de Pedido</vt:lpstr>
      <vt:lpstr>Instrucción de trabajo</vt:lpstr>
      <vt:lpstr>Información</vt:lpstr>
      <vt:lpstr>Grafico</vt:lpstr>
      <vt:lpstr>Recuento final</vt:lpstr>
      <vt:lpstr>Estimación de horas y costes</vt:lpstr>
      <vt:lpstr>Valoración del servicio</vt:lpstr>
      <vt:lpstr>Hoja1</vt:lpstr>
      <vt:lpstr>Hoja2</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2007-01-22T12:13:31Z</dcterms:created>
  <dc:creator>Fco Javier Muñoz</dc:creator>
  <cp:lastModifiedBy>Xabier Molero Martín</cp:lastModifiedBy>
  <cp:lastPrinted>2015-07-27T13:07:07Z</cp:lastPrinted>
  <dcterms:modified xsi:type="dcterms:W3CDTF">2015-11-29T16:30:55Z</dcterms:modified>
</cp:coreProperties>
</file>