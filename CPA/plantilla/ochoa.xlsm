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workbookPr defaultThemeVersion="124226"/>
  <bookViews>
    <workbookView xWindow="0" yWindow="285" windowWidth="12510" windowHeight="7230" tabRatio="735" activeTab="9"/>
  </bookViews>
  <sheets>
    <sheet name="Validación" sheetId="20" r:id="rId1"/>
    <sheet name="Orden de Pedido" sheetId="19" r:id="rId2"/>
    <sheet name="Instrucción de trabajo" sheetId="22" r:id="rId3"/>
    <sheet name="Información" sheetId="10" r:id="rId4"/>
    <sheet name="Grafico" sheetId="15" r:id="rId5"/>
    <sheet name="Recuento final" sheetId="23" r:id="rId6"/>
    <sheet name="Estimación de horas y costes" sheetId="14" r:id="rId7"/>
    <sheet name="Valoración del servicio" sheetId="24" r:id="rId8"/>
    <sheet name="Hoja1" sheetId="26" r:id="rId9"/>
    <sheet name="Hoja2" sheetId="27" r:id="rId10"/>
  </sheets>
  <definedNames>
    <definedName name="_xlnm.Print_Area" localSheetId="2">'Instrucción de trabajo'!$A$1:$I$127</definedName>
    <definedName name="_xlnm.Print_Area" localSheetId="1">'Orden de Pedido'!$A$1:$H$42</definedName>
    <definedName name="_xlnm.Print_Area" localSheetId="0">Validación!$A$1:$I$54</definedName>
    <definedName name="HTML_CodePage" hidden="1">1252</definedName>
    <definedName name="HTML_Control" localSheetId="3" hidden="1">{"'Verr-enseig-ex'!$M$22:$M$23"}</definedName>
    <definedName name="HTML_Control" localSheetId="2" hidden="1">{"'Verr-enseig-ex'!$M$22:$M$23"}</definedName>
    <definedName name="HTML_Control" hidden="1">{"'Verr-enseig-ex'!$M$22:$M$23"}</definedName>
    <definedName name="HTML_Description" hidden="1">""</definedName>
    <definedName name="HTML_Email" hidden="1">""</definedName>
    <definedName name="HTML_Header" hidden="1">"Verr-enseig-ex"</definedName>
    <definedName name="HTML_LastUpdate" hidden="1">"28/07/99"</definedName>
    <definedName name="HTML_LineAfter" hidden="1">FALSE</definedName>
    <definedName name="HTML_LineBefore" hidden="1">FALSE</definedName>
    <definedName name="HTML_Name" hidden="1">"Lee H. Troup"</definedName>
    <definedName name="HTML_OBDlg2" hidden="1">TRUE</definedName>
    <definedName name="HTML_OBDlg4" hidden="1">TRUE</definedName>
    <definedName name="HTML_OS" hidden="1">0</definedName>
    <definedName name="HTML_PathFile" hidden="1">"C:\Mes documents\MonHTML.htm"</definedName>
    <definedName name="HTML_Title" hidden="1">"Problem-solving"</definedName>
    <definedName name="_xlnm.Print_Titles" localSheetId="2">'Instrucción de trabajo'!$11:$15</definedName>
  </definedNames>
  <calcPr calcId="144525"/>
</workbook>
</file>

<file path=xl/calcChain.xml><?xml version="1.0" encoding="utf-8"?>
<calcChain xmlns="http://schemas.openxmlformats.org/spreadsheetml/2006/main">
  <c r="AH16" i="14" l="1"/>
  <c r="AH11" i="14"/>
  <c r="AH9" i="14"/>
  <c r="AH17" i="14"/>
  <c r="AH15" i="14"/>
  <c r="AH14" i="14"/>
  <c r="AH13" i="14"/>
  <c r="AH12" i="14"/>
  <c r="AH10" i="14"/>
  <c r="AH8" i="14"/>
  <c r="AH7" i="14"/>
  <c r="AH6" i="14"/>
  <c r="AH4" i="14"/>
  <c r="AH5" i="14"/>
  <c r="AH3" i="14"/>
  <c r="B14" i="22" l="1"/>
  <c r="G54" i="20"/>
  <c r="G53" i="20"/>
  <c r="G52" i="20"/>
  <c r="A14" i="20"/>
  <c r="H28" i="19"/>
  <c r="G28" i="19"/>
  <c r="F9" i="24"/>
  <c r="C12" i="22"/>
  <c r="C7" i="22"/>
  <c r="H3" i="22"/>
  <c r="C5" i="22"/>
  <c r="C11" i="22" s="1"/>
  <c r="C4" i="22"/>
  <c r="E3" i="22"/>
  <c r="C3" i="22"/>
  <c r="C2" i="22"/>
  <c r="B5" i="20"/>
  <c r="B4" i="20"/>
  <c r="B3" i="20"/>
  <c r="B9" i="20"/>
  <c r="B10" i="20"/>
  <c r="B11" i="20"/>
  <c r="B12" i="20"/>
  <c r="B7" i="20"/>
  <c r="B6" i="20"/>
  <c r="G3" i="23"/>
  <c r="F3" i="23"/>
  <c r="E3" i="23"/>
  <c r="H3" i="23" s="1"/>
  <c r="AM19" i="10"/>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AN15" i="10"/>
  <c r="AM12" i="10"/>
  <c r="AM13" i="10" s="1"/>
  <c r="AM18" i="10"/>
  <c r="AL12" i="10"/>
  <c r="AL13" i="10" s="1"/>
  <c r="AK12" i="10"/>
  <c r="AK13" i="10" s="1"/>
  <c r="AJ12" i="10"/>
  <c r="AJ18" i="10" s="1"/>
  <c r="AI12" i="10"/>
  <c r="AI18" i="10" s="1"/>
  <c r="AH12" i="10"/>
  <c r="AH13" i="10" s="1"/>
  <c r="AH18" i="10"/>
  <c r="AG12" i="10"/>
  <c r="AG13" i="10" s="1"/>
  <c r="AF12" i="10"/>
  <c r="AF18" i="10" s="1"/>
  <c r="AE12" i="10"/>
  <c r="AE13" i="10" s="1"/>
  <c r="AE18" i="10"/>
  <c r="AD12" i="10"/>
  <c r="AD13" i="10" s="1"/>
  <c r="AC12" i="10"/>
  <c r="AC13" i="10" s="1"/>
  <c r="AB12" i="10"/>
  <c r="AB13" i="10" s="1"/>
  <c r="AA12" i="10"/>
  <c r="AA18" i="10" s="1"/>
  <c r="Z12" i="10"/>
  <c r="Z13" i="10" s="1"/>
  <c r="Z18" i="10"/>
  <c r="Y12" i="10"/>
  <c r="Y13" i="10" s="1"/>
  <c r="X12" i="10"/>
  <c r="X18" i="10" s="1"/>
  <c r="W12" i="10"/>
  <c r="W13" i="10" s="1"/>
  <c r="W18" i="10"/>
  <c r="V12" i="10"/>
  <c r="V13" i="10" s="1"/>
  <c r="U12" i="10"/>
  <c r="U13" i="10" s="1"/>
  <c r="T12" i="10"/>
  <c r="T18" i="10" s="1"/>
  <c r="S12" i="10"/>
  <c r="S18" i="10" s="1"/>
  <c r="R12" i="10"/>
  <c r="R13" i="10" s="1"/>
  <c r="R18" i="10"/>
  <c r="Q12" i="10"/>
  <c r="Q13" i="10" s="1"/>
  <c r="P12" i="10"/>
  <c r="P18" i="10" s="1"/>
  <c r="O12" i="10"/>
  <c r="N12" i="10"/>
  <c r="N18" i="10" s="1"/>
  <c r="M12" i="10"/>
  <c r="M10" i="10"/>
  <c r="M16" i="10"/>
  <c r="L12" i="10"/>
  <c r="L10" i="10" s="1"/>
  <c r="K12" i="10"/>
  <c r="K18" i="10" s="1"/>
  <c r="J12" i="10"/>
  <c r="I12" i="10"/>
  <c r="AN11" i="10"/>
  <c r="AM10" i="10"/>
  <c r="AM16" i="10" s="1"/>
  <c r="AL10" i="10"/>
  <c r="AL16" i="10"/>
  <c r="AJ10" i="10"/>
  <c r="AJ16" i="10" s="1"/>
  <c r="AI10" i="10"/>
  <c r="AI16" i="10" s="1"/>
  <c r="AH10" i="10"/>
  <c r="AH16" i="10" s="1"/>
  <c r="AF10" i="10"/>
  <c r="AF16" i="10" s="1"/>
  <c r="AE10" i="10"/>
  <c r="AE16" i="10"/>
  <c r="AD10" i="10"/>
  <c r="AD16" i="10" s="1"/>
  <c r="AB10" i="10"/>
  <c r="AB16" i="10" s="1"/>
  <c r="AA10" i="10"/>
  <c r="AA16" i="10" s="1"/>
  <c r="Z10" i="10"/>
  <c r="Z16" i="10" s="1"/>
  <c r="X10" i="10"/>
  <c r="X16" i="10" s="1"/>
  <c r="W10" i="10"/>
  <c r="W16" i="10" s="1"/>
  <c r="V10" i="10"/>
  <c r="V16" i="10"/>
  <c r="T10" i="10"/>
  <c r="T16" i="10" s="1"/>
  <c r="S10" i="10"/>
  <c r="S16" i="10" s="1"/>
  <c r="R10" i="10"/>
  <c r="R16" i="10" s="1"/>
  <c r="P10" i="10"/>
  <c r="P16" i="10" s="1"/>
  <c r="K10" i="10"/>
  <c r="K16" i="10"/>
  <c r="AN8" i="10"/>
  <c r="AN7" i="10"/>
  <c r="AN6" i="10"/>
  <c r="AN5" i="10"/>
  <c r="AN4" i="10"/>
  <c r="AN3" i="10"/>
  <c r="F41" i="19"/>
  <c r="C41" i="19"/>
  <c r="A41" i="19"/>
  <c r="Q18" i="10"/>
  <c r="U18" i="10"/>
  <c r="Y18" i="10"/>
  <c r="AC18" i="10"/>
  <c r="AG18" i="10"/>
  <c r="AK18" i="10"/>
  <c r="Q10" i="10"/>
  <c r="Q16" i="10" s="1"/>
  <c r="U10" i="10"/>
  <c r="U16" i="10" s="1"/>
  <c r="Y10" i="10"/>
  <c r="Y16" i="10" s="1"/>
  <c r="AC10" i="10"/>
  <c r="AC16" i="10" s="1"/>
  <c r="AG10" i="10"/>
  <c r="AG16" i="10" s="1"/>
  <c r="AK10" i="10"/>
  <c r="AK16" i="10" s="1"/>
  <c r="AH18" i="14"/>
  <c r="O10" i="10"/>
  <c r="O16" i="10"/>
  <c r="O18" i="10"/>
  <c r="N10" i="10"/>
  <c r="N16" i="10" s="1"/>
  <c r="K13" i="10"/>
  <c r="AN19" i="10"/>
  <c r="M18" i="10"/>
  <c r="M13" i="10"/>
  <c r="L18" i="10"/>
  <c r="J10" i="10"/>
  <c r="J16" i="10" s="1"/>
  <c r="J18" i="10"/>
  <c r="I10" i="10"/>
  <c r="I13" i="10" s="1"/>
  <c r="I18" i="10"/>
  <c r="AN12" i="10"/>
  <c r="N13" i="10"/>
  <c r="O13" i="10"/>
  <c r="J13" i="10"/>
  <c r="AN18" i="10"/>
  <c r="L16" i="10" l="1"/>
  <c r="L13" i="10"/>
  <c r="AB18" i="10"/>
  <c r="AJ13" i="10"/>
  <c r="AF13" i="10"/>
  <c r="X13" i="10"/>
  <c r="T13" i="10"/>
  <c r="P13" i="10"/>
  <c r="AI13" i="10"/>
  <c r="AA13" i="10"/>
  <c r="S13" i="10"/>
  <c r="I16" i="10"/>
  <c r="V18" i="10"/>
  <c r="AD18" i="10"/>
  <c r="AL18" i="10"/>
  <c r="AN10" i="10"/>
  <c r="AN16" i="10" l="1"/>
  <c r="AN13" i="10"/>
</calcChain>
</file>

<file path=xl/sharedStrings.xml><?xml version="1.0" encoding="utf-8"?>
<sst xmlns="http://schemas.openxmlformats.org/spreadsheetml/2006/main" count="265" uniqueCount="206">
  <si>
    <t>TOTAL</t>
  </si>
  <si>
    <t xml:space="preserve"> </t>
  </si>
  <si>
    <t>TOTAL:</t>
  </si>
  <si>
    <t>Hora Nocturna</t>
  </si>
  <si>
    <t>Hora Normal</t>
  </si>
  <si>
    <t>PIEZAS REVISADAS</t>
  </si>
  <si>
    <t>PIEZAS OK</t>
  </si>
  <si>
    <t>PIEZAS NOK</t>
  </si>
  <si>
    <t>PIEZAS RECUPERADAS</t>
  </si>
  <si>
    <t>% PIEZAS NOK</t>
  </si>
  <si>
    <t>% PIEZAS RECUPERADAS</t>
  </si>
  <si>
    <t>TOTAL PIEZAS NOK</t>
  </si>
  <si>
    <t>INFORMACIÓN</t>
  </si>
  <si>
    <t>Fecha</t>
  </si>
  <si>
    <t>PERSONA DE CONTACTO:</t>
  </si>
  <si>
    <t>DEPARTAMENTO:</t>
  </si>
  <si>
    <t>TELÉFONO:</t>
  </si>
  <si>
    <t>E-MAIL:</t>
  </si>
  <si>
    <t>FECHA:</t>
  </si>
  <si>
    <t>RESPONSABLE DE LA ACCIÓN</t>
  </si>
  <si>
    <t>MOTIVO CONTRATACIÓN:</t>
  </si>
  <si>
    <t>FACTURACIÓN</t>
  </si>
  <si>
    <t>EMPRESA:</t>
  </si>
  <si>
    <t>NIF:</t>
  </si>
  <si>
    <t>DIRECCIÓN:</t>
  </si>
  <si>
    <t>WEB:</t>
  </si>
  <si>
    <t>NOMBRE DEL BANCO:</t>
  </si>
  <si>
    <t>Nº DE CUENTA:</t>
  </si>
  <si>
    <t>I.B.A.N.</t>
  </si>
  <si>
    <t>B.I.C</t>
  </si>
  <si>
    <t>TARIFA:</t>
  </si>
  <si>
    <t>FORMA DE PAGO:</t>
  </si>
  <si>
    <t>Transferencia Bancaria</t>
  </si>
  <si>
    <t>LIMITE PAGO:</t>
  </si>
  <si>
    <t>30 Días</t>
  </si>
  <si>
    <t>Este documento indica la conformidad del cliente para la realización de los servicios solicitados. La empresa CPA Vitoria 06 S.L. comenzara sus servicios una vez se firme esta hoja. Las tarifas aplicables al servicio demandado serán las del año en curso. El IVA no esta incluido en las tarifas. 
La forma de pago será mediante pagaré, cheque o transferencia con vencimiento a 30 días de la fecha de emisión de factura. El retraso en el pago conllevará el pago de unos intereses de demora del 1% mensual.  La prestación de servicios se realizará en las instalaciones de Mercedes Benz Vitoria ubicada en Vitoria-Gasteiz (Álava) en la calle las Arenas 1,  C.P: 01015. Los derechos y autorizaciones de accesos a datos, sistemas informáticos y documentación mensual a vigilancia serán tramitados por CPA Vitoria 06 sin coste alguno para el cliente. En caso necesario se facturarán los materiales y la maquinaria específicos para dicho trabajo                                                                                                                                                                                                                                                                                  Tras firmar este acuerdo, si surgiesen servicios adicionales que no se han tenido en cuenta, y fuesen estrictamente necesarios para desempeñar nuestros servicios; CPA Vitoria 06 pactará las condiciones previamente con el CLIENTE.</t>
  </si>
  <si>
    <t>Gerente/Director:</t>
  </si>
  <si>
    <t xml:space="preserve"> Sr. Javier Burgos Villameriel</t>
  </si>
  <si>
    <t>Departamento:</t>
  </si>
  <si>
    <t>Fecha:</t>
  </si>
  <si>
    <t>Nº de Acción:</t>
  </si>
  <si>
    <t>Números de Chasis:</t>
  </si>
  <si>
    <t>Fecha Inicio:</t>
  </si>
  <si>
    <t xml:space="preserve">2º  </t>
  </si>
  <si>
    <t>Responsable CPA:</t>
  </si>
  <si>
    <t>Fecha Fin:</t>
  </si>
  <si>
    <t xml:space="preserve">3º  </t>
  </si>
  <si>
    <t xml:space="preserve">4º  </t>
  </si>
  <si>
    <t>Nombre de la pieza:</t>
  </si>
  <si>
    <t>Controles de Calidad</t>
  </si>
  <si>
    <t>Piezas</t>
  </si>
  <si>
    <t>Contenedor</t>
  </si>
  <si>
    <t>Referencias:</t>
  </si>
  <si>
    <t xml:space="preserve">Verde Ok  </t>
  </si>
  <si>
    <t>Blanco Ok</t>
  </si>
  <si>
    <t>Otros Ok</t>
  </si>
  <si>
    <t>Rojo Nok</t>
  </si>
  <si>
    <t>Persona de Contacto:</t>
  </si>
  <si>
    <t>Teléfono</t>
  </si>
  <si>
    <t>E-Mail:</t>
  </si>
  <si>
    <t>Fecha de Solicitud:</t>
  </si>
  <si>
    <t>Empresa:</t>
  </si>
  <si>
    <t>Dirección:</t>
  </si>
  <si>
    <t>C.P.:</t>
  </si>
  <si>
    <t>País:</t>
  </si>
  <si>
    <t>Población</t>
  </si>
  <si>
    <t>Apdo. Correos</t>
  </si>
  <si>
    <t>C.P.</t>
  </si>
  <si>
    <t>C.P. Empresa:</t>
  </si>
  <si>
    <t>INSTRUCCIÓN DEL SERVICIO</t>
  </si>
  <si>
    <t>Descripción</t>
  </si>
  <si>
    <t>SEGURIDAD/EPI´S</t>
  </si>
  <si>
    <t>INFORMACIÓN DE LOS RESULTADOS</t>
  </si>
  <si>
    <t>Calzado de seguridad:</t>
  </si>
  <si>
    <t>Frecuencia</t>
  </si>
  <si>
    <t>Gafas de seguridad:</t>
  </si>
  <si>
    <t>Chaleco reflectante:</t>
  </si>
  <si>
    <t>Tapones:</t>
  </si>
  <si>
    <t>Guantes:</t>
  </si>
  <si>
    <t>Verificador:</t>
  </si>
  <si>
    <t>Aprobado por responsable CPA:</t>
  </si>
  <si>
    <t>Recomendador</t>
  </si>
  <si>
    <t>Recomendado por:</t>
  </si>
  <si>
    <t>RECOMENDADOR</t>
  </si>
  <si>
    <t>DATOS GENERALES CLIENTE</t>
  </si>
  <si>
    <t>RECOMENDADOR DE APERTURA ACCIÓN</t>
  </si>
  <si>
    <t>Formulario de Validación</t>
  </si>
  <si>
    <t xml:space="preserve">Autoriza: </t>
  </si>
  <si>
    <t>Orden de Pedido</t>
  </si>
  <si>
    <t>Información de Resultados</t>
  </si>
  <si>
    <t>Gráfico de Evolución</t>
  </si>
  <si>
    <t>Tiempo invertido y Costes</t>
  </si>
  <si>
    <t>Tipo de Hora</t>
  </si>
  <si>
    <t>Instrucción de trabajo</t>
  </si>
  <si>
    <t>Nº</t>
  </si>
  <si>
    <t>Nº de acción</t>
  </si>
  <si>
    <t xml:space="preserve">Nombre de la pieza </t>
  </si>
  <si>
    <t>X</t>
  </si>
  <si>
    <t>TOTAL PIEZAS OK</t>
  </si>
  <si>
    <t>PC-01-FOR-07 REV.00</t>
  </si>
  <si>
    <t>PC-01-FOR-03 REV.01</t>
  </si>
  <si>
    <t>*La firma del este documento autoriza y valida toda la documentación del archivo entregado a cliente</t>
  </si>
  <si>
    <t>PC-01-FOR-04 REV.01</t>
  </si>
  <si>
    <t>Diaria</t>
  </si>
  <si>
    <t>Semanal</t>
  </si>
  <si>
    <t>Mensual</t>
  </si>
  <si>
    <t>Otros</t>
  </si>
  <si>
    <t>PC-01-FOR-05 REV.02</t>
  </si>
  <si>
    <t xml:space="preserve">  Operario:</t>
  </si>
  <si>
    <t>OTROS</t>
  </si>
  <si>
    <t>Aplica</t>
  </si>
  <si>
    <t xml:space="preserve"> NO Aplica</t>
  </si>
  <si>
    <t>Petición del material</t>
  </si>
  <si>
    <t>Comprobar que las referencias son correctas en piezas, talón logistico y contenedor</t>
  </si>
  <si>
    <t>CONTROL</t>
  </si>
  <si>
    <t>Selección de piezas</t>
  </si>
  <si>
    <t>Retrabajo en piezas</t>
  </si>
  <si>
    <t>Trasvase</t>
  </si>
  <si>
    <r>
      <rPr>
        <u/>
        <sz val="10"/>
        <rFont val="Arial"/>
        <family val="2"/>
      </rPr>
      <t>Pieza muestra</t>
    </r>
    <r>
      <rPr>
        <sz val="10"/>
        <rFont val="Arial"/>
      </rPr>
      <t xml:space="preserve"> OK y NOK (si la hay) en el puesto de trabajo</t>
    </r>
  </si>
  <si>
    <t>Comprobación del servicio prestado (Como)</t>
  </si>
  <si>
    <t>PC-01-FOR-06 REV.01</t>
  </si>
  <si>
    <t>TIPO DE DEFECTOS</t>
  </si>
  <si>
    <t>SELECCIÓN</t>
  </si>
  <si>
    <t>RETRABAJOS</t>
  </si>
  <si>
    <t>RESULTADO                                   FINAL A CLIENTE</t>
  </si>
  <si>
    <t>Gastos logisticos</t>
  </si>
  <si>
    <t>PC-01-FOR-09 REV.01</t>
  </si>
  <si>
    <t xml:space="preserve">H. Especialista Normal </t>
  </si>
  <si>
    <t>H. Especialista Festiva</t>
  </si>
  <si>
    <t xml:space="preserve">H. Especial. Nocturna </t>
  </si>
  <si>
    <t>Hora de Coordinación</t>
  </si>
  <si>
    <t>H. de Administración</t>
  </si>
  <si>
    <t>RECUENTO FINAL</t>
  </si>
  <si>
    <t>PC-01-FOR-08 REV.01</t>
  </si>
  <si>
    <t>Nª de Lote</t>
  </si>
  <si>
    <t>Referencias</t>
  </si>
  <si>
    <t>Color</t>
  </si>
  <si>
    <t>Ok</t>
  </si>
  <si>
    <t>Nok</t>
  </si>
  <si>
    <t>Retrabajado</t>
  </si>
  <si>
    <t>Total</t>
  </si>
  <si>
    <t>Hora extra</t>
  </si>
  <si>
    <t>Hora sábados</t>
  </si>
  <si>
    <t>Hora festivos</t>
  </si>
  <si>
    <t>Mercedes Benz España S.A.</t>
  </si>
  <si>
    <t>A79380465</t>
  </si>
  <si>
    <t>C/Las Arenas, nº1   C.P:01010 Vitoria-Gasteiz</t>
  </si>
  <si>
    <t>www.mercedes-benz.com</t>
  </si>
  <si>
    <t>Contabilidad financiera</t>
  </si>
  <si>
    <t xml:space="preserve">Contabilidad </t>
  </si>
  <si>
    <t xml:space="preserve">Hora Normal 17,98€/h y Hora sábados 25,17€/h  </t>
  </si>
  <si>
    <t>Organización y puesta en marcha del servicio</t>
  </si>
  <si>
    <t>PC-01-FOR-10 REV.00</t>
  </si>
  <si>
    <t>Valoración del servicio prestado</t>
  </si>
  <si>
    <t>Encuesta de satisfacción individual</t>
  </si>
  <si>
    <t>Ejecución y eficacia del servicio</t>
  </si>
  <si>
    <t>VALOR</t>
  </si>
  <si>
    <t>Observaciones:</t>
  </si>
  <si>
    <t>RESULTADO</t>
  </si>
  <si>
    <r>
      <rPr>
        <b/>
        <sz val="10"/>
        <rFont val="Calibri"/>
        <family val="2"/>
      </rPr>
      <t>1</t>
    </r>
    <r>
      <rPr>
        <sz val="10"/>
        <rFont val="Calibri"/>
        <family val="2"/>
      </rPr>
      <t xml:space="preserve">: Muy insatisfecho; </t>
    </r>
    <r>
      <rPr>
        <b/>
        <sz val="10"/>
        <rFont val="Calibri"/>
        <family val="2"/>
      </rPr>
      <t>2</t>
    </r>
    <r>
      <rPr>
        <sz val="10"/>
        <rFont val="Calibri"/>
        <family val="2"/>
      </rPr>
      <t xml:space="preserve">: Insatisfecho; </t>
    </r>
    <r>
      <rPr>
        <b/>
        <sz val="10"/>
        <rFont val="Calibri"/>
        <family val="2"/>
      </rPr>
      <t>3</t>
    </r>
    <r>
      <rPr>
        <sz val="10"/>
        <rFont val="Calibri"/>
        <family val="2"/>
      </rPr>
      <t xml:space="preserve">: Satisfecho; </t>
    </r>
    <r>
      <rPr>
        <b/>
        <sz val="10"/>
        <rFont val="Calibri"/>
        <family val="2"/>
      </rPr>
      <t>4</t>
    </r>
    <r>
      <rPr>
        <sz val="10"/>
        <rFont val="Calibri"/>
        <family val="2"/>
      </rPr>
      <t>: Muy satisfecho</t>
    </r>
  </si>
  <si>
    <t>Información, comunicación y gestión diaria</t>
  </si>
  <si>
    <t>Gracias por su colaboración</t>
  </si>
  <si>
    <t>Le agradecemos nos conceda unos minutos para hacerle unas preguntas acerca de su grado de satisfacción sobre CPA VITORIA 06 S.L
Valore en una escala del 1 al 4 (siendo 4 “muy satisfecho” y 1 “muy insatisfecho”) los siguientes aspectos:</t>
  </si>
  <si>
    <t>a) Rapidez y eficacia de la organzaición</t>
  </si>
  <si>
    <t xml:space="preserve">b) Tiempo (Menor de 8h) de la puesta en marcha del servicio </t>
  </si>
  <si>
    <t>c) Documentación del servicio (Instrucción de trabajo, referencias...)</t>
  </si>
  <si>
    <t>a) Cantidad y calidad de la información del servicio</t>
  </si>
  <si>
    <t>b) Comunicación diaria fluida</t>
  </si>
  <si>
    <t>c) Gestión diaria; personal formado, documentación actualizada, rechazo...</t>
  </si>
  <si>
    <t>a) Correcto seguimiento de la instrucción de trabajo</t>
  </si>
  <si>
    <t xml:space="preserve">b) Eficacia del servicio </t>
  </si>
  <si>
    <t>REGISTRO                        PERSONAL FORMADO</t>
  </si>
  <si>
    <t xml:space="preserve"> Performed/ Owner by   Realizado por:</t>
  </si>
  <si>
    <t xml:space="preserve"> Date / Fecha:</t>
  </si>
  <si>
    <t xml:space="preserve"> Customer / Cliente: </t>
  </si>
  <si>
    <t xml:space="preserve"> Part  / Pieza:</t>
  </si>
  <si>
    <t xml:space="preserve"> Part numbers / Referencia pieza:</t>
  </si>
  <si>
    <t>Order / Nº</t>
  </si>
  <si>
    <t>Training Record. Company Employee's Name  /                                                                                      Registro de formación. Nombre persona de compañía revisión-retrabajo</t>
  </si>
  <si>
    <t>Signature / Firma</t>
  </si>
  <si>
    <t>Date /Fecha</t>
  </si>
  <si>
    <t>* Plantilla para servicios de larga duración y siempre que el coordinador lo encuentre oportuno.</t>
  </si>
  <si>
    <t xml:space="preserve"> C:\CPA GENERAL\ISO 9001\PA-02 Formación y comunicación interna\Formatos</t>
  </si>
  <si>
    <t>GAMA DE RETRABAJOS/ CLASIFICACIONES</t>
  </si>
  <si>
    <t>Performed/ Owner by Realizado por:</t>
  </si>
  <si>
    <t>Date / Fecha:</t>
  </si>
  <si>
    <t>Customer Released by / Liberado por cliente (SAS):</t>
  </si>
  <si>
    <t>Signature</t>
  </si>
  <si>
    <t>Date / Fecha de liberación:</t>
  </si>
  <si>
    <t>Complaint Nb. / Nº reclamación</t>
  </si>
  <si>
    <t>Compl. Date / Fecha reclamación</t>
  </si>
  <si>
    <t xml:space="preserve">Part numbers / Referencia pieza:
</t>
  </si>
  <si>
    <t>Starting Date / Fecha comienzo</t>
  </si>
  <si>
    <t>Time / Tiempo</t>
  </si>
  <si>
    <t xml:space="preserve">Customer / Cliente: </t>
  </si>
  <si>
    <t>Outsourcing Company Name / Nombre compañía externa revisión-retrabajo: CPA Vitoria 06</t>
  </si>
  <si>
    <t>Safety (S) or Reglamentation (R )</t>
  </si>
  <si>
    <t xml:space="preserve">Primer PNR: </t>
  </si>
  <si>
    <t>Nº Albaran:</t>
  </si>
  <si>
    <t>Último PNR:</t>
  </si>
  <si>
    <t xml:space="preserve">Identificación retrabajo: Nº </t>
  </si>
  <si>
    <t>Outsourcing Company Employee's Name. Training Record / Nombre persona de compañía externa revisión-retrabajo. Registro de formación.</t>
  </si>
  <si>
    <t>H. Especialista Extra</t>
  </si>
  <si>
    <t>H. Especialista Sábados</t>
  </si>
  <si>
    <t>Otros1</t>
  </si>
  <si>
    <t>Otros2</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</si>
</sst>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C0A]d\-mmm\-yy;@"/>
    <numFmt numFmtId="165" formatCode="0.0"/>
    <numFmt numFmtId="166" formatCode="[$-C0A]d\-mmm;@"/>
    <numFmt numFmtId="167" formatCode="dd\-mm\-yy;@"/>
    <numFmt numFmtId="168" formatCode="#,##0.00\ &quot;€&quot;"/>
    <numFmt numFmtId="169" formatCode="dd/mm/yy;@"/>
  </numFmts>
  <fonts count="56" x14ac:knownFonts="1">
    <font>
      <sz val="10"/>
      <name val="Arial"/>
    </font>
    <font>
      <u/>
      <sz val="10"/>
      <color indexed="12"/>
      <name val="Arial"/>
      <family val="2"/>
    </font>
    <font>
      <sz val="8"/>
      <name val="Arial"/>
      <family val="2"/>
    </font>
    <font>
      <sz val="14"/>
      <name val="Arial"/>
      <family val="2"/>
    </font>
    <font>
      <b/>
      <sz val="10"/>
      <name val="Arial"/>
      <family val="2"/>
    </font>
    <font>
      <sz val="10"/>
      <name val="Arial"/>
      <family val="2"/>
    </font>
    <font>
      <sz val="12"/>
      <name val="Arial"/>
      <family val="2"/>
    </font>
    <font>
      <sz val="22"/>
      <name val="Arial"/>
      <family val="2"/>
    </font>
    <font>
      <b/>
      <sz val="22"/>
      <name val="Arial"/>
      <family val="2"/>
    </font>
    <font>
      <b/>
      <sz val="18"/>
      <name val="Arial"/>
      <family val="2"/>
    </font>
    <font>
      <sz val="24"/>
      <name val="Arial"/>
      <family val="2"/>
    </font>
    <font>
      <b/>
      <sz val="24"/>
      <name val="Arial"/>
      <family val="2"/>
    </font>
    <font>
      <b/>
      <sz val="20"/>
      <name val="Arial"/>
      <family val="2"/>
    </font>
    <font>
      <sz val="20"/>
      <name val="Arial"/>
      <family val="2"/>
    </font>
    <font>
      <sz val="20"/>
      <color indexed="10"/>
      <name val="Arial"/>
      <family val="2"/>
    </font>
    <font>
      <b/>
      <sz val="24"/>
      <color indexed="10"/>
      <name val="Arial"/>
      <family val="2"/>
    </font>
    <font>
      <b/>
      <sz val="18"/>
      <color indexed="11"/>
      <name val="Arial"/>
      <family val="2"/>
    </font>
    <font>
      <b/>
      <sz val="18"/>
      <color indexed="47"/>
      <name val="Arial"/>
      <family val="2"/>
    </font>
    <font>
      <b/>
      <sz val="12"/>
      <color indexed="12"/>
      <name val="Arial"/>
      <family val="2"/>
    </font>
    <font>
      <u/>
      <sz val="9"/>
      <color indexed="12"/>
      <name val="Arial"/>
      <family val="2"/>
    </font>
    <font>
      <sz val="9"/>
      <name val="Arial"/>
      <family val="2"/>
    </font>
    <font>
      <sz val="48"/>
      <name val="Arial"/>
      <family val="2"/>
    </font>
    <font>
      <sz val="11"/>
      <name val="Arial"/>
      <family val="2"/>
    </font>
    <font>
      <u/>
      <sz val="8"/>
      <name val="Arial"/>
      <family val="2"/>
    </font>
    <font>
      <u/>
      <sz val="10"/>
      <name val="Arial"/>
      <family val="2"/>
    </font>
    <font>
      <b/>
      <sz val="26"/>
      <name val="Arial"/>
      <family val="2"/>
    </font>
    <font>
      <b/>
      <sz val="16"/>
      <name val="Arial"/>
      <family val="2"/>
    </font>
    <font>
      <b/>
      <sz val="15"/>
      <name val="Arial"/>
      <family val="2"/>
    </font>
    <font>
      <sz val="10"/>
      <name val="Calibri"/>
      <family val="2"/>
    </font>
    <font>
      <b/>
      <sz val="10"/>
      <name val="Calibri"/>
      <family val="2"/>
    </font>
    <font>
      <sz val="16"/>
      <name val="Arial"/>
      <family val="2"/>
    </font>
    <font>
      <sz val="20"/>
      <color rgb="FFFF0000"/>
      <name val="Arial"/>
      <family val="2"/>
    </font>
    <font>
      <sz val="11"/>
      <color theme="1"/>
      <name val="Arial"/>
      <family val="2"/>
    </font>
    <font>
      <b/>
      <sz val="10"/>
      <color rgb="FF00B050"/>
      <name val="Arial"/>
      <family val="2"/>
    </font>
    <font>
      <b/>
      <sz val="10"/>
      <color rgb="FFFF0000"/>
      <name val="Arial"/>
      <family val="2"/>
    </font>
    <font>
      <sz val="10"/>
      <color rgb="FF00B050"/>
      <name val="Arial"/>
      <family val="2"/>
    </font>
    <font>
      <sz val="10"/>
      <color rgb="FFFF0000"/>
      <name val="Arial"/>
      <family val="2"/>
    </font>
    <font>
      <sz val="11"/>
      <color theme="3"/>
      <name val="Arial"/>
      <family val="2"/>
    </font>
    <font>
      <sz val="10"/>
      <color theme="3"/>
      <name val="Arial"/>
      <family val="2"/>
    </font>
    <font>
      <u/>
      <sz val="10"/>
      <color theme="3"/>
      <name val="Arial"/>
      <family val="2"/>
    </font>
    <font>
      <u/>
      <sz val="10"/>
      <color rgb="FF0070C0"/>
      <name val="Arial"/>
      <family val="2"/>
    </font>
    <font>
      <sz val="10"/>
      <color rgb="FF0070C0"/>
      <name val="Arial"/>
      <family val="2"/>
    </font>
    <font>
      <sz val="10"/>
      <color theme="4" tint="-0.249977111117893"/>
      <name val="Arial"/>
      <family val="2"/>
    </font>
    <font>
      <u/>
      <sz val="10"/>
      <color theme="4" tint="-0.249977111117893"/>
      <name val="Arial"/>
      <family val="2"/>
    </font>
    <font>
      <sz val="10"/>
      <color theme="1"/>
      <name val="Arial"/>
      <family val="2"/>
    </font>
    <font>
      <sz val="10"/>
      <name val="Calibri"/>
      <family val="2"/>
      <scheme val="minor"/>
    </font>
    <font>
      <b/>
      <sz val="24"/>
      <color rgb="FFFF0000"/>
      <name val="Arial"/>
      <family val="2"/>
    </font>
    <font>
      <b/>
      <sz val="12"/>
      <color rgb="FFFF0000"/>
      <name val="Arial"/>
      <family val="2"/>
    </font>
    <font>
      <sz val="20"/>
      <color theme="1"/>
      <name val="Arial Black"/>
      <family val="2"/>
    </font>
    <font>
      <b/>
      <sz val="10"/>
      <color theme="1"/>
      <name val="Times New Roman"/>
      <family val="1"/>
    </font>
    <font>
      <sz val="12"/>
      <color theme="1"/>
      <name val="Times New Roman"/>
      <family val="1"/>
    </font>
    <font>
      <sz val="10"/>
      <color theme="1"/>
      <name val="Times New Roman"/>
      <family val="1"/>
    </font>
    <font>
      <b/>
      <sz val="12"/>
      <color theme="1"/>
      <name val="Times New Roman"/>
      <family val="1"/>
    </font>
    <font>
      <sz val="6"/>
      <color theme="1"/>
      <name val="Times New Roman"/>
      <family val="1"/>
    </font>
    <font>
      <sz val="14"/>
      <color theme="1"/>
      <name val="Times New Roman"/>
      <family val="1"/>
    </font>
    <font>
      <i/>
      <sz val="10"/>
      <color theme="1"/>
      <name val="Times New Roman"/>
      <family val="1"/>
    </font>
  </fonts>
  <fills count="18">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10"/>
        <bgColor indexed="64"/>
      </patternFill>
    </fill>
    <fill>
      <patternFill patternType="solid">
        <fgColor indexed="1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C000"/>
        <bgColor indexed="64"/>
      </patternFill>
    </fill>
    <fill>
      <patternFill patternType="solid">
        <fgColor rgb="FFFF0000"/>
        <bgColor indexed="64"/>
      </patternFill>
    </fill>
    <fill>
      <patternFill patternType="solid">
        <fgColor theme="0" tint="-0.249977111117893"/>
        <bgColor indexed="64"/>
      </patternFill>
    </fill>
    <fill>
      <patternFill patternType="solid">
        <fgColor rgb="FFFFFF00"/>
        <bgColor indexed="64"/>
      </patternFill>
    </fill>
    <fill>
      <patternFill patternType="solid">
        <fgColor rgb="FF92D050"/>
        <bgColor indexed="64"/>
      </patternFill>
    </fill>
    <fill>
      <patternFill patternType="solid">
        <fgColor rgb="FFB6FCB6"/>
        <bgColor indexed="64"/>
      </patternFill>
    </fill>
    <fill>
      <patternFill patternType="solid">
        <fgColor theme="4" tint="0.39997558519241921"/>
        <bgColor indexed="64"/>
      </patternFill>
    </fill>
    <fill>
      <patternFill patternType="solid">
        <fgColor rgb="FF5F86A1"/>
        <bgColor indexed="64"/>
      </patternFill>
    </fill>
    <fill>
      <patternFill patternType="solid">
        <fgColor rgb="FF99FFCC"/>
        <bgColor indexed="64"/>
      </patternFill>
    </fill>
  </fills>
  <borders count="81">
    <border>
      <left/>
      <right/>
      <top/>
      <bottom/>
      <diagonal/>
    </border>
    <border>
      <left style="thin">
        <color indexed="64"/>
      </left>
      <right style="thin">
        <color indexed="64"/>
      </right>
      <top style="thin">
        <color indexed="64"/>
      </top>
      <bottom style="thin">
        <color indexed="64"/>
      </bottom>
      <diagonal/>
    </border>
    <border>
      <left style="thin">
        <color indexed="64"/>
      </left>
      <right style="dotted">
        <color indexed="64"/>
      </right>
      <top style="thin">
        <color indexed="64"/>
      </top>
      <bottom style="dotted">
        <color indexed="64"/>
      </bottom>
      <diagonal/>
    </border>
    <border>
      <left style="dotted">
        <color indexed="64"/>
      </left>
      <right style="thin">
        <color indexed="64"/>
      </right>
      <top style="thin">
        <color indexed="64"/>
      </top>
      <bottom style="dotted">
        <color indexed="64"/>
      </bottom>
      <diagonal/>
    </border>
    <border>
      <left style="thin">
        <color indexed="64"/>
      </left>
      <right style="dotted">
        <color indexed="64"/>
      </right>
      <top style="dotted">
        <color indexed="64"/>
      </top>
      <bottom style="thin">
        <color indexed="64"/>
      </bottom>
      <diagonal/>
    </border>
    <border>
      <left style="dotted">
        <color indexed="64"/>
      </left>
      <right style="thin">
        <color indexed="64"/>
      </right>
      <top style="dotted">
        <color indexed="64"/>
      </top>
      <bottom style="thin">
        <color indexed="64"/>
      </bottom>
      <diagonal/>
    </border>
    <border>
      <left/>
      <right style="thin">
        <color indexed="64"/>
      </right>
      <top style="dotted">
        <color indexed="64"/>
      </top>
      <bottom style="dotted">
        <color indexed="64"/>
      </bottom>
      <diagonal/>
    </border>
    <border>
      <left style="thin">
        <color indexed="64"/>
      </left>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thin">
        <color indexed="64"/>
      </left>
      <right/>
      <top/>
      <bottom style="thin">
        <color indexed="64"/>
      </bottom>
      <diagonal/>
    </border>
    <border>
      <left style="dotted">
        <color indexed="64"/>
      </left>
      <right style="dotted">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bottom/>
      <diagonal/>
    </border>
    <border>
      <left/>
      <right/>
      <top/>
      <bottom style="thin">
        <color indexed="64"/>
      </bottom>
      <diagonal/>
    </border>
    <border>
      <left style="dotted">
        <color indexed="64"/>
      </left>
      <right style="thin">
        <color indexed="64"/>
      </right>
      <top/>
      <bottom style="dotted">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style="dotted">
        <color indexed="64"/>
      </right>
      <top/>
      <bottom style="dotted">
        <color indexed="64"/>
      </bottom>
      <diagonal/>
    </border>
    <border>
      <left style="dotted">
        <color indexed="64"/>
      </left>
      <right style="thin">
        <color indexed="64"/>
      </right>
      <top style="dotted">
        <color indexed="64"/>
      </top>
      <bottom style="dotted">
        <color indexed="64"/>
      </bottom>
      <diagonal/>
    </border>
    <border>
      <left style="thin">
        <color indexed="64"/>
      </left>
      <right style="dotted">
        <color indexed="64"/>
      </right>
      <top style="dotted">
        <color indexed="64"/>
      </top>
      <bottom style="dotted">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dotted">
        <color indexed="64"/>
      </bottom>
      <diagonal/>
    </border>
    <border>
      <left/>
      <right/>
      <top style="thin">
        <color indexed="64"/>
      </top>
      <bottom style="dotted">
        <color indexed="64"/>
      </bottom>
      <diagonal/>
    </border>
    <border>
      <left/>
      <right style="thin">
        <color indexed="64"/>
      </right>
      <top style="thin">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style="thin">
        <color indexed="64"/>
      </right>
      <top style="dotted">
        <color indexed="64"/>
      </top>
      <bottom style="dotted">
        <color indexed="64"/>
      </bottom>
      <diagonal/>
    </border>
    <border>
      <left style="dotted">
        <color indexed="64"/>
      </left>
      <right/>
      <top style="thin">
        <color indexed="64"/>
      </top>
      <bottom style="dotted">
        <color indexed="64"/>
      </bottom>
      <diagonal/>
    </border>
    <border>
      <left style="dotted">
        <color indexed="64"/>
      </left>
      <right/>
      <top style="dotted">
        <color indexed="64"/>
      </top>
      <bottom style="dotted">
        <color indexed="64"/>
      </bottom>
      <diagonal/>
    </border>
    <border>
      <left/>
      <right/>
      <top style="dotted">
        <color indexed="64"/>
      </top>
      <bottom style="dotted">
        <color indexed="64"/>
      </bottom>
      <diagonal/>
    </border>
    <border>
      <left style="dotted">
        <color indexed="64"/>
      </left>
      <right/>
      <top style="dotted">
        <color indexed="64"/>
      </top>
      <bottom style="thin">
        <color indexed="64"/>
      </bottom>
      <diagonal/>
    </border>
    <border>
      <left/>
      <right/>
      <top style="dotted">
        <color indexed="64"/>
      </top>
      <bottom style="thin">
        <color indexed="64"/>
      </bottom>
      <diagonal/>
    </border>
    <border>
      <left/>
      <right style="thin">
        <color indexed="64"/>
      </right>
      <top style="dotted">
        <color indexed="64"/>
      </top>
      <bottom style="thin">
        <color indexed="64"/>
      </bottom>
      <diagonal/>
    </border>
    <border>
      <left style="dotted">
        <color indexed="64"/>
      </left>
      <right/>
      <top style="thin">
        <color indexed="64"/>
      </top>
      <bottom/>
      <diagonal/>
    </border>
    <border>
      <left style="thin">
        <color indexed="64"/>
      </left>
      <right style="dotted">
        <color indexed="64"/>
      </right>
      <top style="thin">
        <color indexed="64"/>
      </top>
      <bottom/>
      <diagonal/>
    </border>
    <border>
      <left/>
      <right style="dotted">
        <color indexed="64"/>
      </right>
      <top style="dotted">
        <color indexed="64"/>
      </top>
      <bottom style="dotted">
        <color indexed="64"/>
      </bottom>
      <diagonal/>
    </border>
    <border>
      <left style="thin">
        <color indexed="64"/>
      </left>
      <right style="dotted">
        <color indexed="64"/>
      </right>
      <top/>
      <bottom style="thin">
        <color indexed="64"/>
      </bottom>
      <diagonal/>
    </border>
    <border>
      <left style="dotted">
        <color indexed="64"/>
      </left>
      <right/>
      <top/>
      <bottom style="thin">
        <color indexed="64"/>
      </bottom>
      <diagonal/>
    </border>
    <border>
      <left style="thin">
        <color indexed="64"/>
      </left>
      <right style="thin">
        <color indexed="64"/>
      </right>
      <top/>
      <bottom/>
      <diagonal/>
    </border>
    <border>
      <left style="thin">
        <color indexed="64"/>
      </left>
      <right style="dotted">
        <color indexed="64"/>
      </right>
      <top/>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s>
  <cellStyleXfs count="3">
    <xf numFmtId="0" fontId="0" fillId="0" borderId="0"/>
    <xf numFmtId="0" fontId="1" fillId="0" borderId="0" applyNumberFormat="0" applyFill="0" applyBorder="0" applyAlignment="0" applyProtection="0">
      <alignment vertical="top"/>
      <protection locked="0"/>
    </xf>
    <xf numFmtId="0" fontId="5" fillId="0" borderId="0"/>
  </cellStyleXfs>
  <cellXfs count="508">
    <xf numFmtId="0" fontId="0" fillId="0" borderId="0" xfId="0"/>
    <xf numFmtId="0" fontId="6" fillId="0" borderId="0" xfId="0" applyFont="1" applyAlignment="1">
      <alignment horizontal="center" vertical="center"/>
    </xf>
    <xf numFmtId="0" fontId="3" fillId="0" borderId="0" xfId="0" applyFont="1" applyAlignment="1">
      <alignment horizontal="center" vertical="center"/>
    </xf>
    <xf numFmtId="0" fontId="10" fillId="0" borderId="0" xfId="0" applyFont="1" applyAlignment="1">
      <alignment horizontal="center" vertical="center"/>
    </xf>
    <xf numFmtId="0" fontId="2" fillId="0" borderId="0" xfId="0" applyFont="1" applyAlignment="1">
      <alignment horizontal="left" vertical="center" wrapText="1"/>
    </xf>
    <xf numFmtId="0" fontId="0" fillId="0" borderId="0" xfId="0" applyAlignment="1">
      <alignment vertical="center"/>
    </xf>
    <xf numFmtId="1" fontId="31" fillId="6" borderId="1" xfId="0" applyNumberFormat="1" applyFont="1" applyFill="1" applyBorder="1" applyAlignment="1">
      <alignment horizontal="center" vertical="center" shrinkToFit="1"/>
    </xf>
    <xf numFmtId="0" fontId="32" fillId="0" borderId="0" xfId="0" applyFont="1"/>
    <xf numFmtId="0" fontId="5" fillId="0" borderId="1" xfId="0" applyFont="1" applyFill="1" applyBorder="1" applyAlignment="1">
      <alignment horizontal="left" vertical="center"/>
    </xf>
    <xf numFmtId="0" fontId="4" fillId="0" borderId="1" xfId="0" applyFont="1" applyBorder="1" applyAlignment="1">
      <alignment horizontal="left" vertical="center" wrapText="1"/>
    </xf>
    <xf numFmtId="0" fontId="4" fillId="0" borderId="2" xfId="0" applyFont="1" applyBorder="1" applyAlignment="1">
      <alignment vertical="center"/>
    </xf>
    <xf numFmtId="0" fontId="4" fillId="0" borderId="3" xfId="0" applyFont="1" applyBorder="1" applyAlignment="1">
      <alignment vertical="center"/>
    </xf>
    <xf numFmtId="0" fontId="4" fillId="0" borderId="4" xfId="0" applyFont="1" applyBorder="1" applyAlignment="1">
      <alignment vertical="center"/>
    </xf>
    <xf numFmtId="0" fontId="4" fillId="0" borderId="5" xfId="0" applyFont="1" applyBorder="1" applyAlignment="1">
      <alignment vertical="center"/>
    </xf>
    <xf numFmtId="0" fontId="5" fillId="0" borderId="6" xfId="0" applyFont="1" applyBorder="1" applyAlignment="1">
      <alignment vertical="center"/>
    </xf>
    <xf numFmtId="0" fontId="5" fillId="0" borderId="7" xfId="0" applyFont="1" applyBorder="1" applyAlignment="1">
      <alignment vertical="center"/>
    </xf>
    <xf numFmtId="0" fontId="5" fillId="0" borderId="8" xfId="0" applyFont="1" applyBorder="1" applyAlignment="1">
      <alignment horizontal="right" vertical="center"/>
    </xf>
    <xf numFmtId="0" fontId="0" fillId="0" borderId="6" xfId="0" applyBorder="1" applyAlignment="1">
      <alignment horizontal="right" vertical="center"/>
    </xf>
    <xf numFmtId="0" fontId="5" fillId="0" borderId="8" xfId="0" applyFont="1" applyBorder="1" applyAlignment="1">
      <alignment vertical="center"/>
    </xf>
    <xf numFmtId="0" fontId="0" fillId="0" borderId="6" xfId="0" applyBorder="1" applyAlignment="1">
      <alignment vertical="center"/>
    </xf>
    <xf numFmtId="0" fontId="5" fillId="0" borderId="9" xfId="0" applyFont="1" applyBorder="1" applyAlignment="1">
      <alignment vertical="center"/>
    </xf>
    <xf numFmtId="0" fontId="5" fillId="0" borderId="10" xfId="0" applyFont="1" applyBorder="1" applyAlignment="1">
      <alignment horizontal="right" vertical="center"/>
    </xf>
    <xf numFmtId="0" fontId="0" fillId="0" borderId="11" xfId="0" applyBorder="1" applyAlignment="1">
      <alignment horizontal="right" vertical="center"/>
    </xf>
    <xf numFmtId="0" fontId="4" fillId="0" borderId="2" xfId="0" applyFont="1" applyFill="1" applyBorder="1" applyAlignment="1">
      <alignment horizontal="left" vertical="center"/>
    </xf>
    <xf numFmtId="0" fontId="4" fillId="0" borderId="7" xfId="0" applyFont="1" applyFill="1" applyBorder="1" applyAlignment="1">
      <alignment horizontal="left" vertical="center"/>
    </xf>
    <xf numFmtId="0" fontId="4" fillId="0" borderId="9" xfId="0" applyFont="1" applyFill="1" applyBorder="1" applyAlignment="1">
      <alignment horizontal="left" vertical="center" wrapText="1"/>
    </xf>
    <xf numFmtId="0" fontId="4" fillId="0" borderId="12" xfId="0" applyFont="1" applyFill="1" applyBorder="1" applyAlignment="1">
      <alignment horizontal="left" vertical="center"/>
    </xf>
    <xf numFmtId="0" fontId="4" fillId="0" borderId="7" xfId="0" applyFont="1" applyBorder="1" applyAlignment="1">
      <alignment horizontal="left" vertical="center"/>
    </xf>
    <xf numFmtId="0" fontId="5" fillId="0" borderId="0" xfId="0" applyFont="1" applyFill="1" applyBorder="1" applyAlignment="1">
      <alignment vertical="center"/>
    </xf>
    <xf numFmtId="0" fontId="5" fillId="0" borderId="13" xfId="0" applyFont="1" applyFill="1" applyBorder="1" applyAlignment="1">
      <alignment vertical="center"/>
    </xf>
    <xf numFmtId="0" fontId="5" fillId="0" borderId="0" xfId="0" applyFont="1" applyFill="1" applyBorder="1" applyAlignment="1">
      <alignment horizontal="left" vertical="center"/>
    </xf>
    <xf numFmtId="0" fontId="4" fillId="0" borderId="9" xfId="0" applyFont="1" applyFill="1" applyBorder="1" applyAlignment="1">
      <alignment horizontal="left" vertical="center"/>
    </xf>
    <xf numFmtId="0" fontId="5" fillId="0" borderId="14" xfId="0" applyFont="1" applyFill="1" applyBorder="1" applyAlignment="1">
      <alignment horizontal="left" vertical="center"/>
    </xf>
    <xf numFmtId="0" fontId="5" fillId="0" borderId="14" xfId="0" applyFont="1" applyFill="1" applyBorder="1" applyAlignment="1">
      <alignment vertical="center"/>
    </xf>
    <xf numFmtId="0" fontId="5" fillId="0" borderId="11" xfId="0" applyFont="1" applyFill="1" applyBorder="1" applyAlignment="1">
      <alignment vertical="center"/>
    </xf>
    <xf numFmtId="0" fontId="5" fillId="7" borderId="1" xfId="0" applyFont="1" applyFill="1" applyBorder="1" applyAlignment="1">
      <alignment horizontal="center" vertical="center" wrapText="1"/>
    </xf>
    <xf numFmtId="49" fontId="5" fillId="0" borderId="15" xfId="0" applyNumberFormat="1" applyFont="1" applyBorder="1" applyAlignment="1">
      <alignment horizontal="center" vertical="center" wrapText="1"/>
    </xf>
    <xf numFmtId="49" fontId="20" fillId="0" borderId="15" xfId="0" applyNumberFormat="1" applyFont="1" applyBorder="1" applyAlignment="1" applyProtection="1">
      <alignment horizontal="center" vertical="center" wrapText="1"/>
    </xf>
    <xf numFmtId="0" fontId="2" fillId="7" borderId="1" xfId="0" applyFont="1" applyFill="1" applyBorder="1" applyAlignment="1">
      <alignment horizontal="center" vertical="center" wrapText="1"/>
    </xf>
    <xf numFmtId="165" fontId="2" fillId="2" borderId="1" xfId="0" applyNumberFormat="1" applyFont="1" applyFill="1" applyBorder="1" applyAlignment="1">
      <alignment horizontal="center" vertical="center"/>
    </xf>
    <xf numFmtId="165" fontId="2" fillId="2" borderId="1" xfId="0" applyNumberFormat="1" applyFont="1" applyFill="1" applyBorder="1" applyAlignment="1">
      <alignment horizontal="center" vertical="center" shrinkToFit="1"/>
    </xf>
    <xf numFmtId="0" fontId="5" fillId="0" borderId="16" xfId="0" applyFont="1" applyFill="1" applyBorder="1" applyAlignment="1">
      <alignment horizontal="left" vertical="center"/>
    </xf>
    <xf numFmtId="0" fontId="5" fillId="0" borderId="12" xfId="0" applyFont="1" applyFill="1" applyBorder="1" applyAlignment="1">
      <alignment horizontal="left" vertical="center"/>
    </xf>
    <xf numFmtId="0" fontId="5" fillId="0" borderId="1" xfId="0" applyFont="1" applyFill="1" applyBorder="1" applyAlignment="1">
      <alignment horizontal="left" vertical="center" wrapText="1"/>
    </xf>
    <xf numFmtId="0" fontId="12" fillId="0" borderId="1" xfId="0" applyFont="1" applyFill="1" applyBorder="1" applyAlignment="1">
      <alignment vertical="center" wrapText="1"/>
    </xf>
    <xf numFmtId="0" fontId="2" fillId="0" borderId="12" xfId="0" applyFont="1" applyBorder="1"/>
    <xf numFmtId="0" fontId="2" fillId="0" borderId="17" xfId="0" applyFont="1" applyBorder="1"/>
    <xf numFmtId="0" fontId="0" fillId="0" borderId="0" xfId="0" applyAlignment="1">
      <alignment horizontal="center" vertical="center" wrapText="1"/>
    </xf>
    <xf numFmtId="0" fontId="0" fillId="0" borderId="1" xfId="0" applyBorder="1" applyAlignment="1">
      <alignment horizontal="center"/>
    </xf>
    <xf numFmtId="0" fontId="0" fillId="0" borderId="1" xfId="0" applyBorder="1" applyAlignment="1">
      <alignment horizontal="center" vertical="center" wrapText="1"/>
    </xf>
    <xf numFmtId="0" fontId="22" fillId="8" borderId="1" xfId="0" applyFont="1" applyFill="1" applyBorder="1" applyAlignment="1">
      <alignment horizontal="left" vertical="center"/>
    </xf>
    <xf numFmtId="0" fontId="22" fillId="0" borderId="0" xfId="0" applyFont="1"/>
    <xf numFmtId="0" fontId="22" fillId="0" borderId="0" xfId="0" applyFont="1" applyAlignment="1">
      <alignment horizontal="center" vertical="center" wrapText="1"/>
    </xf>
    <xf numFmtId="0" fontId="5" fillId="0" borderId="1" xfId="0" applyFont="1" applyBorder="1"/>
    <xf numFmtId="0" fontId="5" fillId="0" borderId="0" xfId="0" applyFont="1"/>
    <xf numFmtId="0" fontId="5" fillId="0" borderId="0" xfId="0" applyFont="1" applyFill="1"/>
    <xf numFmtId="0" fontId="5" fillId="0" borderId="6" xfId="0" applyFont="1" applyBorder="1" applyAlignment="1">
      <alignment horizontal="right" vertical="center"/>
    </xf>
    <xf numFmtId="0" fontId="5" fillId="0" borderId="11" xfId="0" applyFont="1" applyBorder="1" applyAlignment="1">
      <alignment horizontal="right" vertical="center"/>
    </xf>
    <xf numFmtId="14" fontId="5" fillId="0" borderId="18" xfId="0" applyNumberFormat="1" applyFont="1" applyBorder="1" applyAlignment="1" applyProtection="1">
      <alignment vertical="center" wrapText="1"/>
    </xf>
    <xf numFmtId="49" fontId="5" fillId="0" borderId="19" xfId="0" applyNumberFormat="1" applyFont="1" applyBorder="1" applyAlignment="1">
      <alignment horizontal="center" vertical="center" wrapText="1"/>
    </xf>
    <xf numFmtId="14" fontId="5" fillId="0" borderId="20" xfId="0" applyNumberFormat="1" applyFont="1" applyBorder="1" applyAlignment="1">
      <alignment vertical="center" wrapText="1"/>
    </xf>
    <xf numFmtId="14" fontId="5" fillId="0" borderId="4" xfId="0" applyNumberFormat="1" applyFont="1" applyBorder="1" applyAlignment="1">
      <alignment vertical="center" wrapText="1"/>
    </xf>
    <xf numFmtId="49" fontId="5" fillId="0" borderId="5" xfId="0" applyNumberFormat="1" applyFont="1" applyBorder="1" applyAlignment="1">
      <alignment vertical="center" wrapText="1"/>
    </xf>
    <xf numFmtId="0" fontId="5" fillId="0" borderId="0" xfId="0" applyFont="1" applyAlignment="1">
      <alignment horizontal="left" vertical="top"/>
    </xf>
    <xf numFmtId="0" fontId="5" fillId="0" borderId="0" xfId="0" applyFont="1" applyAlignment="1">
      <alignment vertical="center"/>
    </xf>
    <xf numFmtId="166" fontId="10" fillId="9" borderId="1" xfId="0" applyNumberFormat="1" applyFont="1" applyFill="1" applyBorder="1" applyAlignment="1">
      <alignment horizontal="center" vertical="center" textRotation="90" wrapText="1"/>
    </xf>
    <xf numFmtId="164" fontId="9" fillId="10" borderId="1" xfId="0" applyNumberFormat="1" applyFont="1" applyFill="1" applyBorder="1" applyAlignment="1">
      <alignment horizontal="center" vertical="center" textRotation="90" wrapText="1"/>
    </xf>
    <xf numFmtId="3" fontId="12" fillId="4" borderId="1" xfId="0" applyNumberFormat="1" applyFont="1" applyFill="1" applyBorder="1" applyAlignment="1">
      <alignment horizontal="center" vertical="center" shrinkToFit="1"/>
    </xf>
    <xf numFmtId="1" fontId="14" fillId="0" borderId="1" xfId="0" applyNumberFormat="1" applyFont="1" applyFill="1" applyBorder="1" applyAlignment="1">
      <alignment horizontal="center" vertical="center"/>
    </xf>
    <xf numFmtId="166" fontId="2" fillId="11" borderId="1" xfId="0" applyNumberFormat="1" applyFont="1" applyFill="1" applyBorder="1" applyAlignment="1">
      <alignment horizontal="center" vertical="center" textRotation="90" wrapText="1"/>
    </xf>
    <xf numFmtId="166" fontId="2" fillId="9" borderId="1" xfId="0" applyNumberFormat="1" applyFont="1" applyFill="1" applyBorder="1" applyAlignment="1">
      <alignment horizontal="center" vertical="center" textRotation="90" wrapText="1"/>
    </xf>
    <xf numFmtId="167" fontId="2" fillId="11" borderId="1" xfId="0" applyNumberFormat="1" applyFont="1" applyFill="1" applyBorder="1" applyAlignment="1">
      <alignment horizontal="center" vertical="center" textRotation="90" wrapText="1"/>
    </xf>
    <xf numFmtId="2" fontId="2" fillId="2" borderId="1" xfId="0" applyNumberFormat="1" applyFont="1" applyFill="1" applyBorder="1" applyAlignment="1">
      <alignment horizontal="center" vertical="center" shrinkToFit="1"/>
    </xf>
    <xf numFmtId="165" fontId="2" fillId="12" borderId="1" xfId="0" applyNumberFormat="1" applyFont="1" applyFill="1" applyBorder="1" applyAlignment="1">
      <alignment horizontal="center" vertical="center" shrinkToFit="1"/>
    </xf>
    <xf numFmtId="49" fontId="4" fillId="0" borderId="1" xfId="0" applyNumberFormat="1" applyFont="1" applyBorder="1" applyAlignment="1">
      <alignment vertical="center"/>
    </xf>
    <xf numFmtId="0" fontId="5" fillId="0" borderId="1" xfId="0" applyFont="1" applyBorder="1" applyAlignment="1">
      <alignment horizontal="center" vertical="center"/>
    </xf>
    <xf numFmtId="0" fontId="4" fillId="0" borderId="1" xfId="0" applyFont="1" applyBorder="1" applyAlignment="1">
      <alignment horizontal="center" vertical="center"/>
    </xf>
    <xf numFmtId="0" fontId="0" fillId="0" borderId="1" xfId="0" applyBorder="1" applyAlignment="1">
      <alignment horizontal="center" vertical="center"/>
    </xf>
    <xf numFmtId="0" fontId="5" fillId="0" borderId="1" xfId="0" applyFont="1" applyBorder="1" applyAlignment="1" applyProtection="1">
      <alignment horizontal="center" vertical="center"/>
      <protection locked="0"/>
    </xf>
    <xf numFmtId="0" fontId="5" fillId="0" borderId="21" xfId="0" applyFont="1" applyBorder="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0" fontId="0" fillId="8" borderId="1" xfId="0" applyFill="1" applyBorder="1" applyAlignment="1">
      <alignment horizontal="center" vertical="center" wrapText="1"/>
    </xf>
    <xf numFmtId="0" fontId="4" fillId="13" borderId="1" xfId="0" applyFont="1" applyFill="1" applyBorder="1" applyAlignment="1">
      <alignment horizontal="center" vertical="center"/>
    </xf>
    <xf numFmtId="0" fontId="4" fillId="10" borderId="1" xfId="0" applyFont="1" applyFill="1" applyBorder="1" applyAlignment="1">
      <alignment horizontal="center" vertical="center"/>
    </xf>
    <xf numFmtId="0" fontId="0" fillId="0" borderId="22" xfId="0" applyBorder="1" applyAlignment="1">
      <alignment horizontal="center" vertical="center"/>
    </xf>
    <xf numFmtId="0" fontId="0" fillId="0" borderId="0" xfId="0" applyAlignment="1">
      <alignment horizontal="center" vertical="center"/>
    </xf>
    <xf numFmtId="166" fontId="10" fillId="8" borderId="1" xfId="0" applyNumberFormat="1" applyFont="1" applyFill="1" applyBorder="1" applyAlignment="1">
      <alignment horizontal="center" vertical="center" textRotation="90" wrapText="1"/>
    </xf>
    <xf numFmtId="0" fontId="10" fillId="0" borderId="0" xfId="0" applyFont="1" applyAlignment="1">
      <alignment vertical="center"/>
    </xf>
    <xf numFmtId="1" fontId="13" fillId="8" borderId="23" xfId="0" applyNumberFormat="1" applyFont="1" applyFill="1" applyBorder="1" applyAlignment="1">
      <alignment horizontal="center" vertical="center"/>
    </xf>
    <xf numFmtId="1" fontId="13" fillId="8" borderId="24" xfId="0" applyNumberFormat="1" applyFont="1" applyFill="1" applyBorder="1" applyAlignment="1">
      <alignment horizontal="center" vertical="center"/>
    </xf>
    <xf numFmtId="1" fontId="13" fillId="8" borderId="25" xfId="0" applyNumberFormat="1" applyFont="1" applyFill="1" applyBorder="1" applyAlignment="1">
      <alignment horizontal="center" vertical="center"/>
    </xf>
    <xf numFmtId="0" fontId="3" fillId="0" borderId="0" xfId="0" applyFont="1" applyAlignment="1">
      <alignment vertical="center"/>
    </xf>
    <xf numFmtId="1" fontId="13" fillId="0" borderId="26" xfId="0" applyNumberFormat="1" applyFont="1" applyFill="1" applyBorder="1" applyAlignment="1">
      <alignment horizontal="center" vertical="center"/>
    </xf>
    <xf numFmtId="1" fontId="13" fillId="0" borderId="27" xfId="0" applyNumberFormat="1" applyFont="1" applyFill="1" applyBorder="1" applyAlignment="1">
      <alignment horizontal="center" vertical="center"/>
    </xf>
    <xf numFmtId="1" fontId="14" fillId="0" borderId="28" xfId="0" applyNumberFormat="1" applyFont="1" applyFill="1" applyBorder="1" applyAlignment="1">
      <alignment horizontal="center" vertical="center"/>
    </xf>
    <xf numFmtId="165" fontId="16" fillId="6" borderId="29" xfId="0" applyNumberFormat="1" applyFont="1" applyFill="1" applyBorder="1" applyAlignment="1">
      <alignment horizontal="center" vertical="center"/>
    </xf>
    <xf numFmtId="165" fontId="16" fillId="6" borderId="30" xfId="0" applyNumberFormat="1" applyFont="1" applyFill="1" applyBorder="1" applyAlignment="1">
      <alignment horizontal="center" vertical="center"/>
    </xf>
    <xf numFmtId="0" fontId="8" fillId="6" borderId="0" xfId="0" applyFont="1" applyFill="1" applyBorder="1" applyAlignment="1">
      <alignment horizontal="center" vertical="center" textRotation="90" wrapText="1"/>
    </xf>
    <xf numFmtId="49" fontId="15" fillId="6" borderId="0" xfId="0" applyNumberFormat="1" applyFont="1" applyFill="1" applyBorder="1" applyAlignment="1">
      <alignment horizontal="center" vertical="center"/>
    </xf>
    <xf numFmtId="1" fontId="14" fillId="6" borderId="0" xfId="0" applyNumberFormat="1" applyFont="1" applyFill="1" applyBorder="1" applyAlignment="1">
      <alignment horizontal="center" vertical="center"/>
    </xf>
    <xf numFmtId="0" fontId="3" fillId="6" borderId="0" xfId="0" applyFont="1" applyFill="1" applyBorder="1" applyAlignment="1">
      <alignment horizontal="center" vertical="center"/>
    </xf>
    <xf numFmtId="0" fontId="3" fillId="6" borderId="0" xfId="0" applyFont="1" applyFill="1" applyBorder="1" applyAlignment="1">
      <alignment vertical="center"/>
    </xf>
    <xf numFmtId="1" fontId="13" fillId="9" borderId="31" xfId="0" applyNumberFormat="1" applyFont="1" applyFill="1" applyBorder="1" applyAlignment="1">
      <alignment horizontal="center" vertical="center"/>
    </xf>
    <xf numFmtId="1" fontId="13" fillId="9" borderId="26" xfId="0" applyNumberFormat="1" applyFont="1" applyFill="1" applyBorder="1" applyAlignment="1">
      <alignment horizontal="center" vertical="center"/>
    </xf>
    <xf numFmtId="1" fontId="13" fillId="9" borderId="27" xfId="0" applyNumberFormat="1" applyFont="1" applyFill="1" applyBorder="1" applyAlignment="1">
      <alignment horizontal="center" vertical="center"/>
    </xf>
    <xf numFmtId="165" fontId="17" fillId="9" borderId="32" xfId="0" applyNumberFormat="1" applyFont="1" applyFill="1" applyBorder="1" applyAlignment="1">
      <alignment horizontal="center" vertical="center"/>
    </xf>
    <xf numFmtId="1" fontId="17" fillId="9" borderId="29" xfId="0" applyNumberFormat="1" applyFont="1" applyFill="1" applyBorder="1" applyAlignment="1">
      <alignment horizontal="center" vertical="center"/>
    </xf>
    <xf numFmtId="165" fontId="17" fillId="9" borderId="30" xfId="0" applyNumberFormat="1" applyFont="1" applyFill="1" applyBorder="1" applyAlignment="1">
      <alignment horizontal="center" vertical="center"/>
    </xf>
    <xf numFmtId="0" fontId="27" fillId="6" borderId="0" xfId="0" applyFont="1" applyFill="1" applyBorder="1" applyAlignment="1">
      <alignment horizontal="center" vertical="center" textRotation="90" wrapText="1"/>
    </xf>
    <xf numFmtId="49" fontId="8" fillId="6" borderId="0" xfId="0" applyNumberFormat="1" applyFont="1" applyFill="1" applyBorder="1" applyAlignment="1">
      <alignment horizontal="center" vertical="center"/>
    </xf>
    <xf numFmtId="165" fontId="17" fillId="6" borderId="0" xfId="0" applyNumberFormat="1" applyFont="1" applyFill="1" applyBorder="1" applyAlignment="1">
      <alignment horizontal="center" vertical="center"/>
    </xf>
    <xf numFmtId="1" fontId="17" fillId="6" borderId="0" xfId="0" applyNumberFormat="1" applyFont="1" applyFill="1" applyBorder="1" applyAlignment="1">
      <alignment horizontal="center" vertical="center"/>
    </xf>
    <xf numFmtId="1" fontId="13" fillId="10" borderId="33" xfId="0" applyNumberFormat="1" applyFont="1" applyFill="1" applyBorder="1" applyAlignment="1">
      <alignment horizontal="center" vertical="center"/>
    </xf>
    <xf numFmtId="1" fontId="13" fillId="10" borderId="26" xfId="0" applyNumberFormat="1" applyFont="1" applyFill="1" applyBorder="1" applyAlignment="1">
      <alignment horizontal="center" vertical="center"/>
    </xf>
    <xf numFmtId="1" fontId="13" fillId="10" borderId="27" xfId="0" applyNumberFormat="1" applyFont="1" applyFill="1" applyBorder="1" applyAlignment="1">
      <alignment horizontal="center" vertical="center"/>
    </xf>
    <xf numFmtId="1" fontId="13" fillId="5" borderId="34" xfId="0" applyNumberFormat="1" applyFont="1" applyFill="1" applyBorder="1" applyAlignment="1">
      <alignment horizontal="center" vertical="center"/>
    </xf>
    <xf numFmtId="1" fontId="13" fillId="5" borderId="29" xfId="0" applyNumberFormat="1" applyFont="1" applyFill="1" applyBorder="1" applyAlignment="1">
      <alignment horizontal="center" vertical="center"/>
    </xf>
    <xf numFmtId="1" fontId="13" fillId="5" borderId="30" xfId="0" applyNumberFormat="1" applyFont="1" applyFill="1" applyBorder="1" applyAlignment="1">
      <alignment horizontal="center" vertical="center"/>
    </xf>
    <xf numFmtId="0" fontId="4" fillId="11" borderId="22" xfId="0" applyFont="1" applyFill="1" applyBorder="1" applyAlignment="1">
      <alignment horizontal="center"/>
    </xf>
    <xf numFmtId="0" fontId="33" fillId="11" borderId="1" xfId="0" applyFont="1" applyFill="1" applyBorder="1" applyAlignment="1">
      <alignment horizontal="center"/>
    </xf>
    <xf numFmtId="0" fontId="34" fillId="11" borderId="1" xfId="0" applyFont="1" applyFill="1" applyBorder="1" applyAlignment="1">
      <alignment horizontal="center"/>
    </xf>
    <xf numFmtId="0" fontId="4" fillId="11" borderId="1" xfId="0" applyFont="1" applyFill="1" applyBorder="1" applyAlignment="1">
      <alignment horizontal="center"/>
    </xf>
    <xf numFmtId="0" fontId="0" fillId="0" borderId="16" xfId="0" applyBorder="1"/>
    <xf numFmtId="0" fontId="5" fillId="0" borderId="35" xfId="0" applyFont="1" applyBorder="1"/>
    <xf numFmtId="0" fontId="0" fillId="0" borderId="35" xfId="0" applyBorder="1"/>
    <xf numFmtId="0" fontId="0" fillId="0" borderId="21" xfId="0" applyBorder="1"/>
    <xf numFmtId="0" fontId="35" fillId="11" borderId="21" xfId="0" applyFont="1" applyFill="1" applyBorder="1" applyAlignment="1">
      <alignment horizontal="center"/>
    </xf>
    <xf numFmtId="0" fontId="36" fillId="11" borderId="1" xfId="0" applyFont="1" applyFill="1" applyBorder="1" applyAlignment="1">
      <alignment horizontal="center"/>
    </xf>
    <xf numFmtId="0" fontId="5" fillId="11" borderId="1" xfId="0" applyFont="1" applyFill="1" applyBorder="1" applyAlignment="1">
      <alignment horizontal="center"/>
    </xf>
    <xf numFmtId="0" fontId="0" fillId="0" borderId="36" xfId="0" applyBorder="1"/>
    <xf numFmtId="0" fontId="0" fillId="0" borderId="1" xfId="0" applyBorder="1"/>
    <xf numFmtId="2" fontId="2" fillId="7" borderId="1" xfId="0" applyNumberFormat="1" applyFont="1" applyFill="1" applyBorder="1" applyAlignment="1">
      <alignment horizontal="center" vertical="center" shrinkToFit="1"/>
    </xf>
    <xf numFmtId="0" fontId="4" fillId="0" borderId="2" xfId="0" applyFont="1" applyBorder="1" applyAlignment="1">
      <alignment horizontal="center" vertical="center"/>
    </xf>
    <xf numFmtId="0" fontId="0" fillId="0" borderId="0" xfId="0" applyBorder="1" applyAlignment="1">
      <alignment horizontal="center" vertical="center"/>
    </xf>
    <xf numFmtId="0" fontId="5" fillId="0" borderId="0" xfId="0" applyFont="1" applyBorder="1" applyAlignment="1">
      <alignment horizontal="center" vertical="center"/>
    </xf>
    <xf numFmtId="0" fontId="5" fillId="0" borderId="1" xfId="0" applyFont="1" applyBorder="1" applyAlignment="1">
      <alignment vertical="center"/>
    </xf>
    <xf numFmtId="0" fontId="0" fillId="6" borderId="0" xfId="0" applyFill="1" applyBorder="1" applyAlignment="1">
      <alignment vertical="center"/>
    </xf>
    <xf numFmtId="0" fontId="4" fillId="14" borderId="1" xfId="0" applyFont="1" applyFill="1" applyBorder="1" applyAlignment="1">
      <alignment horizontal="center" vertical="center"/>
    </xf>
    <xf numFmtId="0" fontId="4" fillId="0" borderId="0" xfId="0" applyFont="1" applyAlignment="1">
      <alignment vertical="center"/>
    </xf>
    <xf numFmtId="0" fontId="5" fillId="8" borderId="1" xfId="0" applyFont="1" applyFill="1" applyBorder="1" applyAlignment="1">
      <alignment horizontal="center" vertical="center"/>
    </xf>
    <xf numFmtId="0" fontId="28" fillId="0" borderId="0" xfId="0" applyFont="1" applyAlignment="1">
      <alignment horizontal="left" vertical="center"/>
    </xf>
    <xf numFmtId="0" fontId="0" fillId="6" borderId="0" xfId="0" applyFill="1" applyBorder="1" applyAlignment="1">
      <alignment horizontal="center" vertical="center"/>
    </xf>
    <xf numFmtId="0" fontId="0" fillId="0" borderId="0" xfId="0" applyAlignment="1">
      <alignment horizontal="left" vertical="center"/>
    </xf>
    <xf numFmtId="0" fontId="5" fillId="0" borderId="0" xfId="0" applyFont="1" applyBorder="1" applyAlignment="1">
      <alignment vertical="center"/>
    </xf>
    <xf numFmtId="14" fontId="5" fillId="0" borderId="18" xfId="0" applyNumberFormat="1" applyFont="1" applyBorder="1" applyAlignment="1">
      <alignment horizontal="center" vertical="center" wrapText="1"/>
    </xf>
    <xf numFmtId="0" fontId="0" fillId="0" borderId="1" xfId="0" applyBorder="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52" fillId="8" borderId="1" xfId="0" applyFont="1" applyFill="1" applyBorder="1" applyAlignment="1">
      <alignment horizontal="center" vertical="center"/>
    </xf>
    <xf numFmtId="0" fontId="52" fillId="0" borderId="0" xfId="0" applyFont="1" applyAlignment="1">
      <alignment horizontal="left" vertical="center"/>
    </xf>
    <xf numFmtId="0" fontId="0" fillId="0" borderId="1" xfId="0" applyBorder="1" applyAlignment="1">
      <alignment horizontal="center" vertical="center"/>
    </xf>
    <xf numFmtId="0" fontId="49" fillId="0" borderId="1" xfId="0" applyFont="1" applyBorder="1" applyAlignment="1">
      <alignment horizontal="left" vertical="center"/>
    </xf>
    <xf numFmtId="0" fontId="52" fillId="17" borderId="1" xfId="0" applyFont="1" applyFill="1"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center" vertical="center" wrapText="1"/>
    </xf>
    <xf numFmtId="0" fontId="5" fillId="0" borderId="0" xfId="0" applyFont="1" applyAlignment="1">
      <alignment wrapText="1" shrinkToFit="1"/>
    </xf>
    <xf numFmtId="0" fontId="5" fillId="0" borderId="0" xfId="0" applyFont="1" applyAlignment="1">
      <alignment wrapText="1"/>
    </xf>
    <xf numFmtId="0" fontId="5" fillId="0" borderId="42" xfId="0" applyFont="1" applyBorder="1" applyAlignment="1">
      <alignment horizontal="center" vertical="center" wrapText="1"/>
    </xf>
    <xf numFmtId="0" fontId="5" fillId="0" borderId="0" xfId="0" applyFont="1" applyBorder="1" applyAlignment="1">
      <alignment horizontal="center" vertical="center" wrapText="1"/>
    </xf>
    <xf numFmtId="0" fontId="5" fillId="0" borderId="43" xfId="0" applyFont="1" applyBorder="1" applyAlignment="1">
      <alignment horizontal="center" vertical="center" wrapText="1"/>
    </xf>
    <xf numFmtId="0" fontId="5" fillId="0" borderId="50" xfId="0" applyFont="1" applyBorder="1" applyAlignment="1">
      <alignment horizontal="center" vertical="center" wrapText="1"/>
    </xf>
    <xf numFmtId="0" fontId="5" fillId="0" borderId="51" xfId="0" applyFont="1" applyBorder="1" applyAlignment="1">
      <alignment horizontal="center" vertical="center" wrapText="1"/>
    </xf>
    <xf numFmtId="0" fontId="5" fillId="0" borderId="52" xfId="0" applyFont="1" applyBorder="1" applyAlignment="1">
      <alignment horizontal="center" vertical="center" wrapText="1"/>
    </xf>
    <xf numFmtId="0" fontId="5" fillId="8" borderId="46" xfId="0" applyFont="1" applyFill="1" applyBorder="1" applyAlignment="1">
      <alignment horizontal="left" vertical="center" wrapText="1"/>
    </xf>
    <xf numFmtId="0" fontId="5" fillId="8" borderId="35" xfId="0" applyFont="1" applyFill="1" applyBorder="1" applyAlignment="1">
      <alignment horizontal="left" vertical="center" wrapText="1"/>
    </xf>
    <xf numFmtId="49"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5" fillId="0" borderId="28" xfId="0" applyFont="1" applyBorder="1" applyAlignment="1">
      <alignment horizontal="center" vertical="center" wrapText="1"/>
    </xf>
    <xf numFmtId="0" fontId="5" fillId="8" borderId="53" xfId="0" applyFont="1" applyFill="1" applyBorder="1" applyAlignment="1">
      <alignment horizontal="left" vertical="center" wrapText="1"/>
    </xf>
    <xf numFmtId="0" fontId="5" fillId="8" borderId="54" xfId="0" applyFont="1" applyFill="1" applyBorder="1" applyAlignment="1">
      <alignment horizontal="left" vertical="center" wrapText="1"/>
    </xf>
    <xf numFmtId="14" fontId="5" fillId="0" borderId="29" xfId="0" applyNumberFormat="1" applyFont="1" applyBorder="1" applyAlignment="1">
      <alignment horizontal="center" vertical="center" wrapText="1"/>
    </xf>
    <xf numFmtId="0" fontId="5" fillId="0" borderId="29" xfId="0" applyFont="1" applyBorder="1" applyAlignment="1">
      <alignment horizontal="center" vertical="center" wrapText="1"/>
    </xf>
    <xf numFmtId="0" fontId="5" fillId="0" borderId="30" xfId="0" applyFont="1" applyBorder="1" applyAlignment="1">
      <alignment horizontal="center" vertical="center" wrapText="1"/>
    </xf>
    <xf numFmtId="0" fontId="42" fillId="0" borderId="16" xfId="0" applyFont="1" applyFill="1" applyBorder="1" applyAlignment="1">
      <alignment horizontal="center" vertical="center"/>
    </xf>
    <xf numFmtId="0" fontId="42" fillId="0" borderId="35" xfId="0" applyFont="1" applyFill="1" applyBorder="1" applyAlignment="1">
      <alignment horizontal="center" vertical="center"/>
    </xf>
    <xf numFmtId="0" fontId="42" fillId="0" borderId="21" xfId="0" applyFont="1" applyFill="1" applyBorder="1" applyAlignment="1">
      <alignment horizontal="center" vertical="center"/>
    </xf>
    <xf numFmtId="0" fontId="43" fillId="0" borderId="22" xfId="1" applyFont="1" applyFill="1" applyBorder="1" applyAlignment="1" applyProtection="1">
      <alignment horizontal="center" vertical="center"/>
    </xf>
    <xf numFmtId="0" fontId="20" fillId="6" borderId="12" xfId="0" applyFont="1" applyFill="1" applyBorder="1" applyAlignment="1">
      <alignment horizontal="left" vertical="center" wrapText="1"/>
    </xf>
    <xf numFmtId="0" fontId="20" fillId="6" borderId="17" xfId="0" applyFont="1" applyFill="1" applyBorder="1" applyAlignment="1">
      <alignment horizontal="left" vertical="center" wrapText="1"/>
    </xf>
    <xf numFmtId="0" fontId="20" fillId="6" borderId="37" xfId="0" applyFont="1" applyFill="1" applyBorder="1" applyAlignment="1">
      <alignment horizontal="left" vertical="center" wrapText="1"/>
    </xf>
    <xf numFmtId="0" fontId="20" fillId="6" borderId="38" xfId="0" applyFont="1" applyFill="1" applyBorder="1" applyAlignment="1">
      <alignment horizontal="left" vertical="center" wrapText="1"/>
    </xf>
    <xf numFmtId="0" fontId="20" fillId="6" borderId="0" xfId="0" applyFont="1" applyFill="1" applyBorder="1" applyAlignment="1">
      <alignment horizontal="left" vertical="center" wrapText="1"/>
    </xf>
    <xf numFmtId="0" fontId="20" fillId="6" borderId="13" xfId="0" applyFont="1" applyFill="1" applyBorder="1" applyAlignment="1">
      <alignment horizontal="left" vertical="center" wrapText="1"/>
    </xf>
    <xf numFmtId="0" fontId="20" fillId="6" borderId="9" xfId="0" applyFont="1" applyFill="1" applyBorder="1" applyAlignment="1">
      <alignment horizontal="left" vertical="center" wrapText="1"/>
    </xf>
    <xf numFmtId="0" fontId="20" fillId="6" borderId="14" xfId="0" applyFont="1" applyFill="1" applyBorder="1" applyAlignment="1">
      <alignment horizontal="left" vertical="center" wrapText="1"/>
    </xf>
    <xf numFmtId="0" fontId="20" fillId="6" borderId="11" xfId="0" applyFont="1" applyFill="1" applyBorder="1" applyAlignment="1">
      <alignment horizontal="left" vertical="center" wrapText="1"/>
    </xf>
    <xf numFmtId="0" fontId="5" fillId="0" borderId="39" xfId="0" applyFont="1" applyBorder="1" applyAlignment="1">
      <alignment horizontal="center"/>
    </xf>
    <xf numFmtId="0" fontId="5" fillId="0" borderId="40" xfId="0" applyFont="1" applyBorder="1" applyAlignment="1">
      <alignment horizontal="center"/>
    </xf>
    <xf numFmtId="0" fontId="5" fillId="0" borderId="41" xfId="0" applyFont="1" applyBorder="1" applyAlignment="1">
      <alignment horizontal="center"/>
    </xf>
    <xf numFmtId="0" fontId="5" fillId="0" borderId="42" xfId="0" applyFont="1" applyBorder="1" applyAlignment="1">
      <alignment horizontal="center"/>
    </xf>
    <xf numFmtId="0" fontId="5" fillId="0" borderId="0" xfId="0" applyFont="1" applyBorder="1" applyAlignment="1">
      <alignment horizontal="center"/>
    </xf>
    <xf numFmtId="0" fontId="5" fillId="0" borderId="43" xfId="0" applyFont="1" applyBorder="1" applyAlignment="1">
      <alignment horizontal="center"/>
    </xf>
    <xf numFmtId="0" fontId="5" fillId="0" borderId="44" xfId="0" applyFont="1" applyBorder="1" applyAlignment="1">
      <alignment horizontal="center"/>
    </xf>
    <xf numFmtId="0" fontId="5" fillId="0" borderId="14" xfId="0" applyFont="1" applyBorder="1" applyAlignment="1">
      <alignment horizontal="center"/>
    </xf>
    <xf numFmtId="0" fontId="5" fillId="0" borderId="45" xfId="0" applyFont="1" applyBorder="1" applyAlignment="1">
      <alignment horizontal="center"/>
    </xf>
    <xf numFmtId="0" fontId="5" fillId="0" borderId="46" xfId="0" applyFont="1" applyBorder="1" applyAlignment="1">
      <alignment horizontal="center" vertical="center" wrapText="1"/>
    </xf>
    <xf numFmtId="0" fontId="5" fillId="0" borderId="35" xfId="0" applyFont="1" applyBorder="1" applyAlignment="1">
      <alignment horizontal="center" vertical="center" wrapText="1"/>
    </xf>
    <xf numFmtId="0" fontId="5" fillId="0" borderId="47" xfId="0" applyFont="1" applyBorder="1" applyAlignment="1">
      <alignment horizontal="center" vertical="center" wrapText="1"/>
    </xf>
    <xf numFmtId="0" fontId="5" fillId="8" borderId="46" xfId="0" applyFont="1" applyFill="1" applyBorder="1" applyAlignment="1">
      <alignment horizontal="left" vertical="top" wrapText="1"/>
    </xf>
    <xf numFmtId="0" fontId="5" fillId="8" borderId="35" xfId="0" applyFont="1" applyFill="1" applyBorder="1" applyAlignment="1">
      <alignment horizontal="left" vertical="top" wrapText="1"/>
    </xf>
    <xf numFmtId="49" fontId="5" fillId="0" borderId="1" xfId="0" applyNumberFormat="1" applyFont="1" applyBorder="1" applyAlignment="1">
      <alignment horizontal="center" vertical="top" wrapText="1"/>
    </xf>
    <xf numFmtId="0" fontId="5" fillId="0" borderId="1" xfId="0" applyFont="1" applyBorder="1" applyAlignment="1">
      <alignment horizontal="center" vertical="top" wrapText="1"/>
    </xf>
    <xf numFmtId="0" fontId="5" fillId="0" borderId="28" xfId="0" applyFont="1" applyBorder="1" applyAlignment="1">
      <alignment horizontal="center" vertical="top" wrapText="1"/>
    </xf>
    <xf numFmtId="0" fontId="2" fillId="0" borderId="48" xfId="0" applyFont="1" applyBorder="1" applyAlignment="1">
      <alignment horizontal="center" wrapText="1"/>
    </xf>
    <xf numFmtId="0" fontId="2" fillId="0" borderId="17" xfId="0" applyFont="1" applyBorder="1" applyAlignment="1">
      <alignment horizontal="center" wrapText="1"/>
    </xf>
    <xf numFmtId="0" fontId="2" fillId="0" borderId="49" xfId="0" applyFont="1" applyBorder="1" applyAlignment="1">
      <alignment horizontal="center" wrapText="1"/>
    </xf>
    <xf numFmtId="0" fontId="2" fillId="0" borderId="44" xfId="0" applyFont="1" applyBorder="1" applyAlignment="1">
      <alignment horizontal="center" wrapText="1"/>
    </xf>
    <xf numFmtId="0" fontId="2" fillId="0" borderId="14" xfId="0" applyFont="1" applyBorder="1" applyAlignment="1">
      <alignment horizontal="center" wrapText="1"/>
    </xf>
    <xf numFmtId="0" fontId="2" fillId="0" borderId="45" xfId="0" applyFont="1" applyBorder="1" applyAlignment="1">
      <alignment horizontal="center" wrapText="1"/>
    </xf>
    <xf numFmtId="0" fontId="41" fillId="0" borderId="1" xfId="0" applyFont="1" applyFill="1" applyBorder="1" applyAlignment="1">
      <alignment horizontal="center" vertical="center" wrapText="1"/>
    </xf>
    <xf numFmtId="0" fontId="41" fillId="0" borderId="16" xfId="0" applyFont="1" applyFill="1" applyBorder="1" applyAlignment="1">
      <alignment horizontal="center" vertical="center"/>
    </xf>
    <xf numFmtId="0" fontId="41" fillId="0" borderId="35" xfId="0" applyFont="1" applyFill="1" applyBorder="1" applyAlignment="1">
      <alignment horizontal="center" vertical="center"/>
    </xf>
    <xf numFmtId="0" fontId="41" fillId="0" borderId="21" xfId="0" applyFont="1" applyFill="1" applyBorder="1" applyAlignment="1">
      <alignment horizontal="center" vertical="center"/>
    </xf>
    <xf numFmtId="0" fontId="40" fillId="0" borderId="1" xfId="1" applyFont="1" applyFill="1" applyBorder="1" applyAlignment="1" applyProtection="1">
      <alignment horizontal="center" vertical="center"/>
    </xf>
    <xf numFmtId="0" fontId="41" fillId="0" borderId="1" xfId="0" applyFont="1" applyFill="1" applyBorder="1" applyAlignment="1">
      <alignment horizontal="center" vertical="center"/>
    </xf>
    <xf numFmtId="0" fontId="41" fillId="0" borderId="12" xfId="0" applyFont="1" applyFill="1" applyBorder="1" applyAlignment="1">
      <alignment horizontal="center" vertical="center" wrapText="1"/>
    </xf>
    <xf numFmtId="0" fontId="41" fillId="0" borderId="17" xfId="0" applyFont="1" applyFill="1" applyBorder="1" applyAlignment="1">
      <alignment horizontal="center" vertical="center"/>
    </xf>
    <xf numFmtId="0" fontId="41" fillId="0" borderId="37" xfId="0" applyFont="1" applyFill="1" applyBorder="1" applyAlignment="1">
      <alignment horizontal="center" vertical="center"/>
    </xf>
    <xf numFmtId="49" fontId="38" fillId="0" borderId="16" xfId="0" applyNumberFormat="1" applyFont="1" applyFill="1" applyBorder="1" applyAlignment="1">
      <alignment horizontal="center" vertical="center"/>
    </xf>
    <xf numFmtId="0" fontId="38" fillId="0" borderId="35" xfId="0" applyNumberFormat="1" applyFont="1" applyFill="1" applyBorder="1" applyAlignment="1">
      <alignment horizontal="center" vertical="center"/>
    </xf>
    <xf numFmtId="0" fontId="38" fillId="0" borderId="21" xfId="0" applyNumberFormat="1" applyFont="1" applyFill="1" applyBorder="1" applyAlignment="1">
      <alignment horizontal="center" vertical="center"/>
    </xf>
    <xf numFmtId="49" fontId="38" fillId="0" borderId="1" xfId="0" applyNumberFormat="1" applyFont="1" applyFill="1" applyBorder="1" applyAlignment="1">
      <alignment horizontal="center" vertical="center"/>
    </xf>
    <xf numFmtId="0" fontId="38" fillId="0" borderId="1" xfId="0" applyNumberFormat="1" applyFont="1" applyFill="1" applyBorder="1" applyAlignment="1">
      <alignment horizontal="center" vertical="center"/>
    </xf>
    <xf numFmtId="0" fontId="1" fillId="0" borderId="1" xfId="1" applyFont="1" applyFill="1" applyBorder="1" applyAlignment="1" applyProtection="1">
      <alignment horizontal="center" vertical="center"/>
    </xf>
    <xf numFmtId="0" fontId="38" fillId="0" borderId="1" xfId="0" applyFont="1" applyFill="1" applyBorder="1" applyAlignment="1">
      <alignment horizontal="center" vertical="center"/>
    </xf>
    <xf numFmtId="0" fontId="5" fillId="15" borderId="1" xfId="0" applyFont="1" applyFill="1" applyBorder="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5" fillId="9" borderId="1" xfId="0" applyFont="1" applyFill="1" applyBorder="1" applyAlignment="1">
      <alignment horizontal="center" vertical="center"/>
    </xf>
    <xf numFmtId="0" fontId="40" fillId="0" borderId="1" xfId="1" applyFont="1" applyFill="1" applyBorder="1" applyAlignment="1" applyProtection="1">
      <alignment horizontal="center" vertical="center" wrapText="1"/>
    </xf>
    <xf numFmtId="0" fontId="41" fillId="0" borderId="1" xfId="1" applyFont="1" applyFill="1" applyBorder="1" applyAlignment="1" applyProtection="1">
      <alignment horizontal="center" vertical="center" wrapText="1"/>
    </xf>
    <xf numFmtId="0" fontId="39" fillId="0" borderId="1" xfId="0" applyFont="1" applyFill="1" applyBorder="1" applyAlignment="1">
      <alignment horizontal="center" vertical="center"/>
    </xf>
    <xf numFmtId="14" fontId="38" fillId="0" borderId="1" xfId="1" applyNumberFormat="1" applyFont="1" applyFill="1" applyBorder="1" applyAlignment="1" applyProtection="1">
      <alignment horizontal="center" vertical="center"/>
    </xf>
    <xf numFmtId="14" fontId="38" fillId="0" borderId="1" xfId="0" applyNumberFormat="1" applyFont="1" applyFill="1" applyBorder="1" applyAlignment="1">
      <alignment horizontal="center" vertical="center"/>
    </xf>
    <xf numFmtId="0" fontId="5" fillId="15" borderId="1" xfId="0" applyFont="1" applyFill="1" applyBorder="1" applyAlignment="1">
      <alignment horizontal="center" vertical="center"/>
    </xf>
    <xf numFmtId="49" fontId="37" fillId="0" borderId="1" xfId="0" applyNumberFormat="1" applyFont="1" applyFill="1" applyBorder="1" applyAlignment="1">
      <alignment horizontal="center" vertical="center"/>
    </xf>
    <xf numFmtId="0" fontId="13" fillId="8" borderId="1" xfId="0" applyFont="1" applyFill="1" applyBorder="1" applyAlignment="1">
      <alignment horizontal="center" vertical="center"/>
    </xf>
    <xf numFmtId="0" fontId="20" fillId="0" borderId="1" xfId="0" applyFont="1" applyBorder="1" applyAlignment="1">
      <alignment horizontal="center" vertical="center"/>
    </xf>
    <xf numFmtId="49" fontId="37" fillId="0" borderId="16" xfId="0" applyNumberFormat="1" applyFont="1" applyFill="1" applyBorder="1" applyAlignment="1">
      <alignment horizontal="center" vertical="center"/>
    </xf>
    <xf numFmtId="0" fontId="37" fillId="0" borderId="35" xfId="0" applyNumberFormat="1" applyFont="1" applyFill="1" applyBorder="1" applyAlignment="1">
      <alignment horizontal="center" vertical="center"/>
    </xf>
    <xf numFmtId="0" fontId="37" fillId="0" borderId="21" xfId="0" applyNumberFormat="1" applyFont="1" applyFill="1" applyBorder="1" applyAlignment="1">
      <alignment horizontal="center" vertical="center"/>
    </xf>
    <xf numFmtId="0" fontId="5" fillId="0" borderId="12" xfId="0" applyFont="1" applyBorder="1" applyAlignment="1" applyProtection="1">
      <alignment horizontal="center" vertical="center"/>
      <protection locked="0"/>
    </xf>
    <xf numFmtId="0" fontId="5" fillId="0" borderId="72" xfId="0" applyFont="1" applyBorder="1" applyAlignment="1" applyProtection="1">
      <alignment horizontal="center" vertical="center"/>
      <protection locked="0"/>
    </xf>
    <xf numFmtId="0" fontId="5" fillId="0" borderId="69"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4" fillId="8" borderId="1" xfId="0" applyFont="1" applyFill="1" applyBorder="1" applyAlignment="1">
      <alignment horizontal="center" vertical="center"/>
    </xf>
    <xf numFmtId="0" fontId="0" fillId="8" borderId="1" xfId="0" applyFill="1" applyBorder="1" applyAlignment="1">
      <alignment horizontal="center" vertical="center"/>
    </xf>
    <xf numFmtId="0" fontId="5" fillId="0" borderId="12" xfId="0" applyFont="1" applyBorder="1" applyAlignment="1" applyProtection="1">
      <alignment horizontal="center" vertical="center" wrapText="1"/>
      <protection locked="0"/>
    </xf>
    <xf numFmtId="0" fontId="5" fillId="0" borderId="37"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11" xfId="0" applyFont="1" applyBorder="1" applyAlignment="1" applyProtection="1">
      <alignment horizontal="center" vertical="center" wrapText="1"/>
      <protection locked="0"/>
    </xf>
    <xf numFmtId="0" fontId="4" fillId="0" borderId="1" xfId="0" applyFont="1" applyBorder="1" applyAlignment="1">
      <alignment horizontal="left" vertical="center"/>
    </xf>
    <xf numFmtId="0" fontId="5" fillId="8" borderId="22" xfId="0" applyFont="1" applyFill="1" applyBorder="1" applyAlignment="1" applyProtection="1">
      <alignment horizontal="center" vertical="center"/>
      <protection locked="0"/>
    </xf>
    <xf numFmtId="0" fontId="5" fillId="8" borderId="71" xfId="0" applyFont="1" applyFill="1" applyBorder="1" applyAlignment="1" applyProtection="1">
      <alignment horizontal="center" vertical="center"/>
      <protection locked="0"/>
    </xf>
    <xf numFmtId="0" fontId="5" fillId="8" borderId="36" xfId="0" applyFont="1" applyFill="1" applyBorder="1" applyAlignment="1" applyProtection="1">
      <alignment horizontal="center" vertical="center"/>
      <protection locked="0"/>
    </xf>
    <xf numFmtId="0" fontId="5" fillId="0" borderId="1" xfId="0" applyFont="1" applyBorder="1" applyAlignment="1">
      <alignment horizontal="center" vertical="center"/>
    </xf>
    <xf numFmtId="0" fontId="0" fillId="0" borderId="1" xfId="0" applyBorder="1" applyAlignment="1">
      <alignment horizontal="center" vertical="center"/>
    </xf>
    <xf numFmtId="49" fontId="5" fillId="0" borderId="7" xfId="0" applyNumberFormat="1" applyFont="1" applyBorder="1" applyAlignment="1">
      <alignment horizontal="center" vertical="center" wrapText="1"/>
    </xf>
    <xf numFmtId="49" fontId="5" fillId="0" borderId="62" xfId="0" applyNumberFormat="1" applyFont="1" applyBorder="1" applyAlignment="1">
      <alignment horizontal="center" vertical="center" wrapText="1"/>
    </xf>
    <xf numFmtId="49" fontId="5" fillId="0" borderId="6" xfId="0" applyNumberFormat="1" applyFont="1" applyBorder="1" applyAlignment="1">
      <alignment horizontal="center" vertical="center" wrapText="1"/>
    </xf>
    <xf numFmtId="0" fontId="5" fillId="0" borderId="22" xfId="0" applyFont="1" applyBorder="1" applyAlignment="1" applyProtection="1">
      <alignment horizontal="center" vertical="center"/>
      <protection locked="0"/>
    </xf>
    <xf numFmtId="0" fontId="5" fillId="0" borderId="36" xfId="0" applyFont="1" applyBorder="1" applyAlignment="1" applyProtection="1">
      <alignment horizontal="center" vertical="center"/>
      <protection locked="0"/>
    </xf>
    <xf numFmtId="49" fontId="5" fillId="0" borderId="38" xfId="0" applyNumberFormat="1" applyFont="1" applyBorder="1" applyAlignment="1">
      <alignment horizontal="center" vertical="center" wrapText="1"/>
    </xf>
    <xf numFmtId="49" fontId="5" fillId="0" borderId="0" xfId="0" applyNumberFormat="1" applyFont="1" applyBorder="1" applyAlignment="1">
      <alignment horizontal="center" vertical="center" wrapText="1"/>
    </xf>
    <xf numFmtId="49" fontId="5" fillId="0" borderId="13" xfId="0" applyNumberFormat="1" applyFont="1" applyBorder="1" applyAlignment="1">
      <alignment horizontal="center" vertical="center" wrapText="1"/>
    </xf>
    <xf numFmtId="0" fontId="18" fillId="8" borderId="12" xfId="0" applyFont="1" applyFill="1" applyBorder="1" applyAlignment="1">
      <alignment horizontal="center" vertical="center"/>
    </xf>
    <xf numFmtId="0" fontId="18" fillId="8" borderId="17" xfId="0" applyFont="1" applyFill="1" applyBorder="1" applyAlignment="1">
      <alignment horizontal="center" vertical="center"/>
    </xf>
    <xf numFmtId="0" fontId="18" fillId="8" borderId="37" xfId="0" applyFont="1" applyFill="1" applyBorder="1" applyAlignment="1">
      <alignment horizontal="center" vertical="center"/>
    </xf>
    <xf numFmtId="0" fontId="18" fillId="8" borderId="16" xfId="0" applyFont="1" applyFill="1" applyBorder="1" applyAlignment="1">
      <alignment horizontal="center" vertical="center"/>
    </xf>
    <xf numFmtId="0" fontId="18" fillId="8" borderId="35" xfId="0" applyFont="1" applyFill="1" applyBorder="1" applyAlignment="1">
      <alignment horizontal="center" vertical="center"/>
    </xf>
    <xf numFmtId="0" fontId="18" fillId="8" borderId="21" xfId="0" applyFont="1" applyFill="1" applyBorder="1" applyAlignment="1">
      <alignment horizontal="center" vertical="center"/>
    </xf>
    <xf numFmtId="0" fontId="5" fillId="0" borderId="61" xfId="0" applyFont="1" applyFill="1" applyBorder="1" applyAlignment="1" applyProtection="1">
      <alignment horizontal="center" vertical="center"/>
      <protection locked="0"/>
    </xf>
    <xf numFmtId="0" fontId="5" fillId="0" borderId="62" xfId="0" applyFont="1" applyFill="1" applyBorder="1" applyAlignment="1" applyProtection="1">
      <alignment horizontal="center" vertical="center"/>
      <protection locked="0"/>
    </xf>
    <xf numFmtId="0" fontId="5" fillId="0" borderId="6" xfId="0" applyFont="1" applyFill="1" applyBorder="1" applyAlignment="1" applyProtection="1">
      <alignment horizontal="center" vertical="center"/>
      <protection locked="0"/>
    </xf>
    <xf numFmtId="0" fontId="5" fillId="0" borderId="70" xfId="0" applyFont="1" applyFill="1" applyBorder="1" applyAlignment="1" applyProtection="1">
      <alignment horizontal="center" vertical="center"/>
      <protection locked="0"/>
    </xf>
    <xf numFmtId="0" fontId="5" fillId="0" borderId="14" xfId="0" applyFont="1" applyFill="1" applyBorder="1" applyAlignment="1" applyProtection="1">
      <alignment horizontal="center" vertical="center"/>
      <protection locked="0"/>
    </xf>
    <xf numFmtId="0" fontId="5" fillId="0" borderId="11" xfId="0" applyFont="1" applyFill="1" applyBorder="1" applyAlignment="1" applyProtection="1">
      <alignment horizontal="center" vertical="center"/>
      <protection locked="0"/>
    </xf>
    <xf numFmtId="0" fontId="18" fillId="3" borderId="9" xfId="0" applyFont="1" applyFill="1" applyBorder="1" applyAlignment="1">
      <alignment horizontal="center" vertical="center"/>
    </xf>
    <xf numFmtId="0" fontId="18" fillId="3" borderId="14" xfId="0" applyFont="1" applyFill="1" applyBorder="1" applyAlignment="1">
      <alignment horizontal="center" vertical="center"/>
    </xf>
    <xf numFmtId="0" fontId="18" fillId="3" borderId="11" xfId="0" applyFont="1" applyFill="1" applyBorder="1" applyAlignment="1">
      <alignment horizontal="center" vertical="center"/>
    </xf>
    <xf numFmtId="0" fontId="5" fillId="7" borderId="12" xfId="0" applyFont="1" applyFill="1" applyBorder="1" applyAlignment="1">
      <alignment horizontal="center" vertical="center" wrapText="1"/>
    </xf>
    <xf numFmtId="0" fontId="5" fillId="7" borderId="17" xfId="0" applyFont="1" applyFill="1" applyBorder="1" applyAlignment="1">
      <alignment horizontal="center" vertical="center" wrapText="1"/>
    </xf>
    <xf numFmtId="0" fontId="5" fillId="7" borderId="37" xfId="0" applyFont="1" applyFill="1" applyBorder="1" applyAlignment="1">
      <alignment horizontal="center" vertical="center" wrapText="1"/>
    </xf>
    <xf numFmtId="49" fontId="5" fillId="0" borderId="12" xfId="0" applyNumberFormat="1" applyFont="1" applyBorder="1" applyAlignment="1">
      <alignment horizontal="center" vertical="center" wrapText="1"/>
    </xf>
    <xf numFmtId="49" fontId="5" fillId="0" borderId="17" xfId="0" applyNumberFormat="1" applyFont="1" applyBorder="1" applyAlignment="1">
      <alignment horizontal="center" vertical="center" wrapText="1"/>
    </xf>
    <xf numFmtId="49" fontId="5" fillId="0" borderId="37" xfId="0" applyNumberFormat="1" applyFont="1" applyBorder="1" applyAlignment="1">
      <alignment horizontal="center" vertical="center" wrapText="1"/>
    </xf>
    <xf numFmtId="49" fontId="5" fillId="0" borderId="61" xfId="0" applyNumberFormat="1" applyFont="1" applyFill="1" applyBorder="1" applyAlignment="1" applyProtection="1">
      <alignment horizontal="center" vertical="center"/>
      <protection locked="0"/>
    </xf>
    <xf numFmtId="49" fontId="5" fillId="0" borderId="62" xfId="0" applyNumberFormat="1" applyFont="1" applyFill="1" applyBorder="1" applyAlignment="1" applyProtection="1">
      <alignment horizontal="center" vertical="center"/>
      <protection locked="0"/>
    </xf>
    <xf numFmtId="49" fontId="5" fillId="0" borderId="6" xfId="0" applyNumberFormat="1" applyFont="1" applyFill="1" applyBorder="1" applyAlignment="1" applyProtection="1">
      <alignment horizontal="center" vertical="center"/>
      <protection locked="0"/>
    </xf>
    <xf numFmtId="0" fontId="4" fillId="0" borderId="36" xfId="0" applyFont="1" applyFill="1" applyBorder="1" applyAlignment="1">
      <alignment horizontal="left" vertical="center"/>
    </xf>
    <xf numFmtId="0" fontId="4" fillId="0" borderId="69" xfId="0" applyFont="1" applyFill="1" applyBorder="1" applyAlignment="1">
      <alignment horizontal="left" vertical="center"/>
    </xf>
    <xf numFmtId="0" fontId="19" fillId="0" borderId="11" xfId="1" applyFont="1" applyFill="1" applyBorder="1" applyAlignment="1" applyProtection="1">
      <alignment horizontal="center" vertical="center"/>
      <protection locked="0"/>
    </xf>
    <xf numFmtId="0" fontId="20" fillId="0" borderId="36" xfId="0" applyFont="1" applyFill="1" applyBorder="1" applyAlignment="1" applyProtection="1">
      <alignment horizontal="center" vertical="center"/>
      <protection locked="0"/>
    </xf>
    <xf numFmtId="0" fontId="5" fillId="0" borderId="61" xfId="0" applyNumberFormat="1" applyFont="1" applyFill="1" applyBorder="1" applyAlignment="1" applyProtection="1">
      <alignment horizontal="center" vertical="center" wrapText="1"/>
      <protection locked="0"/>
    </xf>
    <xf numFmtId="0" fontId="5" fillId="0" borderId="62" xfId="0" applyNumberFormat="1" applyFont="1" applyFill="1" applyBorder="1" applyAlignment="1" applyProtection="1">
      <alignment horizontal="center" vertical="center"/>
      <protection locked="0"/>
    </xf>
    <xf numFmtId="0" fontId="5" fillId="0" borderId="6" xfId="0" applyNumberFormat="1" applyFont="1" applyFill="1" applyBorder="1" applyAlignment="1" applyProtection="1">
      <alignment horizontal="center" vertical="center"/>
      <protection locked="0"/>
    </xf>
    <xf numFmtId="0" fontId="4" fillId="0" borderId="20" xfId="0" applyFont="1" applyFill="1" applyBorder="1" applyAlignment="1">
      <alignment horizontal="left" vertical="center"/>
    </xf>
    <xf numFmtId="0" fontId="4" fillId="0" borderId="8" xfId="0" applyFont="1" applyFill="1" applyBorder="1" applyAlignment="1">
      <alignment horizontal="left" vertical="center"/>
    </xf>
    <xf numFmtId="49" fontId="5" fillId="0" borderId="68" xfId="0" applyNumberFormat="1" applyFont="1" applyFill="1" applyBorder="1" applyAlignment="1" applyProtection="1">
      <alignment horizontal="center" vertical="center"/>
      <protection locked="0"/>
    </xf>
    <xf numFmtId="0" fontId="5" fillId="0" borderId="19" xfId="0" applyNumberFormat="1" applyFont="1" applyFill="1" applyBorder="1" applyAlignment="1" applyProtection="1">
      <alignment horizontal="center" vertical="center"/>
      <protection locked="0"/>
    </xf>
    <xf numFmtId="0" fontId="5" fillId="0" borderId="19" xfId="0" applyFont="1" applyFill="1" applyBorder="1" applyAlignment="1" applyProtection="1">
      <alignment horizontal="center" vertical="center"/>
      <protection locked="0"/>
    </xf>
    <xf numFmtId="0" fontId="1" fillId="0" borderId="61" xfId="1" applyNumberFormat="1" applyFill="1" applyBorder="1" applyAlignment="1" applyProtection="1">
      <alignment horizontal="center" vertical="center"/>
    </xf>
    <xf numFmtId="0" fontId="1" fillId="0" borderId="62" xfId="1" applyNumberFormat="1" applyFill="1" applyBorder="1" applyAlignment="1" applyProtection="1">
      <alignment horizontal="center" vertical="center"/>
    </xf>
    <xf numFmtId="0" fontId="1" fillId="0" borderId="6" xfId="1" applyNumberFormat="1" applyFill="1" applyBorder="1" applyAlignment="1" applyProtection="1">
      <alignment horizontal="center" vertical="center"/>
    </xf>
    <xf numFmtId="14" fontId="45" fillId="0" borderId="63" xfId="0" applyNumberFormat="1" applyFont="1" applyFill="1" applyBorder="1" applyAlignment="1">
      <alignment horizontal="center" vertical="center" wrapText="1"/>
    </xf>
    <xf numFmtId="14" fontId="45" fillId="0" borderId="64" xfId="0" applyNumberFormat="1" applyFont="1" applyFill="1" applyBorder="1" applyAlignment="1">
      <alignment horizontal="center" vertical="center" wrapText="1"/>
    </xf>
    <xf numFmtId="14" fontId="45" fillId="0" borderId="65" xfId="0" applyNumberFormat="1" applyFont="1" applyFill="1" applyBorder="1" applyAlignment="1">
      <alignment horizontal="center" vertical="center" wrapText="1"/>
    </xf>
    <xf numFmtId="0" fontId="18" fillId="3" borderId="38" xfId="0" applyFont="1" applyFill="1" applyBorder="1" applyAlignment="1">
      <alignment horizontal="center" vertical="center"/>
    </xf>
    <xf numFmtId="0" fontId="18" fillId="3" borderId="0" xfId="0" applyFont="1" applyFill="1" applyBorder="1" applyAlignment="1">
      <alignment horizontal="center" vertical="center"/>
    </xf>
    <xf numFmtId="0" fontId="18" fillId="3" borderId="13" xfId="0" applyFont="1" applyFill="1" applyBorder="1" applyAlignment="1">
      <alignment horizontal="center" vertical="center"/>
    </xf>
    <xf numFmtId="0" fontId="5" fillId="0" borderId="66" xfId="0" applyNumberFormat="1" applyFont="1" applyFill="1" applyBorder="1" applyAlignment="1" applyProtection="1">
      <alignment horizontal="center" vertical="center"/>
      <protection locked="0"/>
    </xf>
    <xf numFmtId="0" fontId="5" fillId="0" borderId="17" xfId="0" applyNumberFormat="1" applyFont="1" applyFill="1" applyBorder="1" applyAlignment="1" applyProtection="1">
      <alignment horizontal="center" vertical="center"/>
      <protection locked="0"/>
    </xf>
    <xf numFmtId="0" fontId="5" fillId="0" borderId="37" xfId="0" applyNumberFormat="1" applyFont="1" applyFill="1" applyBorder="1" applyAlignment="1" applyProtection="1">
      <alignment horizontal="center" vertical="center"/>
      <protection locked="0"/>
    </xf>
    <xf numFmtId="0" fontId="4" fillId="0" borderId="22" xfId="0" applyFont="1" applyFill="1" applyBorder="1" applyAlignment="1">
      <alignment horizontal="left" vertical="center"/>
    </xf>
    <xf numFmtId="0" fontId="4" fillId="0" borderId="67" xfId="0" applyFont="1" applyFill="1" applyBorder="1" applyAlignment="1">
      <alignment horizontal="left" vertical="center"/>
    </xf>
    <xf numFmtId="49" fontId="5" fillId="0" borderId="17" xfId="0" applyNumberFormat="1" applyFont="1" applyFill="1" applyBorder="1" applyAlignment="1" applyProtection="1">
      <alignment horizontal="center" vertical="center"/>
      <protection locked="0"/>
    </xf>
    <xf numFmtId="0" fontId="18" fillId="3" borderId="12" xfId="0" applyFont="1" applyFill="1" applyBorder="1" applyAlignment="1" applyProtection="1">
      <alignment horizontal="center" vertical="center"/>
    </xf>
    <xf numFmtId="0" fontId="18" fillId="3" borderId="17" xfId="0" applyFont="1" applyFill="1" applyBorder="1" applyAlignment="1" applyProtection="1">
      <alignment horizontal="center" vertical="center"/>
    </xf>
    <xf numFmtId="0" fontId="18" fillId="3" borderId="37" xfId="0" applyFont="1" applyFill="1" applyBorder="1" applyAlignment="1" applyProtection="1">
      <alignment horizontal="center" vertical="center"/>
    </xf>
    <xf numFmtId="49" fontId="5" fillId="0" borderId="60" xfId="0" applyNumberFormat="1" applyFont="1" applyBorder="1" applyAlignment="1" applyProtection="1">
      <alignment horizontal="center" vertical="center"/>
      <protection locked="0"/>
    </xf>
    <xf numFmtId="0" fontId="5" fillId="0" borderId="56" xfId="0" applyNumberFormat="1" applyFont="1" applyBorder="1" applyAlignment="1" applyProtection="1">
      <alignment horizontal="center" vertical="center"/>
      <protection locked="0"/>
    </xf>
    <xf numFmtId="0" fontId="5" fillId="0" borderId="57" xfId="0" applyNumberFormat="1" applyFont="1" applyBorder="1" applyAlignment="1" applyProtection="1">
      <alignment horizontal="center" vertical="center"/>
      <protection locked="0"/>
    </xf>
    <xf numFmtId="49" fontId="45" fillId="0" borderId="61" xfId="0" applyNumberFormat="1" applyFont="1" applyFill="1" applyBorder="1" applyAlignment="1">
      <alignment horizontal="center" vertical="center"/>
    </xf>
    <xf numFmtId="0" fontId="45" fillId="0" borderId="62" xfId="0" applyNumberFormat="1" applyFont="1" applyFill="1" applyBorder="1" applyAlignment="1">
      <alignment horizontal="center" vertical="center"/>
    </xf>
    <xf numFmtId="0" fontId="45" fillId="0" borderId="6" xfId="0" applyNumberFormat="1" applyFont="1" applyFill="1" applyBorder="1" applyAlignment="1">
      <alignment horizontal="center" vertical="center"/>
    </xf>
    <xf numFmtId="0" fontId="4" fillId="0" borderId="12" xfId="0" applyFont="1" applyBorder="1" applyAlignment="1">
      <alignment horizontal="left" vertical="center"/>
    </xf>
    <xf numFmtId="0" fontId="4" fillId="0" borderId="38" xfId="0" applyFont="1" applyBorder="1" applyAlignment="1">
      <alignment horizontal="left" vertical="center"/>
    </xf>
    <xf numFmtId="0" fontId="4" fillId="0" borderId="9" xfId="0" applyFont="1" applyBorder="1" applyAlignment="1">
      <alignment horizontal="left" vertical="center"/>
    </xf>
    <xf numFmtId="49" fontId="5" fillId="0" borderId="12" xfId="0" applyNumberFormat="1" applyFont="1" applyBorder="1" applyAlignment="1">
      <alignment horizontal="center" vertical="center"/>
    </xf>
    <xf numFmtId="49" fontId="5" fillId="0" borderId="17" xfId="0" applyNumberFormat="1" applyFont="1" applyBorder="1" applyAlignment="1">
      <alignment horizontal="center" vertical="center"/>
    </xf>
    <xf numFmtId="49" fontId="5" fillId="0" borderId="37" xfId="0" applyNumberFormat="1" applyFont="1" applyBorder="1" applyAlignment="1">
      <alignment horizontal="center" vertical="center"/>
    </xf>
    <xf numFmtId="49" fontId="5" fillId="0" borderId="38" xfId="0" applyNumberFormat="1" applyFont="1" applyBorder="1" applyAlignment="1">
      <alignment horizontal="center" vertical="center"/>
    </xf>
    <xf numFmtId="49" fontId="5" fillId="0" borderId="0" xfId="0" applyNumberFormat="1" applyFont="1" applyBorder="1" applyAlignment="1">
      <alignment horizontal="center" vertical="center"/>
    </xf>
    <xf numFmtId="49" fontId="5" fillId="0" borderId="13" xfId="0" applyNumberFormat="1" applyFont="1" applyBorder="1" applyAlignment="1">
      <alignment horizontal="center" vertical="center"/>
    </xf>
    <xf numFmtId="49" fontId="5" fillId="0" borderId="9" xfId="0" applyNumberFormat="1" applyFont="1" applyBorder="1" applyAlignment="1">
      <alignment horizontal="center" vertical="center"/>
    </xf>
    <xf numFmtId="49" fontId="5" fillId="0" borderId="14" xfId="0" applyNumberFormat="1" applyFont="1" applyBorder="1" applyAlignment="1">
      <alignment horizontal="center" vertical="center"/>
    </xf>
    <xf numFmtId="49" fontId="5" fillId="0" borderId="11" xfId="0" applyNumberFormat="1" applyFont="1" applyBorder="1" applyAlignment="1">
      <alignment horizontal="center" vertical="center"/>
    </xf>
    <xf numFmtId="14" fontId="5" fillId="0" borderId="22" xfId="0" applyNumberFormat="1" applyFont="1" applyBorder="1" applyAlignment="1">
      <alignment horizontal="center" vertical="center"/>
    </xf>
    <xf numFmtId="49" fontId="5" fillId="0" borderId="58" xfId="0" applyNumberFormat="1" applyFont="1" applyBorder="1" applyAlignment="1">
      <alignment horizontal="center" vertical="center"/>
    </xf>
    <xf numFmtId="49" fontId="0" fillId="0" borderId="58" xfId="0" applyNumberFormat="1" applyBorder="1" applyAlignment="1">
      <alignment horizontal="center" vertical="center"/>
    </xf>
    <xf numFmtId="0" fontId="4" fillId="0" borderId="22" xfId="0" applyFont="1" applyBorder="1" applyAlignment="1">
      <alignment horizontal="left" vertical="center"/>
    </xf>
    <xf numFmtId="0" fontId="4" fillId="0" borderId="36" xfId="0" applyFont="1" applyBorder="1" applyAlignment="1">
      <alignment horizontal="left" vertical="center"/>
    </xf>
    <xf numFmtId="49" fontId="5" fillId="0" borderId="1" xfId="0" applyNumberFormat="1" applyFont="1" applyBorder="1" applyAlignment="1">
      <alignment horizontal="center" vertical="center"/>
    </xf>
    <xf numFmtId="49" fontId="5" fillId="0" borderId="16" xfId="0" applyNumberFormat="1" applyFont="1" applyBorder="1" applyAlignment="1">
      <alignment horizontal="center" vertical="center"/>
    </xf>
    <xf numFmtId="0" fontId="4" fillId="0" borderId="22" xfId="0" applyFont="1" applyBorder="1" applyAlignment="1">
      <alignment horizontal="center" vertical="center"/>
    </xf>
    <xf numFmtId="0" fontId="5" fillId="0" borderId="59" xfId="0" applyFont="1" applyBorder="1" applyAlignment="1">
      <alignment horizontal="center" vertical="center"/>
    </xf>
    <xf numFmtId="0" fontId="5" fillId="0" borderId="20" xfId="0" applyFont="1" applyBorder="1" applyAlignment="1">
      <alignment horizontal="center" vertical="center"/>
    </xf>
    <xf numFmtId="0" fontId="4" fillId="0" borderId="16" xfId="0" applyFont="1" applyBorder="1" applyAlignment="1">
      <alignment horizontal="center" vertical="center"/>
    </xf>
    <xf numFmtId="0" fontId="4" fillId="0" borderId="21" xfId="0" applyFont="1" applyBorder="1" applyAlignment="1">
      <alignment horizontal="center" vertical="center"/>
    </xf>
    <xf numFmtId="14" fontId="5" fillId="0" borderId="1" xfId="0" applyNumberFormat="1" applyFont="1" applyBorder="1" applyAlignment="1">
      <alignment horizontal="center" vertical="center"/>
    </xf>
    <xf numFmtId="0" fontId="4" fillId="0" borderId="55" xfId="0" applyFont="1" applyBorder="1" applyAlignment="1">
      <alignment horizontal="center" vertical="center" wrapText="1"/>
    </xf>
    <xf numFmtId="0" fontId="4" fillId="0" borderId="56" xfId="0" applyFont="1" applyBorder="1" applyAlignment="1">
      <alignment horizontal="center" vertical="center" wrapText="1"/>
    </xf>
    <xf numFmtId="0" fontId="4" fillId="0" borderId="57" xfId="0" applyFont="1" applyBorder="1" applyAlignment="1">
      <alignment horizontal="center" vertical="center" wrapText="1"/>
    </xf>
    <xf numFmtId="0" fontId="7" fillId="16" borderId="1" xfId="0" applyFont="1" applyFill="1" applyBorder="1" applyAlignment="1">
      <alignment horizontal="center" vertical="center" wrapText="1"/>
    </xf>
    <xf numFmtId="0" fontId="44" fillId="0" borderId="1" xfId="0" applyFont="1" applyBorder="1" applyAlignment="1">
      <alignment horizontal="center" vertical="center"/>
    </xf>
    <xf numFmtId="0" fontId="4" fillId="8" borderId="16" xfId="0" applyFont="1" applyFill="1" applyBorder="1" applyAlignment="1">
      <alignment horizontal="center" vertical="center" wrapText="1"/>
    </xf>
    <xf numFmtId="0" fontId="4" fillId="8" borderId="35" xfId="0" applyFont="1" applyFill="1" applyBorder="1" applyAlignment="1">
      <alignment horizontal="center" vertical="center" wrapText="1"/>
    </xf>
    <xf numFmtId="0" fontId="4" fillId="8" borderId="21" xfId="0" applyFont="1" applyFill="1" applyBorder="1" applyAlignment="1">
      <alignment horizontal="center" vertical="center" wrapText="1"/>
    </xf>
    <xf numFmtId="0" fontId="0" fillId="0" borderId="1" xfId="0" applyBorder="1" applyAlignment="1">
      <alignment horizontal="center" vertical="center" wrapText="1"/>
    </xf>
    <xf numFmtId="0" fontId="5" fillId="0" borderId="12" xfId="0" applyFont="1" applyBorder="1" applyAlignment="1">
      <alignment horizontal="center" vertical="center" wrapText="1"/>
    </xf>
    <xf numFmtId="0" fontId="0" fillId="0" borderId="37" xfId="0" applyBorder="1" applyAlignment="1">
      <alignment horizontal="center" vertical="center" wrapText="1"/>
    </xf>
    <xf numFmtId="0" fontId="0" fillId="0" borderId="38" xfId="0" applyBorder="1" applyAlignment="1">
      <alignment horizontal="center" vertical="center" wrapText="1"/>
    </xf>
    <xf numFmtId="0" fontId="0" fillId="0" borderId="13" xfId="0" applyBorder="1" applyAlignment="1">
      <alignment horizontal="center" vertical="center" wrapText="1"/>
    </xf>
    <xf numFmtId="0" fontId="0" fillId="0" borderId="9" xfId="0" applyBorder="1" applyAlignment="1">
      <alignment horizontal="center" vertical="center" wrapText="1"/>
    </xf>
    <xf numFmtId="0" fontId="0" fillId="0" borderId="11" xfId="0" applyBorder="1" applyAlignment="1">
      <alignment horizontal="center" vertical="center" wrapText="1"/>
    </xf>
    <xf numFmtId="0" fontId="5" fillId="0" borderId="12" xfId="0" applyFont="1" applyBorder="1" applyAlignment="1">
      <alignment horizontal="center" vertical="center"/>
    </xf>
    <xf numFmtId="0" fontId="5" fillId="0" borderId="17" xfId="0" applyFont="1" applyBorder="1" applyAlignment="1">
      <alignment horizontal="center" vertical="center"/>
    </xf>
    <xf numFmtId="0" fontId="5" fillId="0" borderId="37" xfId="0" applyFont="1" applyBorder="1" applyAlignment="1">
      <alignment horizontal="center" vertical="center"/>
    </xf>
    <xf numFmtId="0" fontId="5" fillId="0" borderId="38" xfId="0" applyFont="1" applyBorder="1" applyAlignment="1">
      <alignment horizontal="center" vertical="center"/>
    </xf>
    <xf numFmtId="0" fontId="5" fillId="0" borderId="0" xfId="0" applyFont="1" applyBorder="1" applyAlignment="1">
      <alignment horizontal="center" vertical="center"/>
    </xf>
    <xf numFmtId="0" fontId="5" fillId="0" borderId="13" xfId="0" applyFont="1" applyBorder="1" applyAlignment="1">
      <alignment horizontal="center" vertical="center"/>
    </xf>
    <xf numFmtId="0" fontId="5" fillId="0" borderId="9" xfId="0" applyFont="1" applyBorder="1" applyAlignment="1">
      <alignment horizontal="center" vertical="center"/>
    </xf>
    <xf numFmtId="0" fontId="5" fillId="0" borderId="14" xfId="0" applyFont="1" applyBorder="1" applyAlignment="1">
      <alignment horizontal="center" vertical="center"/>
    </xf>
    <xf numFmtId="0" fontId="5" fillId="0" borderId="11" xfId="0" applyFont="1" applyBorder="1" applyAlignment="1">
      <alignment horizontal="center" vertical="center"/>
    </xf>
    <xf numFmtId="0" fontId="5" fillId="0" borderId="22" xfId="0" applyFont="1" applyBorder="1" applyAlignment="1">
      <alignment horizontal="center" vertical="center"/>
    </xf>
    <xf numFmtId="0" fontId="5" fillId="0" borderId="71" xfId="0" applyFont="1" applyBorder="1" applyAlignment="1">
      <alignment horizontal="center" vertical="center"/>
    </xf>
    <xf numFmtId="0" fontId="5" fillId="0" borderId="36" xfId="0" applyFont="1" applyBorder="1" applyAlignment="1">
      <alignment horizontal="center" vertical="center"/>
    </xf>
    <xf numFmtId="0" fontId="0" fillId="8" borderId="16" xfId="0" applyFill="1" applyBorder="1" applyAlignment="1">
      <alignment horizontal="center" vertical="center" wrapText="1"/>
    </xf>
    <xf numFmtId="0" fontId="0" fillId="8" borderId="35" xfId="0" applyFill="1" applyBorder="1" applyAlignment="1">
      <alignment horizontal="center" vertical="center" wrapText="1"/>
    </xf>
    <xf numFmtId="0" fontId="0" fillId="8" borderId="21" xfId="0" applyFill="1" applyBorder="1" applyAlignment="1">
      <alignment horizontal="center" vertical="center" wrapText="1"/>
    </xf>
    <xf numFmtId="0" fontId="0" fillId="0" borderId="12" xfId="0" applyBorder="1" applyAlignment="1">
      <alignment horizontal="center" vertical="center" wrapText="1"/>
    </xf>
    <xf numFmtId="0" fontId="0" fillId="0" borderId="12" xfId="0" applyBorder="1" applyAlignment="1">
      <alignment horizontal="center" vertical="center"/>
    </xf>
    <xf numFmtId="0" fontId="0" fillId="0" borderId="17" xfId="0" applyBorder="1" applyAlignment="1">
      <alignment horizontal="center" vertical="center"/>
    </xf>
    <xf numFmtId="0" fontId="0" fillId="0" borderId="38" xfId="0" applyBorder="1" applyAlignment="1">
      <alignment horizontal="center" vertical="center"/>
    </xf>
    <xf numFmtId="0" fontId="0" fillId="0" borderId="0" xfId="0" applyBorder="1" applyAlignment="1">
      <alignment horizontal="center" vertical="center"/>
    </xf>
    <xf numFmtId="0" fontId="0" fillId="0" borderId="9" xfId="0" applyBorder="1" applyAlignment="1">
      <alignment horizontal="center" vertical="center"/>
    </xf>
    <xf numFmtId="0" fontId="0" fillId="0" borderId="14" xfId="0" applyBorder="1" applyAlignment="1">
      <alignment horizontal="center" vertical="center"/>
    </xf>
    <xf numFmtId="0" fontId="0" fillId="0" borderId="22" xfId="0" applyBorder="1" applyAlignment="1">
      <alignment horizontal="center" vertical="center"/>
    </xf>
    <xf numFmtId="0" fontId="0" fillId="0" borderId="71" xfId="0" applyBorder="1" applyAlignment="1">
      <alignment horizontal="center" vertical="center"/>
    </xf>
    <xf numFmtId="0" fontId="0" fillId="0" borderId="36" xfId="0" applyBorder="1" applyAlignment="1">
      <alignment horizontal="center" vertical="center"/>
    </xf>
    <xf numFmtId="0" fontId="20" fillId="8" borderId="22" xfId="0" applyFont="1" applyFill="1" applyBorder="1" applyAlignment="1">
      <alignment horizontal="center" vertical="center" textRotation="180" wrapText="1"/>
    </xf>
    <xf numFmtId="0" fontId="20" fillId="8" borderId="71" xfId="0" applyFont="1" applyFill="1" applyBorder="1" applyAlignment="1">
      <alignment horizontal="center" vertical="center" textRotation="180" wrapText="1"/>
    </xf>
    <xf numFmtId="0" fontId="20" fillId="8" borderId="36" xfId="0" applyFont="1" applyFill="1" applyBorder="1" applyAlignment="1">
      <alignment horizontal="center" vertical="center" textRotation="180" wrapText="1"/>
    </xf>
    <xf numFmtId="0" fontId="4" fillId="11" borderId="16" xfId="0" applyFont="1" applyFill="1" applyBorder="1" applyAlignment="1">
      <alignment horizontal="center" vertical="center"/>
    </xf>
    <xf numFmtId="0" fontId="4" fillId="11" borderId="35" xfId="0" applyFont="1" applyFill="1" applyBorder="1" applyAlignment="1">
      <alignment horizontal="center" vertical="center"/>
    </xf>
    <xf numFmtId="0" fontId="0" fillId="0" borderId="37" xfId="0" applyBorder="1" applyAlignment="1">
      <alignment horizontal="center" vertical="center"/>
    </xf>
    <xf numFmtId="0" fontId="7" fillId="8" borderId="1" xfId="0" applyFont="1" applyFill="1" applyBorder="1" applyAlignment="1">
      <alignment horizontal="center" vertical="center"/>
    </xf>
    <xf numFmtId="0" fontId="5" fillId="0" borderId="1" xfId="0" applyNumberFormat="1" applyFont="1" applyBorder="1" applyAlignment="1">
      <alignment horizontal="center" vertical="center"/>
    </xf>
    <xf numFmtId="49" fontId="0" fillId="0" borderId="1" xfId="0" applyNumberFormat="1" applyBorder="1" applyAlignment="1">
      <alignment horizontal="center" vertical="center"/>
    </xf>
    <xf numFmtId="0" fontId="4" fillId="8" borderId="16" xfId="0" applyFont="1" applyFill="1" applyBorder="1" applyAlignment="1">
      <alignment horizontal="center" vertical="center"/>
    </xf>
    <xf numFmtId="0" fontId="4" fillId="8" borderId="35" xfId="0" applyFont="1" applyFill="1" applyBorder="1" applyAlignment="1">
      <alignment horizontal="center" vertical="center"/>
    </xf>
    <xf numFmtId="0" fontId="4" fillId="8" borderId="21" xfId="0" applyFont="1" applyFill="1" applyBorder="1" applyAlignment="1">
      <alignment horizontal="center" vertical="center"/>
    </xf>
    <xf numFmtId="14" fontId="0" fillId="0" borderId="22" xfId="0" applyNumberFormat="1" applyBorder="1" applyAlignment="1">
      <alignment horizontal="center" vertical="center"/>
    </xf>
    <xf numFmtId="14" fontId="0" fillId="0" borderId="1" xfId="0" applyNumberFormat="1" applyBorder="1" applyAlignment="1">
      <alignment horizontal="center" vertical="center"/>
    </xf>
    <xf numFmtId="49" fontId="4" fillId="0" borderId="1" xfId="0" applyNumberFormat="1" applyFont="1" applyFill="1" applyBorder="1" applyAlignment="1">
      <alignment horizontal="center" vertical="center"/>
    </xf>
    <xf numFmtId="0" fontId="4" fillId="0" borderId="1" xfId="0" applyFont="1" applyFill="1" applyBorder="1" applyAlignment="1">
      <alignment horizontal="center" vertical="center"/>
    </xf>
    <xf numFmtId="0" fontId="4" fillId="3" borderId="1" xfId="0" applyFont="1" applyFill="1" applyBorder="1" applyAlignment="1">
      <alignment horizontal="center" vertical="center" wrapText="1"/>
    </xf>
    <xf numFmtId="0" fontId="0" fillId="0" borderId="1" xfId="0" applyNumberFormat="1" applyBorder="1" applyAlignment="1">
      <alignment horizontal="center" vertical="center"/>
    </xf>
    <xf numFmtId="0" fontId="0" fillId="0" borderId="16" xfId="0" applyNumberFormat="1" applyBorder="1" applyAlignment="1">
      <alignment horizontal="center" vertical="center"/>
    </xf>
    <xf numFmtId="0" fontId="22" fillId="0" borderId="1" xfId="0" applyFont="1" applyFill="1" applyBorder="1" applyAlignment="1">
      <alignment horizontal="center" vertical="center"/>
    </xf>
    <xf numFmtId="49" fontId="22" fillId="0" borderId="1" xfId="0" applyNumberFormat="1" applyFont="1" applyBorder="1" applyAlignment="1">
      <alignment horizontal="center" vertical="center"/>
    </xf>
    <xf numFmtId="0" fontId="22" fillId="0" borderId="1" xfId="0" applyNumberFormat="1" applyFont="1" applyBorder="1" applyAlignment="1">
      <alignment horizontal="center" vertical="center"/>
    </xf>
    <xf numFmtId="0" fontId="26" fillId="8" borderId="73" xfId="0" applyFont="1" applyFill="1" applyBorder="1" applyAlignment="1">
      <alignment horizontal="center" vertical="center" textRotation="90" wrapText="1"/>
    </xf>
    <xf numFmtId="0" fontId="26" fillId="8" borderId="53" xfId="0" applyFont="1" applyFill="1" applyBorder="1" applyAlignment="1">
      <alignment horizontal="center" vertical="center" textRotation="90" wrapText="1"/>
    </xf>
    <xf numFmtId="49" fontId="8" fillId="9" borderId="31" xfId="0" applyNumberFormat="1" applyFont="1" applyFill="1" applyBorder="1" applyAlignment="1">
      <alignment horizontal="center" vertical="center"/>
    </xf>
    <xf numFmtId="49" fontId="8" fillId="9" borderId="26" xfId="0" applyNumberFormat="1" applyFont="1" applyFill="1" applyBorder="1" applyAlignment="1">
      <alignment horizontal="center" vertical="center"/>
    </xf>
    <xf numFmtId="49" fontId="8" fillId="9" borderId="78" xfId="0" applyNumberFormat="1" applyFont="1" applyFill="1" applyBorder="1" applyAlignment="1">
      <alignment horizontal="center" vertical="center"/>
    </xf>
    <xf numFmtId="49" fontId="11" fillId="6" borderId="22" xfId="0" applyNumberFormat="1" applyFont="1" applyFill="1" applyBorder="1" applyAlignment="1">
      <alignment horizontal="center" vertical="center"/>
    </xf>
    <xf numFmtId="0" fontId="25" fillId="8" borderId="74" xfId="0" applyFont="1" applyFill="1" applyBorder="1" applyAlignment="1">
      <alignment horizontal="center" vertical="center" textRotation="90" wrapText="1"/>
    </xf>
    <xf numFmtId="0" fontId="25" fillId="8" borderId="75" xfId="0" applyFont="1" applyFill="1" applyBorder="1" applyAlignment="1">
      <alignment horizontal="center" vertical="center" textRotation="90" wrapText="1"/>
    </xf>
    <xf numFmtId="0" fontId="25" fillId="8" borderId="76" xfId="0" applyFont="1" applyFill="1" applyBorder="1" applyAlignment="1">
      <alignment horizontal="center" vertical="center" textRotation="90" wrapText="1"/>
    </xf>
    <xf numFmtId="49" fontId="11" fillId="8" borderId="79" xfId="0" applyNumberFormat="1" applyFont="1" applyFill="1" applyBorder="1" applyAlignment="1">
      <alignment horizontal="center" vertical="center"/>
    </xf>
    <xf numFmtId="49" fontId="11" fillId="8" borderId="24" xfId="0" applyNumberFormat="1" applyFont="1" applyFill="1" applyBorder="1" applyAlignment="1">
      <alignment horizontal="center" vertical="center"/>
    </xf>
    <xf numFmtId="49" fontId="11" fillId="8" borderId="25" xfId="0" applyNumberFormat="1" applyFont="1" applyFill="1" applyBorder="1" applyAlignment="1">
      <alignment horizontal="center" vertical="center"/>
    </xf>
    <xf numFmtId="49" fontId="11" fillId="6" borderId="31" xfId="0" applyNumberFormat="1" applyFont="1" applyFill="1" applyBorder="1" applyAlignment="1">
      <alignment horizontal="center" vertical="center"/>
    </xf>
    <xf numFmtId="49" fontId="11" fillId="6" borderId="26" xfId="0" applyNumberFormat="1" applyFont="1" applyFill="1" applyBorder="1" applyAlignment="1">
      <alignment horizontal="center" vertical="center"/>
    </xf>
    <xf numFmtId="49" fontId="15" fillId="0" borderId="80" xfId="0" applyNumberFormat="1" applyFont="1" applyFill="1" applyBorder="1" applyAlignment="1">
      <alignment horizontal="center" vertical="center"/>
    </xf>
    <xf numFmtId="49" fontId="15" fillId="0" borderId="1" xfId="0" applyNumberFormat="1" applyFont="1" applyFill="1" applyBorder="1" applyAlignment="1">
      <alignment horizontal="center" vertical="center"/>
    </xf>
    <xf numFmtId="49" fontId="46" fillId="6" borderId="32" xfId="0" applyNumberFormat="1" applyFont="1" applyFill="1" applyBorder="1" applyAlignment="1">
      <alignment horizontal="center" vertical="center"/>
    </xf>
    <xf numFmtId="49" fontId="46" fillId="6" borderId="29" xfId="0" applyNumberFormat="1" applyFont="1" applyFill="1" applyBorder="1" applyAlignment="1">
      <alignment horizontal="center" vertical="center"/>
    </xf>
    <xf numFmtId="49" fontId="11" fillId="8" borderId="22" xfId="0" applyNumberFormat="1" applyFont="1" applyFill="1" applyBorder="1" applyAlignment="1">
      <alignment horizontal="center" vertical="center"/>
    </xf>
    <xf numFmtId="0" fontId="21" fillId="8" borderId="1" xfId="0" applyFont="1" applyFill="1" applyBorder="1" applyAlignment="1">
      <alignment horizontal="center" vertical="center"/>
    </xf>
    <xf numFmtId="0" fontId="10" fillId="0" borderId="1" xfId="0" applyFont="1" applyBorder="1" applyAlignment="1">
      <alignment horizontal="center" vertical="center"/>
    </xf>
    <xf numFmtId="0" fontId="11" fillId="8" borderId="1" xfId="0" applyFont="1" applyFill="1" applyBorder="1" applyAlignment="1">
      <alignment horizontal="center" vertical="center" wrapText="1"/>
    </xf>
    <xf numFmtId="0" fontId="10" fillId="6" borderId="21" xfId="0" applyFont="1" applyFill="1" applyBorder="1" applyAlignment="1">
      <alignment horizontal="left" vertical="center"/>
    </xf>
    <xf numFmtId="0" fontId="10" fillId="6" borderId="1" xfId="0" applyFont="1" applyFill="1" applyBorder="1" applyAlignment="1">
      <alignment horizontal="left" vertical="center"/>
    </xf>
    <xf numFmtId="0" fontId="7" fillId="6" borderId="21" xfId="0" applyFont="1" applyFill="1" applyBorder="1" applyAlignment="1">
      <alignment horizontal="left" vertical="center" wrapText="1"/>
    </xf>
    <xf numFmtId="0" fontId="7" fillId="6" borderId="1" xfId="0" applyFont="1" applyFill="1" applyBorder="1" applyAlignment="1">
      <alignment horizontal="left" vertical="center"/>
    </xf>
    <xf numFmtId="49" fontId="11" fillId="4" borderId="31" xfId="0" applyNumberFormat="1" applyFont="1" applyFill="1" applyBorder="1" applyAlignment="1">
      <alignment horizontal="center" vertical="center"/>
    </xf>
    <xf numFmtId="49" fontId="11" fillId="4" borderId="26" xfId="0" applyNumberFormat="1" applyFont="1" applyFill="1" applyBorder="1" applyAlignment="1">
      <alignment horizontal="center" vertical="center"/>
    </xf>
    <xf numFmtId="49" fontId="11" fillId="4" borderId="27" xfId="0" applyNumberFormat="1" applyFont="1" applyFill="1" applyBorder="1" applyAlignment="1">
      <alignment horizontal="center" vertical="center"/>
    </xf>
    <xf numFmtId="49" fontId="11" fillId="5" borderId="32" xfId="0" applyNumberFormat="1" applyFont="1" applyFill="1" applyBorder="1" applyAlignment="1">
      <alignment horizontal="center" vertical="center"/>
    </xf>
    <xf numFmtId="49" fontId="11" fillId="5" borderId="29" xfId="0" applyNumberFormat="1" applyFont="1" applyFill="1" applyBorder="1" applyAlignment="1">
      <alignment horizontal="center" vertical="center"/>
    </xf>
    <xf numFmtId="49" fontId="11" fillId="5" borderId="30" xfId="0" applyNumberFormat="1" applyFont="1" applyFill="1" applyBorder="1" applyAlignment="1">
      <alignment horizontal="center" vertical="center"/>
    </xf>
    <xf numFmtId="49" fontId="8" fillId="9" borderId="32" xfId="0" applyNumberFormat="1" applyFont="1" applyFill="1" applyBorder="1" applyAlignment="1">
      <alignment horizontal="center" vertical="center"/>
    </xf>
    <xf numFmtId="49" fontId="8" fillId="9" borderId="29" xfId="0" applyNumberFormat="1" applyFont="1" applyFill="1" applyBorder="1" applyAlignment="1">
      <alignment horizontal="center" vertical="center"/>
    </xf>
    <xf numFmtId="49" fontId="8" fillId="9" borderId="77" xfId="0" applyNumberFormat="1" applyFont="1" applyFill="1" applyBorder="1" applyAlignment="1">
      <alignment horizontal="center" vertical="center"/>
    </xf>
    <xf numFmtId="0" fontId="0" fillId="0" borderId="13" xfId="0" applyBorder="1" applyAlignment="1">
      <alignment horizontal="center" vertical="center"/>
    </xf>
    <xf numFmtId="0" fontId="0" fillId="0" borderId="11" xfId="0" applyBorder="1" applyAlignment="1">
      <alignment horizontal="center" vertical="center"/>
    </xf>
    <xf numFmtId="0" fontId="0" fillId="0" borderId="16" xfId="0" applyBorder="1" applyAlignment="1">
      <alignment horizontal="center"/>
    </xf>
    <xf numFmtId="0" fontId="0" fillId="0" borderId="21" xfId="0" applyBorder="1" applyAlignment="1">
      <alignment horizontal="center"/>
    </xf>
    <xf numFmtId="0" fontId="7" fillId="8" borderId="16" xfId="0" applyFont="1" applyFill="1" applyBorder="1" applyAlignment="1">
      <alignment horizontal="center" vertical="center"/>
    </xf>
    <xf numFmtId="0" fontId="7" fillId="8" borderId="35" xfId="0" applyFont="1" applyFill="1" applyBorder="1" applyAlignment="1">
      <alignment horizontal="center" vertical="center"/>
    </xf>
    <xf numFmtId="0" fontId="7" fillId="8" borderId="21" xfId="0" applyFont="1" applyFill="1" applyBorder="1" applyAlignment="1">
      <alignment horizontal="center" vertical="center"/>
    </xf>
    <xf numFmtId="0" fontId="5" fillId="0" borderId="16" xfId="0" applyFont="1" applyFill="1" applyBorder="1" applyAlignment="1">
      <alignment horizontal="center" vertical="center"/>
    </xf>
    <xf numFmtId="0" fontId="0" fillId="0" borderId="21" xfId="0" applyFill="1" applyBorder="1" applyAlignment="1">
      <alignment horizontal="center" vertical="center"/>
    </xf>
    <xf numFmtId="0" fontId="2" fillId="2" borderId="16" xfId="0" applyFont="1" applyFill="1" applyBorder="1" applyAlignment="1">
      <alignment horizontal="center" vertical="center" wrapText="1"/>
    </xf>
    <xf numFmtId="0" fontId="2" fillId="2" borderId="21" xfId="0" applyFont="1" applyFill="1" applyBorder="1" applyAlignment="1">
      <alignment horizontal="center" vertical="center" wrapText="1"/>
    </xf>
    <xf numFmtId="0" fontId="2" fillId="2" borderId="1" xfId="0" applyFont="1" applyFill="1" applyBorder="1" applyAlignment="1">
      <alignment horizontal="center" vertical="center" wrapText="1"/>
    </xf>
    <xf numFmtId="0" fontId="2" fillId="0" borderId="12" xfId="0" applyFont="1" applyBorder="1" applyAlignment="1">
      <alignment horizontal="center" vertical="center" wrapText="1"/>
    </xf>
    <xf numFmtId="0" fontId="2" fillId="0" borderId="17" xfId="0" applyFont="1" applyBorder="1" applyAlignment="1">
      <alignment horizontal="center" vertical="center" wrapText="1"/>
    </xf>
    <xf numFmtId="0" fontId="2" fillId="0" borderId="9" xfId="0" applyFont="1" applyBorder="1" applyAlignment="1">
      <alignment horizontal="center" vertical="center" wrapText="1"/>
    </xf>
    <xf numFmtId="0" fontId="2" fillId="0" borderId="14" xfId="0" applyFont="1" applyBorder="1" applyAlignment="1">
      <alignment horizontal="center" vertical="center" wrapText="1"/>
    </xf>
    <xf numFmtId="0" fontId="23" fillId="0" borderId="9" xfId="0" applyFont="1" applyBorder="1" applyAlignment="1">
      <alignment horizontal="center" vertical="center" wrapText="1"/>
    </xf>
    <xf numFmtId="0" fontId="24" fillId="0" borderId="14" xfId="0" applyFont="1" applyBorder="1" applyAlignment="1">
      <alignment horizontal="center" vertical="center" wrapText="1"/>
    </xf>
    <xf numFmtId="168" fontId="47" fillId="0" borderId="14" xfId="0" applyNumberFormat="1" applyFont="1" applyBorder="1" applyAlignment="1">
      <alignment horizontal="center" vertical="center" wrapText="1"/>
    </xf>
    <xf numFmtId="168" fontId="47" fillId="0" borderId="11" xfId="0" applyNumberFormat="1" applyFont="1" applyBorder="1" applyAlignment="1">
      <alignment horizontal="center" vertical="center" wrapText="1"/>
    </xf>
    <xf numFmtId="0" fontId="5" fillId="0" borderId="12" xfId="0" applyFont="1" applyBorder="1" applyAlignment="1">
      <alignment horizontal="center"/>
    </xf>
    <xf numFmtId="0" fontId="5" fillId="0" borderId="17" xfId="0" applyFont="1" applyBorder="1" applyAlignment="1">
      <alignment horizontal="center"/>
    </xf>
    <xf numFmtId="0" fontId="5" fillId="0" borderId="37" xfId="0" applyFont="1" applyBorder="1" applyAlignment="1">
      <alignment horizontal="center"/>
    </xf>
    <xf numFmtId="0" fontId="5" fillId="0" borderId="16" xfId="0" applyFont="1" applyBorder="1" applyAlignment="1">
      <alignment horizontal="center" vertical="center"/>
    </xf>
    <xf numFmtId="0" fontId="5" fillId="0" borderId="35" xfId="0" applyFont="1" applyBorder="1" applyAlignment="1">
      <alignment horizontal="center" vertical="center"/>
    </xf>
    <xf numFmtId="0" fontId="5" fillId="0" borderId="21" xfId="0" applyFont="1" applyBorder="1" applyAlignment="1">
      <alignment horizontal="center" vertical="center"/>
    </xf>
    <xf numFmtId="0" fontId="2" fillId="7" borderId="1" xfId="0" applyFont="1" applyFill="1" applyBorder="1" applyAlignment="1">
      <alignment horizontal="center" vertical="center" wrapText="1"/>
    </xf>
    <xf numFmtId="0" fontId="2" fillId="0" borderId="1" xfId="0" applyFont="1" applyBorder="1" applyAlignment="1">
      <alignment horizontal="center" vertical="center" wrapText="1"/>
    </xf>
    <xf numFmtId="0" fontId="30" fillId="0" borderId="0" xfId="0" applyFont="1" applyAlignment="1">
      <alignment horizontal="left" vertical="center"/>
    </xf>
    <xf numFmtId="0" fontId="0" fillId="0" borderId="0" xfId="0" applyAlignment="1">
      <alignment horizontal="left" vertical="center"/>
    </xf>
    <xf numFmtId="0" fontId="28" fillId="0" borderId="0" xfId="0" applyFont="1" applyAlignment="1">
      <alignment horizontal="left" vertical="center"/>
    </xf>
    <xf numFmtId="0" fontId="0" fillId="6" borderId="0" xfId="0" applyFill="1" applyBorder="1" applyAlignment="1">
      <alignment horizontal="center" vertical="center"/>
    </xf>
    <xf numFmtId="2" fontId="0" fillId="6" borderId="1" xfId="0" applyNumberFormat="1" applyFill="1" applyBorder="1" applyAlignment="1">
      <alignment horizontal="center" vertical="center"/>
    </xf>
    <xf numFmtId="0" fontId="5" fillId="0" borderId="0" xfId="0" applyFont="1" applyAlignment="1">
      <alignment horizontal="center" vertical="center" wrapText="1"/>
    </xf>
    <xf numFmtId="0" fontId="0" fillId="0" borderId="0" xfId="0" applyAlignment="1">
      <alignment horizontal="center" vertical="center"/>
    </xf>
    <xf numFmtId="0" fontId="48" fillId="13" borderId="1" xfId="0" applyFont="1" applyFill="1" applyBorder="1" applyAlignment="1">
      <alignment horizontal="center" vertical="center" wrapText="1"/>
    </xf>
    <xf numFmtId="0" fontId="49" fillId="8" borderId="1" xfId="0" applyFont="1" applyFill="1" applyBorder="1" applyAlignment="1">
      <alignment horizontal="left" vertical="center" wrapText="1"/>
    </xf>
    <xf numFmtId="0" fontId="50" fillId="0" borderId="1" xfId="0" applyFont="1" applyBorder="1" applyAlignment="1">
      <alignment horizontal="center" vertical="center" wrapText="1"/>
    </xf>
    <xf numFmtId="14" fontId="50" fillId="0" borderId="1" xfId="0" applyNumberFormat="1" applyFont="1" applyBorder="1" applyAlignment="1">
      <alignment horizontal="center" vertical="center" wrapText="1"/>
    </xf>
    <xf numFmtId="0" fontId="49" fillId="8" borderId="16" xfId="0" applyFont="1" applyFill="1" applyBorder="1" applyAlignment="1">
      <alignment horizontal="left" vertical="center"/>
    </xf>
    <xf numFmtId="0" fontId="49" fillId="8" borderId="35" xfId="0" applyFont="1" applyFill="1" applyBorder="1" applyAlignment="1">
      <alignment horizontal="left" vertical="center"/>
    </xf>
    <xf numFmtId="0" fontId="49" fillId="8" borderId="21" xfId="0" applyFont="1" applyFill="1" applyBorder="1" applyAlignment="1">
      <alignment horizontal="left" vertical="center"/>
    </xf>
    <xf numFmtId="0" fontId="51" fillId="0" borderId="1" xfId="0" applyFont="1" applyBorder="1" applyAlignment="1">
      <alignment horizontal="center" vertical="center"/>
    </xf>
    <xf numFmtId="0" fontId="49" fillId="0" borderId="1" xfId="0" applyFont="1" applyBorder="1" applyAlignment="1">
      <alignment horizontal="center" vertical="center" wrapText="1"/>
    </xf>
    <xf numFmtId="0" fontId="52" fillId="8" borderId="1" xfId="0" applyFont="1" applyFill="1" applyBorder="1" applyAlignment="1">
      <alignment horizontal="center" vertical="center" wrapText="1"/>
    </xf>
    <xf numFmtId="0" fontId="52" fillId="8" borderId="1" xfId="0" applyFont="1" applyFill="1" applyBorder="1" applyAlignment="1">
      <alignment horizontal="center" vertical="center"/>
    </xf>
    <xf numFmtId="0" fontId="50" fillId="0" borderId="1" xfId="0" applyFont="1" applyBorder="1" applyAlignment="1">
      <alignment horizontal="center" vertical="center"/>
    </xf>
    <xf numFmtId="0" fontId="52" fillId="17" borderId="1" xfId="0" applyFont="1" applyFill="1" applyBorder="1" applyAlignment="1">
      <alignment horizontal="center" vertical="center" wrapText="1"/>
    </xf>
    <xf numFmtId="0" fontId="52" fillId="17" borderId="1" xfId="0" applyFont="1" applyFill="1" applyBorder="1" applyAlignment="1">
      <alignment horizontal="center" vertical="center"/>
    </xf>
    <xf numFmtId="0" fontId="49" fillId="0" borderId="1" xfId="0" applyFont="1" applyBorder="1" applyAlignment="1">
      <alignment horizontal="left" vertical="center"/>
    </xf>
    <xf numFmtId="0" fontId="51" fillId="0" borderId="1" xfId="0" applyFont="1" applyBorder="1" applyAlignment="1">
      <alignment horizontal="left" vertical="center"/>
    </xf>
    <xf numFmtId="0" fontId="49" fillId="0" borderId="1" xfId="0" applyFont="1" applyBorder="1" applyAlignment="1">
      <alignment horizontal="left" vertical="center" wrapText="1"/>
    </xf>
    <xf numFmtId="0" fontId="55" fillId="0" borderId="1" xfId="0" applyFont="1" applyBorder="1" applyAlignment="1">
      <alignment horizontal="center" vertical="center"/>
    </xf>
    <xf numFmtId="0" fontId="49" fillId="0" borderId="1" xfId="0" applyFont="1" applyBorder="1" applyAlignment="1">
      <alignment horizontal="center" vertical="center"/>
    </xf>
    <xf numFmtId="0" fontId="54" fillId="0" borderId="1" xfId="0" applyFont="1" applyBorder="1" applyAlignment="1">
      <alignment horizontal="center" vertical="center" wrapText="1"/>
    </xf>
    <xf numFmtId="0" fontId="54" fillId="0" borderId="1" xfId="0" applyFont="1" applyBorder="1" applyAlignment="1">
      <alignment horizontal="center" vertical="center"/>
    </xf>
    <xf numFmtId="0" fontId="0" fillId="0" borderId="1" xfId="0" applyBorder="1"/>
    <xf numFmtId="14" fontId="51" fillId="0" borderId="1" xfId="0" applyNumberFormat="1" applyFont="1" applyBorder="1" applyAlignment="1">
      <alignment horizontal="center" vertical="center"/>
    </xf>
    <xf numFmtId="169" fontId="0" fillId="0" borderId="1" xfId="0" applyNumberFormat="1" applyBorder="1" applyAlignment="1">
      <alignment horizontal="center" vertical="center"/>
    </xf>
    <xf numFmtId="0" fontId="48" fillId="0" borderId="1" xfId="0" applyFont="1" applyBorder="1" applyAlignment="1">
      <alignment horizontal="center" vertical="center" wrapText="1"/>
    </xf>
    <xf numFmtId="0" fontId="53" fillId="0" borderId="1" xfId="0" applyFont="1" applyBorder="1" applyAlignment="1">
      <alignment horizontal="left" vertical="top" wrapText="1"/>
    </xf>
  </cellXfs>
  <cellStyles count="3">
    <cellStyle name="Hipervínculo" xfId="1" builtinId="8"/>
    <cellStyle name="Normal" xfId="0" builtinId="0"/>
    <cellStyle name="Normal 2" xfId="2"/>
  </cellStyles>
  <dxfs count="6">
    <dxf>
      <font>
        <condense val="0"/>
        <extend val="0"/>
        <color auto="1"/>
      </font>
      <fill>
        <patternFill>
          <bgColor indexed="10"/>
        </patternFill>
      </fill>
    </dxf>
    <dxf>
      <font>
        <condense val="0"/>
        <extend val="0"/>
        <color indexed="11"/>
      </font>
    </dxf>
    <dxf>
      <font>
        <condense val="0"/>
        <extend val="0"/>
        <color indexed="47"/>
      </font>
    </dxf>
    <dxf>
      <font>
        <condense val="0"/>
        <extend val="0"/>
        <color indexed="9"/>
      </font>
    </dxf>
    <dxf>
      <font>
        <condense val="0"/>
        <extend val="0"/>
        <color auto="1"/>
      </font>
      <fill>
        <patternFill>
          <bgColor indexed="10"/>
        </patternFill>
      </fill>
    </dxf>
    <dxf>
      <font>
        <condense val="0"/>
        <extend val="0"/>
        <color auto="1"/>
      </font>
      <fill>
        <patternFill>
          <bgColor indexed="47"/>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v>piezas OK</c:v>
          </c:tx>
          <c:spPr>
            <a:solidFill>
              <a:srgbClr val="15F740"/>
            </a:solidFill>
          </c:spPr>
          <c:invertIfNegative val="0"/>
          <c:cat>
            <c:numRef>
              <c:f>Información!$H$2:$AL$2</c:f>
              <c:numCache>
                <c:formatCode>[$-C0A]d\-mmm;@</c:formatCode>
                <c:ptCount val="31"/>
                <c:pt idx="1">
                  <c:v>41791</c:v>
                </c:pt>
                <c:pt idx="2">
                  <c:v>41792</c:v>
                </c:pt>
                <c:pt idx="3">
                  <c:v>41793</c:v>
                </c:pt>
                <c:pt idx="4">
                  <c:v>41794</c:v>
                </c:pt>
                <c:pt idx="5">
                  <c:v>41795</c:v>
                </c:pt>
                <c:pt idx="6">
                  <c:v>41796</c:v>
                </c:pt>
                <c:pt idx="7">
                  <c:v>41797</c:v>
                </c:pt>
                <c:pt idx="8">
                  <c:v>41798</c:v>
                </c:pt>
                <c:pt idx="9">
                  <c:v>41799</c:v>
                </c:pt>
                <c:pt idx="10">
                  <c:v>41800</c:v>
                </c:pt>
                <c:pt idx="11">
                  <c:v>41801</c:v>
                </c:pt>
                <c:pt idx="12">
                  <c:v>41802</c:v>
                </c:pt>
                <c:pt idx="13">
                  <c:v>41803</c:v>
                </c:pt>
                <c:pt idx="14">
                  <c:v>41804</c:v>
                </c:pt>
                <c:pt idx="15">
                  <c:v>41805</c:v>
                </c:pt>
                <c:pt idx="16">
                  <c:v>41806</c:v>
                </c:pt>
                <c:pt idx="17">
                  <c:v>41807</c:v>
                </c:pt>
                <c:pt idx="18">
                  <c:v>41808</c:v>
                </c:pt>
                <c:pt idx="19">
                  <c:v>41809</c:v>
                </c:pt>
                <c:pt idx="20">
                  <c:v>41810</c:v>
                </c:pt>
                <c:pt idx="21">
                  <c:v>41811</c:v>
                </c:pt>
                <c:pt idx="22">
                  <c:v>41812</c:v>
                </c:pt>
                <c:pt idx="23">
                  <c:v>41813</c:v>
                </c:pt>
                <c:pt idx="24">
                  <c:v>41814</c:v>
                </c:pt>
                <c:pt idx="25">
                  <c:v>41815</c:v>
                </c:pt>
                <c:pt idx="26">
                  <c:v>41816</c:v>
                </c:pt>
                <c:pt idx="27">
                  <c:v>41817</c:v>
                </c:pt>
                <c:pt idx="28">
                  <c:v>41818</c:v>
                </c:pt>
                <c:pt idx="29">
                  <c:v>41819</c:v>
                </c:pt>
                <c:pt idx="30">
                  <c:v>41820</c:v>
                </c:pt>
              </c:numCache>
            </c:numRef>
          </c:cat>
          <c:val>
            <c:numRef>
              <c:f>Información!$I$11:$AM$11</c:f>
              <c:numCache>
                <c:formatCode>0</c:formatCode>
                <c:ptCount val="31"/>
              </c:numCache>
            </c:numRef>
          </c:val>
        </c:ser>
        <c:ser>
          <c:idx val="1"/>
          <c:order val="1"/>
          <c:tx>
            <c:v>piezas NOK</c:v>
          </c:tx>
          <c:spPr>
            <a:solidFill>
              <a:srgbClr val="FF0000"/>
            </a:solidFill>
          </c:spPr>
          <c:invertIfNegative val="0"/>
          <c:cat>
            <c:numRef>
              <c:f>Información!$H$2:$AL$2</c:f>
              <c:numCache>
                <c:formatCode>[$-C0A]d\-mmm;@</c:formatCode>
                <c:ptCount val="31"/>
                <c:pt idx="1">
                  <c:v>41791</c:v>
                </c:pt>
                <c:pt idx="2">
                  <c:v>41792</c:v>
                </c:pt>
                <c:pt idx="3">
                  <c:v>41793</c:v>
                </c:pt>
                <c:pt idx="4">
                  <c:v>41794</c:v>
                </c:pt>
                <c:pt idx="5">
                  <c:v>41795</c:v>
                </c:pt>
                <c:pt idx="6">
                  <c:v>41796</c:v>
                </c:pt>
                <c:pt idx="7">
                  <c:v>41797</c:v>
                </c:pt>
                <c:pt idx="8">
                  <c:v>41798</c:v>
                </c:pt>
                <c:pt idx="9">
                  <c:v>41799</c:v>
                </c:pt>
                <c:pt idx="10">
                  <c:v>41800</c:v>
                </c:pt>
                <c:pt idx="11">
                  <c:v>41801</c:v>
                </c:pt>
                <c:pt idx="12">
                  <c:v>41802</c:v>
                </c:pt>
                <c:pt idx="13">
                  <c:v>41803</c:v>
                </c:pt>
                <c:pt idx="14">
                  <c:v>41804</c:v>
                </c:pt>
                <c:pt idx="15">
                  <c:v>41805</c:v>
                </c:pt>
                <c:pt idx="16">
                  <c:v>41806</c:v>
                </c:pt>
                <c:pt idx="17">
                  <c:v>41807</c:v>
                </c:pt>
                <c:pt idx="18">
                  <c:v>41808</c:v>
                </c:pt>
                <c:pt idx="19">
                  <c:v>41809</c:v>
                </c:pt>
                <c:pt idx="20">
                  <c:v>41810</c:v>
                </c:pt>
                <c:pt idx="21">
                  <c:v>41811</c:v>
                </c:pt>
                <c:pt idx="22">
                  <c:v>41812</c:v>
                </c:pt>
                <c:pt idx="23">
                  <c:v>41813</c:v>
                </c:pt>
                <c:pt idx="24">
                  <c:v>41814</c:v>
                </c:pt>
                <c:pt idx="25">
                  <c:v>41815</c:v>
                </c:pt>
                <c:pt idx="26">
                  <c:v>41816</c:v>
                </c:pt>
                <c:pt idx="27">
                  <c:v>41817</c:v>
                </c:pt>
                <c:pt idx="28">
                  <c:v>41818</c:v>
                </c:pt>
                <c:pt idx="29">
                  <c:v>41819</c:v>
                </c:pt>
                <c:pt idx="30">
                  <c:v>41820</c:v>
                </c:pt>
              </c:numCache>
            </c:numRef>
          </c:cat>
          <c:val>
            <c:numRef>
              <c:f>Información!$I$12:$AM$12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er>
        <c:ser>
          <c:idx val="2"/>
          <c:order val="2"/>
          <c:tx>
            <c:v>piezas RECUPERADAS</c:v>
          </c:tx>
          <c:spPr>
            <a:solidFill>
              <a:srgbClr val="FFC000"/>
            </a:solidFill>
          </c:spPr>
          <c:invertIfNegative val="0"/>
          <c:cat>
            <c:numRef>
              <c:f>Información!$H$2:$AL$2</c:f>
              <c:numCache>
                <c:formatCode>[$-C0A]d\-mmm;@</c:formatCode>
                <c:ptCount val="31"/>
                <c:pt idx="1">
                  <c:v>41791</c:v>
                </c:pt>
                <c:pt idx="2">
                  <c:v>41792</c:v>
                </c:pt>
                <c:pt idx="3">
                  <c:v>41793</c:v>
                </c:pt>
                <c:pt idx="4">
                  <c:v>41794</c:v>
                </c:pt>
                <c:pt idx="5">
                  <c:v>41795</c:v>
                </c:pt>
                <c:pt idx="6">
                  <c:v>41796</c:v>
                </c:pt>
                <c:pt idx="7">
                  <c:v>41797</c:v>
                </c:pt>
                <c:pt idx="8">
                  <c:v>41798</c:v>
                </c:pt>
                <c:pt idx="9">
                  <c:v>41799</c:v>
                </c:pt>
                <c:pt idx="10">
                  <c:v>41800</c:v>
                </c:pt>
                <c:pt idx="11">
                  <c:v>41801</c:v>
                </c:pt>
                <c:pt idx="12">
                  <c:v>41802</c:v>
                </c:pt>
                <c:pt idx="13">
                  <c:v>41803</c:v>
                </c:pt>
                <c:pt idx="14">
                  <c:v>41804</c:v>
                </c:pt>
                <c:pt idx="15">
                  <c:v>41805</c:v>
                </c:pt>
                <c:pt idx="16">
                  <c:v>41806</c:v>
                </c:pt>
                <c:pt idx="17">
                  <c:v>41807</c:v>
                </c:pt>
                <c:pt idx="18">
                  <c:v>41808</c:v>
                </c:pt>
                <c:pt idx="19">
                  <c:v>41809</c:v>
                </c:pt>
                <c:pt idx="20">
                  <c:v>41810</c:v>
                </c:pt>
                <c:pt idx="21">
                  <c:v>41811</c:v>
                </c:pt>
                <c:pt idx="22">
                  <c:v>41812</c:v>
                </c:pt>
                <c:pt idx="23">
                  <c:v>41813</c:v>
                </c:pt>
                <c:pt idx="24">
                  <c:v>41814</c:v>
                </c:pt>
                <c:pt idx="25">
                  <c:v>41815</c:v>
                </c:pt>
                <c:pt idx="26">
                  <c:v>41816</c:v>
                </c:pt>
                <c:pt idx="27">
                  <c:v>41817</c:v>
                </c:pt>
                <c:pt idx="28">
                  <c:v>41818</c:v>
                </c:pt>
                <c:pt idx="29">
                  <c:v>41819</c:v>
                </c:pt>
                <c:pt idx="30">
                  <c:v>41820</c:v>
                </c:pt>
              </c:numCache>
            </c:numRef>
          </c:cat>
          <c:val>
            <c:numRef>
              <c:f>Información!$I$15:$AM$15</c:f>
              <c:numCache>
                <c:formatCode>0</c:formatCode>
                <c:ptCount val="31"/>
              </c:numCache>
            </c:numRef>
          </c:val>
        </c:ser>
        <c:dLbls>
          <c:showLegendKey val="0"/>
          <c:showVal val="0"/>
          <c:showCatName val="0"/>
          <c:showSerName val="0"/>
          <c:showPercent val="0"/>
          <c:showBubbleSize val="0"/>
        </c:dLbls>
        <c:gapWidth val="150"/>
        <c:axId val="97452032"/>
        <c:axId val="97453568"/>
      </c:barChart>
      <c:dateAx>
        <c:axId val="97452032"/>
        <c:scaling>
          <c:orientation val="minMax"/>
        </c:scaling>
        <c:delete val="0"/>
        <c:axPos val="b"/>
        <c:numFmt formatCode="[$-C0A]d\-mmm;@" sourceLinked="0"/>
        <c:majorTickMark val="out"/>
        <c:minorTickMark val="none"/>
        <c:tickLblPos val="nextTo"/>
        <c:txPr>
          <a:bodyPr rot="-2700000" vert="horz"/>
          <a:lstStyle/>
          <a:p>
            <a:pPr>
              <a:defRPr sz="1000" b="0" i="0" u="none" strike="noStrike" baseline="0">
                <a:solidFill>
                  <a:srgbClr val="000000"/>
                </a:solidFill>
                <a:latin typeface="Calibri"/>
                <a:ea typeface="Calibri"/>
                <a:cs typeface="Calibri"/>
              </a:defRPr>
            </a:pPr>
            <a:endParaRPr lang="es-ES"/>
          </a:p>
        </c:txPr>
        <c:crossAx val="97453568"/>
        <c:crosses val="autoZero"/>
        <c:auto val="1"/>
        <c:lblOffset val="100"/>
        <c:baseTimeUnit val="days"/>
        <c:majorUnit val="2"/>
        <c:minorUnit val="1"/>
      </c:dateAx>
      <c:valAx>
        <c:axId val="97453568"/>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97452032"/>
        <c:crosses val="autoZero"/>
        <c:crossBetween val="between"/>
      </c:valAx>
    </c:plotArea>
    <c:legend>
      <c:legendPos val="r"/>
      <c:layout/>
      <c:overlay val="0"/>
      <c:txPr>
        <a:bodyPr/>
        <a:lstStyle/>
        <a:p>
          <a:pPr>
            <a:defRPr sz="845" b="0" i="0" u="none" strike="noStrike" baseline="0">
              <a:solidFill>
                <a:srgbClr val="000000"/>
              </a:solidFill>
              <a:latin typeface="Calibri"/>
              <a:ea typeface="Calibri"/>
              <a:cs typeface="Calibri"/>
            </a:defRPr>
          </a:pPr>
          <a:endParaRPr lang="es-E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s-ES"/>
    </a:p>
  </c:txPr>
  <c:printSettings>
    <c:headerFooter/>
    <c:pageMargins b="0.75" l="0.7" r="0.7" t="0.75" header="0.3" footer="0.3"/>
    <c:pageSetup paperSize="9" orientation="landscape"/>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media/image4.jpeg"/><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image" Target="../media/image2.jpeg"/></Relationships>
</file>

<file path=xl/drawings/_rels/drawing7.xml.rels><?xml version="1.0" encoding="UTF-8" standalone="yes"?>
<Relationships xmlns="http://schemas.openxmlformats.org/package/2006/relationships"><Relationship Id="rId1" Type="http://schemas.openxmlformats.org/officeDocument/2006/relationships/image" Target="../media/image6.jpeg"/></Relationships>
</file>

<file path=xl/drawings/_rels/drawing8.xml.rels><?xml version="1.0" encoding="UTF-8" standalone="yes"?>
<Relationships xmlns="http://schemas.openxmlformats.org/package/2006/relationships"><Relationship Id="rId1" Type="http://schemas.openxmlformats.org/officeDocument/2006/relationships/image" Target="../media/image7.jpeg"/></Relationships>
</file>

<file path=xl/drawings/_rels/drawing9.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8.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editAs="oneCell">
    <xdr:from>
      <xdr:col>0</xdr:col>
      <xdr:colOff>381000</xdr:colOff>
      <xdr:row>42</xdr:row>
      <xdr:rowOff>123825</xdr:rowOff>
    </xdr:from>
    <xdr:to>
      <xdr:col>2</xdr:col>
      <xdr:colOff>342900</xdr:colOff>
      <xdr:row>49</xdr:row>
      <xdr:rowOff>152400</xdr:rowOff>
    </xdr:to>
    <xdr:pic>
      <xdr:nvPicPr>
        <xdr:cNvPr id="744592" name="Picture 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934" t="5084" r="5383" b="4237"/>
        <a:stretch>
          <a:fillRect/>
        </a:stretch>
      </xdr:blipFill>
      <xdr:spPr bwMode="auto">
        <a:xfrm>
          <a:off x="381000" y="8572500"/>
          <a:ext cx="2047875"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447675</xdr:colOff>
      <xdr:row>43</xdr:row>
      <xdr:rowOff>19050</xdr:rowOff>
    </xdr:from>
    <xdr:to>
      <xdr:col>3</xdr:col>
      <xdr:colOff>85725</xdr:colOff>
      <xdr:row>50</xdr:row>
      <xdr:rowOff>47625</xdr:rowOff>
    </xdr:to>
    <xdr:pic>
      <xdr:nvPicPr>
        <xdr:cNvPr id="744593" name="Picture 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934" t="5084" r="5383" b="4237"/>
        <a:stretch>
          <a:fillRect/>
        </a:stretch>
      </xdr:blipFill>
      <xdr:spPr bwMode="auto">
        <a:xfrm>
          <a:off x="447675" y="8629650"/>
          <a:ext cx="2219325"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114300</xdr:colOff>
      <xdr:row>0</xdr:row>
      <xdr:rowOff>19050</xdr:rowOff>
    </xdr:from>
    <xdr:to>
      <xdr:col>0</xdr:col>
      <xdr:colOff>1428750</xdr:colOff>
      <xdr:row>0</xdr:row>
      <xdr:rowOff>800100</xdr:rowOff>
    </xdr:to>
    <xdr:pic>
      <xdr:nvPicPr>
        <xdr:cNvPr id="744594" name="1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4300" y="19050"/>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45720</xdr:colOff>
      <xdr:row>6</xdr:row>
      <xdr:rowOff>30480</xdr:rowOff>
    </xdr:from>
    <xdr:to>
      <xdr:col>6</xdr:col>
      <xdr:colOff>310581</xdr:colOff>
      <xdr:row>6</xdr:row>
      <xdr:rowOff>114300</xdr:rowOff>
    </xdr:to>
    <xdr:sp macro="" textlink="">
      <xdr:nvSpPr>
        <xdr:cNvPr id="3" name="2 Rectángulo redondeado"/>
        <xdr:cNvSpPr/>
      </xdr:nvSpPr>
      <xdr:spPr>
        <a:xfrm>
          <a:off x="5882640" y="2026920"/>
          <a:ext cx="274320"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38100</xdr:colOff>
      <xdr:row>7</xdr:row>
      <xdr:rowOff>38100</xdr:rowOff>
    </xdr:from>
    <xdr:to>
      <xdr:col>6</xdr:col>
      <xdr:colOff>302961</xdr:colOff>
      <xdr:row>7</xdr:row>
      <xdr:rowOff>121920</xdr:rowOff>
    </xdr:to>
    <xdr:sp macro="" textlink="">
      <xdr:nvSpPr>
        <xdr:cNvPr id="4" name="3 Rectángulo redondeado"/>
        <xdr:cNvSpPr/>
      </xdr:nvSpPr>
      <xdr:spPr>
        <a:xfrm>
          <a:off x="5875020" y="2217420"/>
          <a:ext cx="274320"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45720</xdr:colOff>
      <xdr:row>8</xdr:row>
      <xdr:rowOff>43815</xdr:rowOff>
    </xdr:from>
    <xdr:to>
      <xdr:col>6</xdr:col>
      <xdr:colOff>196327</xdr:colOff>
      <xdr:row>8</xdr:row>
      <xdr:rowOff>112395</xdr:rowOff>
    </xdr:to>
    <xdr:sp macro="" textlink="">
      <xdr:nvSpPr>
        <xdr:cNvPr id="5" name="4 Rectángulo redondeado"/>
        <xdr:cNvSpPr/>
      </xdr:nvSpPr>
      <xdr:spPr>
        <a:xfrm>
          <a:off x="5882640" y="2415540"/>
          <a:ext cx="160020"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289560</xdr:colOff>
      <xdr:row>8</xdr:row>
      <xdr:rowOff>43815</xdr:rowOff>
    </xdr:from>
    <xdr:to>
      <xdr:col>6</xdr:col>
      <xdr:colOff>440167</xdr:colOff>
      <xdr:row>8</xdr:row>
      <xdr:rowOff>112395</xdr:rowOff>
    </xdr:to>
    <xdr:sp macro="" textlink="">
      <xdr:nvSpPr>
        <xdr:cNvPr id="6" name="5 Rectángulo redondeado"/>
        <xdr:cNvSpPr/>
      </xdr:nvSpPr>
      <xdr:spPr>
        <a:xfrm>
          <a:off x="6126480" y="2415540"/>
          <a:ext cx="160020"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516255</xdr:colOff>
      <xdr:row>8</xdr:row>
      <xdr:rowOff>43815</xdr:rowOff>
    </xdr:from>
    <xdr:to>
      <xdr:col>6</xdr:col>
      <xdr:colOff>666862</xdr:colOff>
      <xdr:row>8</xdr:row>
      <xdr:rowOff>112395</xdr:rowOff>
    </xdr:to>
    <xdr:sp macro="" textlink="">
      <xdr:nvSpPr>
        <xdr:cNvPr id="7" name="6 Rectángulo redondeado"/>
        <xdr:cNvSpPr/>
      </xdr:nvSpPr>
      <xdr:spPr>
        <a:xfrm>
          <a:off x="6362700" y="2415540"/>
          <a:ext cx="160020"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38100</xdr:colOff>
      <xdr:row>9</xdr:row>
      <xdr:rowOff>38100</xdr:rowOff>
    </xdr:from>
    <xdr:to>
      <xdr:col>6</xdr:col>
      <xdr:colOff>302961</xdr:colOff>
      <xdr:row>9</xdr:row>
      <xdr:rowOff>121920</xdr:rowOff>
    </xdr:to>
    <xdr:sp macro="" textlink="">
      <xdr:nvSpPr>
        <xdr:cNvPr id="8" name="7 Rectángulo redondeado"/>
        <xdr:cNvSpPr/>
      </xdr:nvSpPr>
      <xdr:spPr>
        <a:xfrm>
          <a:off x="5875020" y="2583180"/>
          <a:ext cx="274320"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219075</xdr:colOff>
      <xdr:row>6</xdr:row>
      <xdr:rowOff>30480</xdr:rowOff>
    </xdr:from>
    <xdr:to>
      <xdr:col>7</xdr:col>
      <xdr:colOff>483936</xdr:colOff>
      <xdr:row>6</xdr:row>
      <xdr:rowOff>114300</xdr:rowOff>
    </xdr:to>
    <xdr:sp macro="" textlink="">
      <xdr:nvSpPr>
        <xdr:cNvPr id="9" name="8 Rectángulo redondeado"/>
        <xdr:cNvSpPr/>
      </xdr:nvSpPr>
      <xdr:spPr>
        <a:xfrm>
          <a:off x="6835140" y="2026920"/>
          <a:ext cx="274320"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7</xdr:col>
      <xdr:colOff>226695</xdr:colOff>
      <xdr:row>9</xdr:row>
      <xdr:rowOff>38100</xdr:rowOff>
    </xdr:from>
    <xdr:to>
      <xdr:col>7</xdr:col>
      <xdr:colOff>491556</xdr:colOff>
      <xdr:row>9</xdr:row>
      <xdr:rowOff>121920</xdr:rowOff>
    </xdr:to>
    <xdr:sp macro="" textlink="">
      <xdr:nvSpPr>
        <xdr:cNvPr id="10" name="9 Rectángulo redondeado"/>
        <xdr:cNvSpPr/>
      </xdr:nvSpPr>
      <xdr:spPr>
        <a:xfrm>
          <a:off x="6842760" y="2583180"/>
          <a:ext cx="274320"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editAs="oneCell">
    <xdr:from>
      <xdr:col>0</xdr:col>
      <xdr:colOff>95250</xdr:colOff>
      <xdr:row>0</xdr:row>
      <xdr:rowOff>66675</xdr:rowOff>
    </xdr:from>
    <xdr:to>
      <xdr:col>0</xdr:col>
      <xdr:colOff>1409700</xdr:colOff>
      <xdr:row>0</xdr:row>
      <xdr:rowOff>847725</xdr:rowOff>
    </xdr:to>
    <xdr:pic>
      <xdr:nvPicPr>
        <xdr:cNvPr id="731775" name="10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66675"/>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7</xdr:col>
      <xdr:colOff>45720</xdr:colOff>
      <xdr:row>6</xdr:row>
      <xdr:rowOff>30480</xdr:rowOff>
    </xdr:from>
    <xdr:to>
      <xdr:col>7</xdr:col>
      <xdr:colOff>310581</xdr:colOff>
      <xdr:row>6</xdr:row>
      <xdr:rowOff>114300</xdr:rowOff>
    </xdr:to>
    <xdr:sp macro="" textlink="">
      <xdr:nvSpPr>
        <xdr:cNvPr id="3" name="2 Rectángulo redondeado"/>
        <xdr:cNvSpPr/>
      </xdr:nvSpPr>
      <xdr:spPr>
        <a:xfrm>
          <a:off x="53797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4" name="3 Rectángulo redondeado"/>
        <xdr:cNvSpPr/>
      </xdr:nvSpPr>
      <xdr:spPr>
        <a:xfrm>
          <a:off x="53721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5" name="4 Rectángulo redondeado"/>
        <xdr:cNvSpPr/>
      </xdr:nvSpPr>
      <xdr:spPr>
        <a:xfrm>
          <a:off x="53797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6" name="5 Rectángulo redondeado"/>
        <xdr:cNvSpPr/>
      </xdr:nvSpPr>
      <xdr:spPr>
        <a:xfrm>
          <a:off x="56235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7" name="6 Rectángulo redondeado"/>
        <xdr:cNvSpPr/>
      </xdr:nvSpPr>
      <xdr:spPr>
        <a:xfrm>
          <a:off x="58502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8" name="7 Rectángulo redondeado"/>
        <xdr:cNvSpPr/>
      </xdr:nvSpPr>
      <xdr:spPr>
        <a:xfrm>
          <a:off x="53721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9" name="8 Rectángulo redondeado"/>
        <xdr:cNvSpPr/>
      </xdr:nvSpPr>
      <xdr:spPr>
        <a:xfrm>
          <a:off x="63150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10" name="9 Rectángulo redondeado"/>
        <xdr:cNvSpPr/>
      </xdr:nvSpPr>
      <xdr:spPr>
        <a:xfrm>
          <a:off x="63226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11" name="10 Rectángulo redondeado"/>
        <xdr:cNvSpPr/>
      </xdr:nvSpPr>
      <xdr:spPr>
        <a:xfrm>
          <a:off x="53797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12" name="11 Rectángulo redondeado"/>
        <xdr:cNvSpPr/>
      </xdr:nvSpPr>
      <xdr:spPr>
        <a:xfrm>
          <a:off x="53721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13" name="12 Rectángulo redondeado"/>
        <xdr:cNvSpPr/>
      </xdr:nvSpPr>
      <xdr:spPr>
        <a:xfrm>
          <a:off x="53797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14" name="13 Rectángulo redondeado"/>
        <xdr:cNvSpPr/>
      </xdr:nvSpPr>
      <xdr:spPr>
        <a:xfrm>
          <a:off x="56235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15" name="14 Rectángulo redondeado"/>
        <xdr:cNvSpPr/>
      </xdr:nvSpPr>
      <xdr:spPr>
        <a:xfrm>
          <a:off x="58502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16" name="15 Rectángulo redondeado"/>
        <xdr:cNvSpPr/>
      </xdr:nvSpPr>
      <xdr:spPr>
        <a:xfrm>
          <a:off x="53721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17" name="16 Rectángulo redondeado"/>
        <xdr:cNvSpPr/>
      </xdr:nvSpPr>
      <xdr:spPr>
        <a:xfrm>
          <a:off x="63150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18" name="17 Rectángulo redondeado"/>
        <xdr:cNvSpPr/>
      </xdr:nvSpPr>
      <xdr:spPr>
        <a:xfrm>
          <a:off x="63226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19" name="18 Rectángulo redondeado"/>
        <xdr:cNvSpPr/>
      </xdr:nvSpPr>
      <xdr:spPr>
        <a:xfrm>
          <a:off x="53797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20" name="19 Rectángulo redondeado"/>
        <xdr:cNvSpPr/>
      </xdr:nvSpPr>
      <xdr:spPr>
        <a:xfrm>
          <a:off x="53721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21" name="20 Rectángulo redondeado"/>
        <xdr:cNvSpPr/>
      </xdr:nvSpPr>
      <xdr:spPr>
        <a:xfrm>
          <a:off x="53797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22" name="21 Rectángulo redondeado"/>
        <xdr:cNvSpPr/>
      </xdr:nvSpPr>
      <xdr:spPr>
        <a:xfrm>
          <a:off x="56235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23" name="22 Rectángulo redondeado"/>
        <xdr:cNvSpPr/>
      </xdr:nvSpPr>
      <xdr:spPr>
        <a:xfrm>
          <a:off x="58502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24" name="23 Rectángulo redondeado"/>
        <xdr:cNvSpPr/>
      </xdr:nvSpPr>
      <xdr:spPr>
        <a:xfrm>
          <a:off x="53721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25" name="24 Rectángulo redondeado"/>
        <xdr:cNvSpPr/>
      </xdr:nvSpPr>
      <xdr:spPr>
        <a:xfrm>
          <a:off x="63150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26" name="25 Rectángulo redondeado"/>
        <xdr:cNvSpPr/>
      </xdr:nvSpPr>
      <xdr:spPr>
        <a:xfrm>
          <a:off x="63226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27" name="26 Rectángulo redondeado"/>
        <xdr:cNvSpPr/>
      </xdr:nvSpPr>
      <xdr:spPr>
        <a:xfrm>
          <a:off x="53797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28" name="27 Rectángulo redondeado"/>
        <xdr:cNvSpPr/>
      </xdr:nvSpPr>
      <xdr:spPr>
        <a:xfrm>
          <a:off x="53721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29" name="28 Rectángulo redondeado"/>
        <xdr:cNvSpPr/>
      </xdr:nvSpPr>
      <xdr:spPr>
        <a:xfrm>
          <a:off x="53797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30" name="29 Rectángulo redondeado"/>
        <xdr:cNvSpPr/>
      </xdr:nvSpPr>
      <xdr:spPr>
        <a:xfrm>
          <a:off x="56235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31" name="30 Rectángulo redondeado"/>
        <xdr:cNvSpPr/>
      </xdr:nvSpPr>
      <xdr:spPr>
        <a:xfrm>
          <a:off x="58502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32" name="31 Rectángulo redondeado"/>
        <xdr:cNvSpPr/>
      </xdr:nvSpPr>
      <xdr:spPr>
        <a:xfrm>
          <a:off x="53721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33" name="32 Rectángulo redondeado"/>
        <xdr:cNvSpPr/>
      </xdr:nvSpPr>
      <xdr:spPr>
        <a:xfrm>
          <a:off x="63150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34" name="33 Rectángulo redondeado"/>
        <xdr:cNvSpPr/>
      </xdr:nvSpPr>
      <xdr:spPr>
        <a:xfrm>
          <a:off x="63226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36" name="35 Rectángulo redondeado"/>
        <xdr:cNvSpPr/>
      </xdr:nvSpPr>
      <xdr:spPr>
        <a:xfrm>
          <a:off x="615124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37" name="36 Rectángulo redondeado"/>
        <xdr:cNvSpPr/>
      </xdr:nvSpPr>
      <xdr:spPr>
        <a:xfrm>
          <a:off x="6143625"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38" name="37 Rectángulo redondeado"/>
        <xdr:cNvSpPr/>
      </xdr:nvSpPr>
      <xdr:spPr>
        <a:xfrm>
          <a:off x="6151245"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39" name="38 Rectángulo redondeado"/>
        <xdr:cNvSpPr/>
      </xdr:nvSpPr>
      <xdr:spPr>
        <a:xfrm>
          <a:off x="6395085"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40" name="39 Rectángulo redondeado"/>
        <xdr:cNvSpPr/>
      </xdr:nvSpPr>
      <xdr:spPr>
        <a:xfrm>
          <a:off x="6621780"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41" name="40 Rectángulo redondeado"/>
        <xdr:cNvSpPr/>
      </xdr:nvSpPr>
      <xdr:spPr>
        <a:xfrm>
          <a:off x="614362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42" name="41 Rectángulo redondeado"/>
        <xdr:cNvSpPr/>
      </xdr:nvSpPr>
      <xdr:spPr>
        <a:xfrm>
          <a:off x="702945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43" name="42 Rectángulo redondeado"/>
        <xdr:cNvSpPr/>
      </xdr:nvSpPr>
      <xdr:spPr>
        <a:xfrm>
          <a:off x="703707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44" name="43 Rectángulo redondeado"/>
        <xdr:cNvSpPr/>
      </xdr:nvSpPr>
      <xdr:spPr>
        <a:xfrm>
          <a:off x="615124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45" name="44 Rectángulo redondeado"/>
        <xdr:cNvSpPr/>
      </xdr:nvSpPr>
      <xdr:spPr>
        <a:xfrm>
          <a:off x="6143625"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46" name="45 Rectángulo redondeado"/>
        <xdr:cNvSpPr/>
      </xdr:nvSpPr>
      <xdr:spPr>
        <a:xfrm>
          <a:off x="6151245"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47" name="46 Rectángulo redondeado"/>
        <xdr:cNvSpPr/>
      </xdr:nvSpPr>
      <xdr:spPr>
        <a:xfrm>
          <a:off x="6395085"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48" name="47 Rectángulo redondeado"/>
        <xdr:cNvSpPr/>
      </xdr:nvSpPr>
      <xdr:spPr>
        <a:xfrm>
          <a:off x="6621780"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49" name="48 Rectángulo redondeado"/>
        <xdr:cNvSpPr/>
      </xdr:nvSpPr>
      <xdr:spPr>
        <a:xfrm>
          <a:off x="614362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50" name="49 Rectángulo redondeado"/>
        <xdr:cNvSpPr/>
      </xdr:nvSpPr>
      <xdr:spPr>
        <a:xfrm>
          <a:off x="702945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51" name="50 Rectángulo redondeado"/>
        <xdr:cNvSpPr/>
      </xdr:nvSpPr>
      <xdr:spPr>
        <a:xfrm>
          <a:off x="703707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52" name="51 Rectángulo redondeado"/>
        <xdr:cNvSpPr/>
      </xdr:nvSpPr>
      <xdr:spPr>
        <a:xfrm>
          <a:off x="615124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53" name="52 Rectángulo redondeado"/>
        <xdr:cNvSpPr/>
      </xdr:nvSpPr>
      <xdr:spPr>
        <a:xfrm>
          <a:off x="6143625"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54" name="53 Rectángulo redondeado"/>
        <xdr:cNvSpPr/>
      </xdr:nvSpPr>
      <xdr:spPr>
        <a:xfrm>
          <a:off x="6151245"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55" name="54 Rectángulo redondeado"/>
        <xdr:cNvSpPr/>
      </xdr:nvSpPr>
      <xdr:spPr>
        <a:xfrm>
          <a:off x="6395085"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56" name="55 Rectángulo redondeado"/>
        <xdr:cNvSpPr/>
      </xdr:nvSpPr>
      <xdr:spPr>
        <a:xfrm>
          <a:off x="6621780"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57" name="56 Rectángulo redondeado"/>
        <xdr:cNvSpPr/>
      </xdr:nvSpPr>
      <xdr:spPr>
        <a:xfrm>
          <a:off x="614362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58" name="57 Rectángulo redondeado"/>
        <xdr:cNvSpPr/>
      </xdr:nvSpPr>
      <xdr:spPr>
        <a:xfrm>
          <a:off x="702945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59" name="58 Rectángulo redondeado"/>
        <xdr:cNvSpPr/>
      </xdr:nvSpPr>
      <xdr:spPr>
        <a:xfrm>
          <a:off x="703707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60" name="59 Rectángulo redondeado"/>
        <xdr:cNvSpPr/>
      </xdr:nvSpPr>
      <xdr:spPr>
        <a:xfrm>
          <a:off x="615124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61" name="60 Rectángulo redondeado"/>
        <xdr:cNvSpPr/>
      </xdr:nvSpPr>
      <xdr:spPr>
        <a:xfrm>
          <a:off x="6143625"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62" name="61 Rectángulo redondeado"/>
        <xdr:cNvSpPr/>
      </xdr:nvSpPr>
      <xdr:spPr>
        <a:xfrm>
          <a:off x="6151245"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63" name="62 Rectángulo redondeado"/>
        <xdr:cNvSpPr/>
      </xdr:nvSpPr>
      <xdr:spPr>
        <a:xfrm>
          <a:off x="6395085"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64" name="63 Rectángulo redondeado"/>
        <xdr:cNvSpPr/>
      </xdr:nvSpPr>
      <xdr:spPr>
        <a:xfrm>
          <a:off x="6621780"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65" name="64 Rectángulo redondeado"/>
        <xdr:cNvSpPr/>
      </xdr:nvSpPr>
      <xdr:spPr>
        <a:xfrm>
          <a:off x="614362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66" name="65 Rectángulo redondeado"/>
        <xdr:cNvSpPr/>
      </xdr:nvSpPr>
      <xdr:spPr>
        <a:xfrm>
          <a:off x="702945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67" name="66 Rectángulo redondeado"/>
        <xdr:cNvSpPr/>
      </xdr:nvSpPr>
      <xdr:spPr>
        <a:xfrm>
          <a:off x="703707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editAs="oneCell">
    <xdr:from>
      <xdr:col>5</xdr:col>
      <xdr:colOff>704850</xdr:colOff>
      <xdr:row>52</xdr:row>
      <xdr:rowOff>85725</xdr:rowOff>
    </xdr:from>
    <xdr:to>
      <xdr:col>6</xdr:col>
      <xdr:colOff>800100</xdr:colOff>
      <xdr:row>54</xdr:row>
      <xdr:rowOff>390525</xdr:rowOff>
    </xdr:to>
    <xdr:pic>
      <xdr:nvPicPr>
        <xdr:cNvPr id="799658" name="1 Imagen"/>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15054" t="9671" r="14072" b="14764"/>
        <a:stretch>
          <a:fillRect/>
        </a:stretch>
      </xdr:blipFill>
      <xdr:spPr bwMode="auto">
        <a:xfrm>
          <a:off x="4724400" y="9448800"/>
          <a:ext cx="857250" cy="1219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619125</xdr:colOff>
      <xdr:row>52</xdr:row>
      <xdr:rowOff>47625</xdr:rowOff>
    </xdr:from>
    <xdr:to>
      <xdr:col>4</xdr:col>
      <xdr:colOff>695325</xdr:colOff>
      <xdr:row>54</xdr:row>
      <xdr:rowOff>400050</xdr:rowOff>
    </xdr:to>
    <xdr:pic>
      <xdr:nvPicPr>
        <xdr:cNvPr id="799659" name="34 Imagen"/>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l="13841" t="3027" r="13898" b="15155"/>
        <a:stretch>
          <a:fillRect/>
        </a:stretch>
      </xdr:blipFill>
      <xdr:spPr bwMode="auto">
        <a:xfrm>
          <a:off x="3114675" y="9410700"/>
          <a:ext cx="83820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114300</xdr:colOff>
      <xdr:row>0</xdr:row>
      <xdr:rowOff>95250</xdr:rowOff>
    </xdr:from>
    <xdr:to>
      <xdr:col>1</xdr:col>
      <xdr:colOff>1428750</xdr:colOff>
      <xdr:row>0</xdr:row>
      <xdr:rowOff>876300</xdr:rowOff>
    </xdr:to>
    <xdr:pic>
      <xdr:nvPicPr>
        <xdr:cNvPr id="799660" name="69 Imagen"/>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14325" y="95250"/>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304800</xdr:colOff>
      <xdr:row>0</xdr:row>
      <xdr:rowOff>28575</xdr:rowOff>
    </xdr:from>
    <xdr:to>
      <xdr:col>7</xdr:col>
      <xdr:colOff>257175</xdr:colOff>
      <xdr:row>0</xdr:row>
      <xdr:rowOff>2238375</xdr:rowOff>
    </xdr:to>
    <xdr:pic>
      <xdr:nvPicPr>
        <xdr:cNvPr id="799766" name="5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124075" y="28575"/>
          <a:ext cx="3752850" cy="2209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85725</xdr:colOff>
      <xdr:row>1</xdr:row>
      <xdr:rowOff>85725</xdr:rowOff>
    </xdr:from>
    <xdr:to>
      <xdr:col>10</xdr:col>
      <xdr:colOff>647700</xdr:colOff>
      <xdr:row>23</xdr:row>
      <xdr:rowOff>85725</xdr:rowOff>
    </xdr:to>
    <xdr:graphicFrame macro="">
      <xdr:nvGraphicFramePr>
        <xdr:cNvPr id="711852" name="1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152400</xdr:colOff>
      <xdr:row>0</xdr:row>
      <xdr:rowOff>142875</xdr:rowOff>
    </xdr:from>
    <xdr:to>
      <xdr:col>1</xdr:col>
      <xdr:colOff>704850</xdr:colOff>
      <xdr:row>0</xdr:row>
      <xdr:rowOff>923925</xdr:rowOff>
    </xdr:to>
    <xdr:pic>
      <xdr:nvPicPr>
        <xdr:cNvPr id="711853" name="3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2400" y="142875"/>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161925</xdr:colOff>
      <xdr:row>0</xdr:row>
      <xdr:rowOff>47625</xdr:rowOff>
    </xdr:from>
    <xdr:to>
      <xdr:col>1</xdr:col>
      <xdr:colOff>714375</xdr:colOff>
      <xdr:row>0</xdr:row>
      <xdr:rowOff>828675</xdr:rowOff>
    </xdr:to>
    <xdr:pic>
      <xdr:nvPicPr>
        <xdr:cNvPr id="789524" name="2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1925" y="47625"/>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104775</xdr:colOff>
      <xdr:row>0</xdr:row>
      <xdr:rowOff>0</xdr:rowOff>
    </xdr:from>
    <xdr:to>
      <xdr:col>2</xdr:col>
      <xdr:colOff>133350</xdr:colOff>
      <xdr:row>0</xdr:row>
      <xdr:rowOff>762000</xdr:rowOff>
    </xdr:to>
    <xdr:pic>
      <xdr:nvPicPr>
        <xdr:cNvPr id="713836" name="4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0"/>
          <a:ext cx="1276350" cy="762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1504950</xdr:colOff>
      <xdr:row>0</xdr:row>
      <xdr:rowOff>885825</xdr:rowOff>
    </xdr:to>
    <xdr:pic>
      <xdr:nvPicPr>
        <xdr:cNvPr id="797710" name="3 Imagen"/>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 y="38100"/>
          <a:ext cx="146685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161925</xdr:colOff>
      <xdr:row>0</xdr:row>
      <xdr:rowOff>57150</xdr:rowOff>
    </xdr:from>
    <xdr:to>
      <xdr:col>3</xdr:col>
      <xdr:colOff>152400</xdr:colOff>
      <xdr:row>0</xdr:row>
      <xdr:rowOff>323850</xdr:rowOff>
    </xdr:to>
    <xdr:pic>
      <xdr:nvPicPr>
        <xdr:cNvPr id="2" name="1 Imagen"/>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1925" y="57150"/>
          <a:ext cx="1666875"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38100</xdr:rowOff>
    </xdr:from>
    <xdr:to>
      <xdr:col>2</xdr:col>
      <xdr:colOff>419100</xdr:colOff>
      <xdr:row>1</xdr:row>
      <xdr:rowOff>419100</xdr:rowOff>
    </xdr:to>
    <xdr:pic>
      <xdr:nvPicPr>
        <xdr:cNvPr id="4" name="1 Imagen"/>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8100"/>
          <a:ext cx="1666875" cy="838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352425</xdr:colOff>
      <xdr:row>0</xdr:row>
      <xdr:rowOff>161924</xdr:rowOff>
    </xdr:from>
    <xdr:to>
      <xdr:col>4</xdr:col>
      <xdr:colOff>352425</xdr:colOff>
      <xdr:row>1</xdr:row>
      <xdr:rowOff>304799</xdr:rowOff>
    </xdr:to>
    <xdr:pic>
      <xdr:nvPicPr>
        <xdr:cNvPr id="5" name="2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028825" y="161924"/>
          <a:ext cx="676275" cy="600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666750</xdr:colOff>
      <xdr:row>0</xdr:row>
      <xdr:rowOff>171450</xdr:rowOff>
    </xdr:from>
    <xdr:to>
      <xdr:col>3</xdr:col>
      <xdr:colOff>476250</xdr:colOff>
      <xdr:row>3</xdr:row>
      <xdr:rowOff>0</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0" y="171450"/>
          <a:ext cx="2095500" cy="39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mercedes-benz.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62"/>
  <sheetViews>
    <sheetView topLeftCell="A4" zoomScaleNormal="100" workbookViewId="0">
      <selection activeCell="G54" sqref="G54:I54"/>
    </sheetView>
  </sheetViews>
  <sheetFormatPr baseColWidth="10" defaultRowHeight="12.75" x14ac:dyDescent="0.2"/>
  <cols>
    <col min="1" max="1" width="23.85546875" style="54" customWidth="1"/>
    <col min="2" max="8" width="7.42578125" style="54" customWidth="1"/>
    <col min="9" max="9" width="11.5703125" style="54" customWidth="1"/>
    <col min="10" max="16384" width="11.42578125" style="54"/>
  </cols>
  <sheetData>
    <row r="1" spans="1:11" ht="63.75" customHeight="1" x14ac:dyDescent="0.2">
      <c r="A1" s="53"/>
      <c r="B1" s="236" t="s">
        <v>86</v>
      </c>
      <c r="C1" s="236"/>
      <c r="D1" s="236"/>
      <c r="E1" s="236"/>
      <c r="F1" s="236"/>
      <c r="G1" s="236"/>
      <c r="H1" s="237" t="s">
        <v>100</v>
      </c>
      <c r="I1" s="237"/>
    </row>
    <row r="2" spans="1:11" x14ac:dyDescent="0.2">
      <c r="A2" s="234" t="s">
        <v>85</v>
      </c>
      <c r="B2" s="234"/>
      <c r="C2" s="234"/>
      <c r="D2" s="234"/>
      <c r="E2" s="234"/>
      <c r="F2" s="234"/>
      <c r="G2" s="234"/>
      <c r="H2" s="234"/>
      <c r="I2" s="234"/>
    </row>
    <row r="3" spans="1:11" ht="14.25" x14ac:dyDescent="0.2">
      <c r="A3" s="8" t="s">
        <v>14</v>
      </c>
      <c r="B3" s="238">
        <f>'Orden de Pedido'!B12</f>
        <v>0</v>
      </c>
      <c r="C3" s="239"/>
      <c r="D3" s="239"/>
      <c r="E3" s="239"/>
      <c r="F3" s="239"/>
      <c r="G3" s="239"/>
      <c r="H3" s="239"/>
      <c r="I3" s="240"/>
    </row>
    <row r="4" spans="1:11" x14ac:dyDescent="0.2">
      <c r="A4" s="8" t="s">
        <v>15</v>
      </c>
      <c r="B4" s="218">
        <f>'Orden de Pedido'!B13</f>
        <v>0</v>
      </c>
      <c r="C4" s="219"/>
      <c r="D4" s="219"/>
      <c r="E4" s="219"/>
      <c r="F4" s="219"/>
      <c r="G4" s="219"/>
      <c r="H4" s="219"/>
      <c r="I4" s="220"/>
    </row>
    <row r="5" spans="1:11" x14ac:dyDescent="0.2">
      <c r="A5" s="8" t="s">
        <v>16</v>
      </c>
      <c r="B5" s="221">
        <f>'Orden de Pedido'!B14</f>
        <v>0</v>
      </c>
      <c r="C5" s="222"/>
      <c r="D5" s="222"/>
      <c r="E5" s="222"/>
      <c r="F5" s="222"/>
      <c r="G5" s="222"/>
      <c r="H5" s="222"/>
      <c r="I5" s="222"/>
    </row>
    <row r="6" spans="1:11" x14ac:dyDescent="0.2">
      <c r="A6" s="8" t="s">
        <v>17</v>
      </c>
      <c r="B6" s="223">
        <f>'Orden de Pedido'!B15:H15</f>
        <v>0</v>
      </c>
      <c r="C6" s="231"/>
      <c r="D6" s="231"/>
      <c r="E6" s="231"/>
      <c r="F6" s="231"/>
      <c r="G6" s="231"/>
      <c r="H6" s="231"/>
      <c r="I6" s="231"/>
    </row>
    <row r="7" spans="1:11" x14ac:dyDescent="0.2">
      <c r="A7" s="43" t="s">
        <v>18</v>
      </c>
      <c r="B7" s="232">
        <f>'Orden de Pedido'!B16:H16</f>
        <v>0</v>
      </c>
      <c r="C7" s="233"/>
      <c r="D7" s="233"/>
      <c r="E7" s="233"/>
      <c r="F7" s="233"/>
      <c r="G7" s="233"/>
      <c r="H7" s="233"/>
      <c r="I7" s="233"/>
      <c r="K7" s="55"/>
    </row>
    <row r="8" spans="1:11" x14ac:dyDescent="0.2">
      <c r="A8" s="234" t="s">
        <v>19</v>
      </c>
      <c r="B8" s="234"/>
      <c r="C8" s="234"/>
      <c r="D8" s="234"/>
      <c r="E8" s="234"/>
      <c r="F8" s="234"/>
      <c r="G8" s="234"/>
      <c r="H8" s="234"/>
      <c r="I8" s="234"/>
      <c r="K8" s="55"/>
    </row>
    <row r="9" spans="1:11" ht="14.25" x14ac:dyDescent="0.2">
      <c r="A9" s="8" t="s">
        <v>14</v>
      </c>
      <c r="B9" s="235">
        <f>'Orden de Pedido'!G18</f>
        <v>0</v>
      </c>
      <c r="C9" s="222"/>
      <c r="D9" s="222"/>
      <c r="E9" s="222"/>
      <c r="F9" s="222"/>
      <c r="G9" s="222"/>
      <c r="H9" s="222"/>
      <c r="I9" s="222"/>
    </row>
    <row r="10" spans="1:11" x14ac:dyDescent="0.2">
      <c r="A10" s="8" t="s">
        <v>15</v>
      </c>
      <c r="B10" s="218">
        <f>'Orden de Pedido'!G19</f>
        <v>0</v>
      </c>
      <c r="C10" s="219"/>
      <c r="D10" s="219"/>
      <c r="E10" s="219"/>
      <c r="F10" s="219"/>
      <c r="G10" s="219"/>
      <c r="H10" s="219"/>
      <c r="I10" s="220"/>
    </row>
    <row r="11" spans="1:11" x14ac:dyDescent="0.2">
      <c r="A11" s="8" t="s">
        <v>16</v>
      </c>
      <c r="B11" s="221">
        <f>'Orden de Pedido'!G20</f>
        <v>0</v>
      </c>
      <c r="C11" s="222"/>
      <c r="D11" s="222"/>
      <c r="E11" s="222"/>
      <c r="F11" s="222"/>
      <c r="G11" s="222"/>
      <c r="H11" s="222"/>
      <c r="I11" s="222"/>
    </row>
    <row r="12" spans="1:11" x14ac:dyDescent="0.2">
      <c r="A12" s="8" t="s">
        <v>17</v>
      </c>
      <c r="B12" s="223">
        <f>'Orden de Pedido'!G21</f>
        <v>0</v>
      </c>
      <c r="C12" s="224"/>
      <c r="D12" s="224"/>
      <c r="E12" s="224"/>
      <c r="F12" s="224"/>
      <c r="G12" s="224"/>
      <c r="H12" s="224"/>
      <c r="I12" s="224"/>
    </row>
    <row r="13" spans="1:11" x14ac:dyDescent="0.2">
      <c r="A13" s="225" t="s">
        <v>20</v>
      </c>
      <c r="B13" s="225"/>
      <c r="C13" s="225"/>
      <c r="D13" s="225"/>
      <c r="E13" s="225"/>
      <c r="F13" s="225"/>
      <c r="G13" s="225"/>
      <c r="H13" s="225"/>
      <c r="I13" s="225"/>
    </row>
    <row r="14" spans="1:11" ht="50.25" customHeight="1" x14ac:dyDescent="0.2">
      <c r="A14" s="226">
        <f>'Orden de Pedido'!$A$28</f>
        <v>0</v>
      </c>
      <c r="B14" s="227"/>
      <c r="C14" s="227"/>
      <c r="D14" s="227"/>
      <c r="E14" s="227"/>
      <c r="F14" s="227"/>
      <c r="G14" s="227"/>
      <c r="H14" s="227"/>
      <c r="I14" s="227"/>
    </row>
    <row r="15" spans="1:11" x14ac:dyDescent="0.2">
      <c r="A15" s="228" t="s">
        <v>21</v>
      </c>
      <c r="B15" s="228"/>
      <c r="C15" s="228"/>
      <c r="D15" s="228"/>
      <c r="E15" s="228"/>
      <c r="F15" s="228"/>
      <c r="G15" s="228"/>
      <c r="H15" s="228"/>
      <c r="I15" s="228"/>
    </row>
    <row r="16" spans="1:11" x14ac:dyDescent="0.2">
      <c r="A16" s="8" t="s">
        <v>22</v>
      </c>
      <c r="B16" s="214" t="s">
        <v>144</v>
      </c>
      <c r="C16" s="214"/>
      <c r="D16" s="214"/>
      <c r="E16" s="214"/>
      <c r="F16" s="214"/>
      <c r="G16" s="214"/>
      <c r="H16" s="214"/>
      <c r="I16" s="214"/>
    </row>
    <row r="17" spans="1:9" x14ac:dyDescent="0.2">
      <c r="A17" s="8" t="s">
        <v>23</v>
      </c>
      <c r="B17" s="214" t="s">
        <v>145</v>
      </c>
      <c r="C17" s="214"/>
      <c r="D17" s="214"/>
      <c r="E17" s="214"/>
      <c r="F17" s="214"/>
      <c r="G17" s="214"/>
      <c r="H17" s="214"/>
      <c r="I17" s="214"/>
    </row>
    <row r="18" spans="1:9" x14ac:dyDescent="0.2">
      <c r="A18" s="8" t="s">
        <v>24</v>
      </c>
      <c r="B18" s="214" t="s">
        <v>146</v>
      </c>
      <c r="C18" s="214"/>
      <c r="D18" s="214"/>
      <c r="E18" s="214"/>
      <c r="F18" s="214"/>
      <c r="G18" s="214"/>
      <c r="H18" s="214"/>
      <c r="I18" s="214"/>
    </row>
    <row r="19" spans="1:9" x14ac:dyDescent="0.2">
      <c r="A19" s="8" t="s">
        <v>25</v>
      </c>
      <c r="B19" s="229" t="s">
        <v>147</v>
      </c>
      <c r="C19" s="230"/>
      <c r="D19" s="230"/>
      <c r="E19" s="230"/>
      <c r="F19" s="230"/>
      <c r="G19" s="230"/>
      <c r="H19" s="230"/>
      <c r="I19" s="230"/>
    </row>
    <row r="20" spans="1:9" x14ac:dyDescent="0.2">
      <c r="A20" s="8" t="s">
        <v>14</v>
      </c>
      <c r="B20" s="214" t="s">
        <v>148</v>
      </c>
      <c r="C20" s="214"/>
      <c r="D20" s="214"/>
      <c r="E20" s="214"/>
      <c r="F20" s="214"/>
      <c r="G20" s="214"/>
      <c r="H20" s="214"/>
      <c r="I20" s="214"/>
    </row>
    <row r="21" spans="1:9" x14ac:dyDescent="0.2">
      <c r="A21" s="8" t="s">
        <v>15</v>
      </c>
      <c r="B21" s="214" t="s">
        <v>149</v>
      </c>
      <c r="C21" s="214"/>
      <c r="D21" s="214"/>
      <c r="E21" s="214"/>
      <c r="F21" s="214"/>
      <c r="G21" s="214"/>
      <c r="H21" s="214"/>
      <c r="I21" s="214"/>
    </row>
    <row r="22" spans="1:9" x14ac:dyDescent="0.2">
      <c r="A22" s="41" t="s">
        <v>16</v>
      </c>
      <c r="B22" s="214"/>
      <c r="C22" s="214"/>
      <c r="D22" s="214"/>
      <c r="E22" s="214"/>
      <c r="F22" s="214"/>
      <c r="G22" s="214"/>
      <c r="H22" s="214"/>
      <c r="I22" s="214"/>
    </row>
    <row r="23" spans="1:9" x14ac:dyDescent="0.2">
      <c r="A23" s="41" t="s">
        <v>17</v>
      </c>
      <c r="B23" s="213"/>
      <c r="C23" s="213"/>
      <c r="D23" s="213"/>
      <c r="E23" s="213"/>
      <c r="F23" s="213"/>
      <c r="G23" s="213"/>
      <c r="H23" s="213"/>
      <c r="I23" s="213"/>
    </row>
    <row r="24" spans="1:9" x14ac:dyDescent="0.2">
      <c r="A24" s="8" t="s">
        <v>26</v>
      </c>
      <c r="B24" s="209"/>
      <c r="C24" s="209"/>
      <c r="D24" s="209"/>
      <c r="E24" s="209"/>
      <c r="F24" s="209"/>
      <c r="G24" s="209"/>
      <c r="H24" s="209"/>
      <c r="I24" s="209"/>
    </row>
    <row r="25" spans="1:9" x14ac:dyDescent="0.2">
      <c r="A25" s="8" t="s">
        <v>27</v>
      </c>
      <c r="B25" s="210"/>
      <c r="C25" s="211"/>
      <c r="D25" s="211"/>
      <c r="E25" s="211"/>
      <c r="F25" s="211"/>
      <c r="G25" s="211"/>
      <c r="H25" s="211"/>
      <c r="I25" s="212"/>
    </row>
    <row r="26" spans="1:9" x14ac:dyDescent="0.2">
      <c r="A26" s="41" t="s">
        <v>28</v>
      </c>
      <c r="B26" s="213"/>
      <c r="C26" s="213"/>
      <c r="D26" s="213"/>
      <c r="E26" s="213"/>
      <c r="F26" s="213"/>
      <c r="G26" s="213"/>
      <c r="H26" s="213"/>
      <c r="I26" s="213"/>
    </row>
    <row r="27" spans="1:9" x14ac:dyDescent="0.2">
      <c r="A27" s="41" t="s">
        <v>29</v>
      </c>
      <c r="B27" s="214"/>
      <c r="C27" s="214"/>
      <c r="D27" s="214"/>
      <c r="E27" s="214"/>
      <c r="F27" s="214"/>
      <c r="G27" s="214"/>
      <c r="H27" s="214"/>
      <c r="I27" s="214"/>
    </row>
    <row r="28" spans="1:9" ht="36.75" customHeight="1" x14ac:dyDescent="0.2">
      <c r="A28" s="42" t="s">
        <v>30</v>
      </c>
      <c r="B28" s="215" t="s">
        <v>150</v>
      </c>
      <c r="C28" s="216"/>
      <c r="D28" s="216"/>
      <c r="E28" s="216"/>
      <c r="F28" s="216"/>
      <c r="G28" s="216"/>
      <c r="H28" s="216"/>
      <c r="I28" s="217"/>
    </row>
    <row r="29" spans="1:9" x14ac:dyDescent="0.2">
      <c r="A29" s="41" t="s">
        <v>31</v>
      </c>
      <c r="B29" s="173" t="s">
        <v>32</v>
      </c>
      <c r="C29" s="174"/>
      <c r="D29" s="174"/>
      <c r="E29" s="174"/>
      <c r="F29" s="174"/>
      <c r="G29" s="174"/>
      <c r="H29" s="174"/>
      <c r="I29" s="175"/>
    </row>
    <row r="30" spans="1:9" x14ac:dyDescent="0.2">
      <c r="A30" s="42" t="s">
        <v>33</v>
      </c>
      <c r="B30" s="176" t="s">
        <v>34</v>
      </c>
      <c r="C30" s="176"/>
      <c r="D30" s="176"/>
      <c r="E30" s="176"/>
      <c r="F30" s="176"/>
      <c r="G30" s="176"/>
      <c r="H30" s="176"/>
      <c r="I30" s="176"/>
    </row>
    <row r="31" spans="1:9" ht="15" customHeight="1" x14ac:dyDescent="0.2">
      <c r="A31" s="177" t="s">
        <v>35</v>
      </c>
      <c r="B31" s="178"/>
      <c r="C31" s="178"/>
      <c r="D31" s="178"/>
      <c r="E31" s="178"/>
      <c r="F31" s="178"/>
      <c r="G31" s="178"/>
      <c r="H31" s="178"/>
      <c r="I31" s="179"/>
    </row>
    <row r="32" spans="1:9" x14ac:dyDescent="0.2">
      <c r="A32" s="180"/>
      <c r="B32" s="181"/>
      <c r="C32" s="181"/>
      <c r="D32" s="181"/>
      <c r="E32" s="181"/>
      <c r="F32" s="181"/>
      <c r="G32" s="181"/>
      <c r="H32" s="181"/>
      <c r="I32" s="182"/>
    </row>
    <row r="33" spans="1:9" x14ac:dyDescent="0.2">
      <c r="A33" s="180"/>
      <c r="B33" s="181"/>
      <c r="C33" s="181"/>
      <c r="D33" s="181"/>
      <c r="E33" s="181"/>
      <c r="F33" s="181"/>
      <c r="G33" s="181"/>
      <c r="H33" s="181"/>
      <c r="I33" s="182"/>
    </row>
    <row r="34" spans="1:9" x14ac:dyDescent="0.2">
      <c r="A34" s="180"/>
      <c r="B34" s="181"/>
      <c r="C34" s="181"/>
      <c r="D34" s="181"/>
      <c r="E34" s="181"/>
      <c r="F34" s="181"/>
      <c r="G34" s="181"/>
      <c r="H34" s="181"/>
      <c r="I34" s="182"/>
    </row>
    <row r="35" spans="1:9" x14ac:dyDescent="0.2">
      <c r="A35" s="180"/>
      <c r="B35" s="181"/>
      <c r="C35" s="181"/>
      <c r="D35" s="181"/>
      <c r="E35" s="181"/>
      <c r="F35" s="181"/>
      <c r="G35" s="181"/>
      <c r="H35" s="181"/>
      <c r="I35" s="182"/>
    </row>
    <row r="36" spans="1:9" x14ac:dyDescent="0.2">
      <c r="A36" s="180"/>
      <c r="B36" s="181"/>
      <c r="C36" s="181"/>
      <c r="D36" s="181"/>
      <c r="E36" s="181"/>
      <c r="F36" s="181"/>
      <c r="G36" s="181"/>
      <c r="H36" s="181"/>
      <c r="I36" s="182"/>
    </row>
    <row r="37" spans="1:9" x14ac:dyDescent="0.2">
      <c r="A37" s="180"/>
      <c r="B37" s="181"/>
      <c r="C37" s="181"/>
      <c r="D37" s="181"/>
      <c r="E37" s="181"/>
      <c r="F37" s="181"/>
      <c r="G37" s="181"/>
      <c r="H37" s="181"/>
      <c r="I37" s="182"/>
    </row>
    <row r="38" spans="1:9" x14ac:dyDescent="0.2">
      <c r="A38" s="180"/>
      <c r="B38" s="181"/>
      <c r="C38" s="181"/>
      <c r="D38" s="181"/>
      <c r="E38" s="181"/>
      <c r="F38" s="181"/>
      <c r="G38" s="181"/>
      <c r="H38" s="181"/>
      <c r="I38" s="182"/>
    </row>
    <row r="39" spans="1:9" x14ac:dyDescent="0.2">
      <c r="A39" s="180"/>
      <c r="B39" s="181"/>
      <c r="C39" s="181"/>
      <c r="D39" s="181"/>
      <c r="E39" s="181"/>
      <c r="F39" s="181"/>
      <c r="G39" s="181"/>
      <c r="H39" s="181"/>
      <c r="I39" s="182"/>
    </row>
    <row r="40" spans="1:9" x14ac:dyDescent="0.2">
      <c r="A40" s="180"/>
      <c r="B40" s="181"/>
      <c r="C40" s="181"/>
      <c r="D40" s="181"/>
      <c r="E40" s="181"/>
      <c r="F40" s="181"/>
      <c r="G40" s="181"/>
      <c r="H40" s="181"/>
      <c r="I40" s="182"/>
    </row>
    <row r="41" spans="1:9" x14ac:dyDescent="0.2">
      <c r="A41" s="180"/>
      <c r="B41" s="181"/>
      <c r="C41" s="181"/>
      <c r="D41" s="181"/>
      <c r="E41" s="181"/>
      <c r="F41" s="181"/>
      <c r="G41" s="181"/>
      <c r="H41" s="181"/>
      <c r="I41" s="182"/>
    </row>
    <row r="42" spans="1:9" ht="24.75" customHeight="1" thickBot="1" x14ac:dyDescent="0.25">
      <c r="A42" s="183"/>
      <c r="B42" s="184"/>
      <c r="C42" s="184"/>
      <c r="D42" s="184"/>
      <c r="E42" s="184"/>
      <c r="F42" s="184"/>
      <c r="G42" s="184"/>
      <c r="H42" s="184"/>
      <c r="I42" s="185"/>
    </row>
    <row r="43" spans="1:9" x14ac:dyDescent="0.2">
      <c r="A43" s="186"/>
      <c r="B43" s="187"/>
      <c r="C43" s="187"/>
      <c r="D43" s="188"/>
      <c r="E43" s="186"/>
      <c r="F43" s="187"/>
      <c r="G43" s="187"/>
      <c r="H43" s="187"/>
      <c r="I43" s="188"/>
    </row>
    <row r="44" spans="1:9" x14ac:dyDescent="0.2">
      <c r="A44" s="189"/>
      <c r="B44" s="190"/>
      <c r="C44" s="190"/>
      <c r="D44" s="191"/>
      <c r="E44" s="189"/>
      <c r="F44" s="190"/>
      <c r="G44" s="190"/>
      <c r="H44" s="190"/>
      <c r="I44" s="191"/>
    </row>
    <row r="45" spans="1:9" x14ac:dyDescent="0.2">
      <c r="A45" s="189"/>
      <c r="B45" s="190"/>
      <c r="C45" s="190"/>
      <c r="D45" s="191"/>
      <c r="E45" s="189"/>
      <c r="F45" s="190"/>
      <c r="G45" s="190"/>
      <c r="H45" s="190"/>
      <c r="I45" s="191"/>
    </row>
    <row r="46" spans="1:9" x14ac:dyDescent="0.2">
      <c r="A46" s="189"/>
      <c r="B46" s="190"/>
      <c r="C46" s="190"/>
      <c r="D46" s="191"/>
      <c r="E46" s="189"/>
      <c r="F46" s="190"/>
      <c r="G46" s="190"/>
      <c r="H46" s="190"/>
      <c r="I46" s="191"/>
    </row>
    <row r="47" spans="1:9" x14ac:dyDescent="0.2">
      <c r="A47" s="189"/>
      <c r="B47" s="190"/>
      <c r="C47" s="190"/>
      <c r="D47" s="191"/>
      <c r="E47" s="189"/>
      <c r="F47" s="190"/>
      <c r="G47" s="190"/>
      <c r="H47" s="190"/>
      <c r="I47" s="191"/>
    </row>
    <row r="48" spans="1:9" x14ac:dyDescent="0.2">
      <c r="A48" s="189"/>
      <c r="B48" s="190"/>
      <c r="C48" s="190"/>
      <c r="D48" s="191"/>
      <c r="E48" s="189"/>
      <c r="F48" s="190"/>
      <c r="G48" s="190"/>
      <c r="H48" s="190"/>
      <c r="I48" s="191"/>
    </row>
    <row r="49" spans="1:9" x14ac:dyDescent="0.2">
      <c r="A49" s="189"/>
      <c r="B49" s="190"/>
      <c r="C49" s="190"/>
      <c r="D49" s="191"/>
      <c r="E49" s="189"/>
      <c r="F49" s="190"/>
      <c r="G49" s="190"/>
      <c r="H49" s="190"/>
      <c r="I49" s="191"/>
    </row>
    <row r="50" spans="1:9" x14ac:dyDescent="0.2">
      <c r="A50" s="189"/>
      <c r="B50" s="190"/>
      <c r="C50" s="190"/>
      <c r="D50" s="191"/>
      <c r="E50" s="203" t="s">
        <v>101</v>
      </c>
      <c r="F50" s="204"/>
      <c r="G50" s="204"/>
      <c r="H50" s="204"/>
      <c r="I50" s="205"/>
    </row>
    <row r="51" spans="1:9" x14ac:dyDescent="0.2">
      <c r="A51" s="192"/>
      <c r="B51" s="193"/>
      <c r="C51" s="193"/>
      <c r="D51" s="194"/>
      <c r="E51" s="206"/>
      <c r="F51" s="207"/>
      <c r="G51" s="207"/>
      <c r="H51" s="207"/>
      <c r="I51" s="208"/>
    </row>
    <row r="52" spans="1:9" ht="12.75" customHeight="1" x14ac:dyDescent="0.2">
      <c r="A52" s="195" t="s">
        <v>36</v>
      </c>
      <c r="B52" s="196"/>
      <c r="C52" s="196"/>
      <c r="D52" s="197"/>
      <c r="E52" s="198" t="s">
        <v>87</v>
      </c>
      <c r="F52" s="199"/>
      <c r="G52" s="200">
        <f>'Orden de Pedido'!$G$18</f>
        <v>0</v>
      </c>
      <c r="H52" s="201"/>
      <c r="I52" s="202"/>
    </row>
    <row r="53" spans="1:9" ht="12.75" customHeight="1" x14ac:dyDescent="0.2">
      <c r="A53" s="157" t="s">
        <v>37</v>
      </c>
      <c r="B53" s="158"/>
      <c r="C53" s="158"/>
      <c r="D53" s="159"/>
      <c r="E53" s="163" t="s">
        <v>38</v>
      </c>
      <c r="F53" s="164"/>
      <c r="G53" s="165">
        <f>'Orden de Pedido'!$G$19</f>
        <v>0</v>
      </c>
      <c r="H53" s="166"/>
      <c r="I53" s="167"/>
    </row>
    <row r="54" spans="1:9" ht="13.5" thickBot="1" x14ac:dyDescent="0.25">
      <c r="A54" s="160"/>
      <c r="B54" s="161"/>
      <c r="C54" s="161"/>
      <c r="D54" s="162"/>
      <c r="E54" s="168" t="s">
        <v>39</v>
      </c>
      <c r="F54" s="169"/>
      <c r="G54" s="170">
        <f>'Orden de Pedido'!$B$16</f>
        <v>0</v>
      </c>
      <c r="H54" s="171"/>
      <c r="I54" s="172"/>
    </row>
    <row r="60" spans="1:9" x14ac:dyDescent="0.2">
      <c r="A60" s="156"/>
      <c r="B60" s="156"/>
      <c r="C60" s="156"/>
      <c r="D60" s="156"/>
      <c r="E60" s="156"/>
      <c r="F60" s="156"/>
    </row>
    <row r="61" spans="1:9" x14ac:dyDescent="0.2">
      <c r="A61" s="155"/>
      <c r="B61" s="155"/>
      <c r="C61" s="155"/>
      <c r="D61" s="155"/>
      <c r="E61" s="155"/>
      <c r="F61" s="155"/>
    </row>
    <row r="62" spans="1:9" x14ac:dyDescent="0.2">
      <c r="A62" s="156"/>
      <c r="B62" s="156"/>
      <c r="C62" s="156"/>
      <c r="D62" s="156"/>
      <c r="E62" s="156"/>
      <c r="F62" s="156"/>
    </row>
  </sheetData>
  <protectedRanges>
    <protectedRange sqref="B3:I7 A14 B29:B30 B9:I12" name="Rango1"/>
    <protectedRange sqref="G52:I54 E43" name="Rango1_1"/>
    <protectedRange sqref="B16:I27" name="Rango1_2"/>
  </protectedRanges>
  <mergeCells count="46">
    <mergeCell ref="B1:G1"/>
    <mergeCell ref="H1:I1"/>
    <mergeCell ref="A2:I2"/>
    <mergeCell ref="B3:I3"/>
    <mergeCell ref="B4:I4"/>
    <mergeCell ref="B5:I5"/>
    <mergeCell ref="B6:I6"/>
    <mergeCell ref="B7:I7"/>
    <mergeCell ref="A8:I8"/>
    <mergeCell ref="B9:I9"/>
    <mergeCell ref="B10:I10"/>
    <mergeCell ref="B11:I11"/>
    <mergeCell ref="B23:I23"/>
    <mergeCell ref="B12:I12"/>
    <mergeCell ref="A13:I13"/>
    <mergeCell ref="A14:I14"/>
    <mergeCell ref="A15:I15"/>
    <mergeCell ref="B16:I16"/>
    <mergeCell ref="B17:I17"/>
    <mergeCell ref="B18:I18"/>
    <mergeCell ref="B19:I19"/>
    <mergeCell ref="B20:I20"/>
    <mergeCell ref="B21:I21"/>
    <mergeCell ref="B22:I22"/>
    <mergeCell ref="B24:I24"/>
    <mergeCell ref="B25:I25"/>
    <mergeCell ref="B26:I26"/>
    <mergeCell ref="B27:I27"/>
    <mergeCell ref="B28:I28"/>
    <mergeCell ref="B29:I29"/>
    <mergeCell ref="B30:I30"/>
    <mergeCell ref="A31:I42"/>
    <mergeCell ref="A43:D51"/>
    <mergeCell ref="A52:D52"/>
    <mergeCell ref="E52:F52"/>
    <mergeCell ref="G52:I52"/>
    <mergeCell ref="E43:I49"/>
    <mergeCell ref="E50:I51"/>
    <mergeCell ref="A61:F61"/>
    <mergeCell ref="A62:F62"/>
    <mergeCell ref="A53:D54"/>
    <mergeCell ref="E53:F53"/>
    <mergeCell ref="G53:I53"/>
    <mergeCell ref="E54:F54"/>
    <mergeCell ref="G54:I54"/>
    <mergeCell ref="A60:F60"/>
  </mergeCells>
  <hyperlinks>
    <hyperlink ref="B19" r:id="rId1"/>
  </hyperlinks>
  <printOptions horizontalCentered="1" verticalCentered="1"/>
  <pageMargins left="0.70866141732283472" right="0.70866141732283472" top="0.74803149606299213" bottom="0.74803149606299213" header="0.31496062992125984" footer="0.31496062992125984"/>
  <pageSetup paperSize="9" scale="82" orientation="portrait" r:id="rId2"/>
  <headerFooter>
    <oddFooter xml:space="preserve">&amp;L Empresa inscrita en el registro mercantil de Álava, T.1246, F.134, Vi-11448&amp;Rwww.cpavitoria06.com   
info@cpavitoria06.com      
</oddFooter>
  </headerFooter>
  <rowBreaks count="1" manualBreakCount="1">
    <brk id="54" max="16383" man="1"/>
  </rowBreaks>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C000"/>
  </sheetPr>
  <dimension ref="A1:H42"/>
  <sheetViews>
    <sheetView showGridLines="0" topLeftCell="A28" zoomScaleNormal="100" workbookViewId="0">
      <selection activeCell="B7" sqref="B7:E10"/>
    </sheetView>
  </sheetViews>
  <sheetFormatPr baseColWidth="10" defaultRowHeight="12.75" x14ac:dyDescent="0.2"/>
  <cols>
    <col min="1" max="1" width="22.85546875" style="63" customWidth="1"/>
    <col min="2" max="4" width="11.5703125" style="64" customWidth="1"/>
    <col min="5" max="5" width="13.7109375" style="64" customWidth="1"/>
    <col min="6" max="6" width="11.5703125" style="64" customWidth="1"/>
    <col min="7" max="7" width="11" style="64" customWidth="1"/>
    <col min="8" max="8" width="11.42578125" style="64" bestFit="1" customWidth="1"/>
    <col min="9" max="16384" width="11.42578125" style="54"/>
  </cols>
  <sheetData>
    <row r="1" spans="1:8" s="7" customFormat="1" ht="72.75" customHeight="1" x14ac:dyDescent="0.2">
      <c r="A1" s="44"/>
      <c r="B1" s="353" t="s">
        <v>88</v>
      </c>
      <c r="C1" s="353"/>
      <c r="D1" s="353"/>
      <c r="E1" s="353"/>
      <c r="F1" s="353"/>
      <c r="G1" s="354" t="s">
        <v>102</v>
      </c>
      <c r="H1" s="354"/>
    </row>
    <row r="2" spans="1:8" ht="18.600000000000001" customHeight="1" x14ac:dyDescent="0.2">
      <c r="A2" s="9" t="s">
        <v>40</v>
      </c>
      <c r="B2" s="255"/>
      <c r="C2" s="255"/>
      <c r="D2" s="347" t="s">
        <v>41</v>
      </c>
      <c r="E2" s="348"/>
      <c r="F2" s="355"/>
      <c r="G2" s="356"/>
      <c r="H2" s="357"/>
    </row>
    <row r="3" spans="1:8" ht="18.600000000000001" customHeight="1" x14ac:dyDescent="0.2">
      <c r="A3" s="9" t="s">
        <v>42</v>
      </c>
      <c r="B3" s="349"/>
      <c r="C3" s="349"/>
      <c r="D3" s="10"/>
      <c r="E3" s="11"/>
      <c r="F3" s="350" t="s">
        <v>44</v>
      </c>
      <c r="G3" s="351"/>
      <c r="H3" s="352"/>
    </row>
    <row r="4" spans="1:8" ht="18.600000000000001" customHeight="1" x14ac:dyDescent="0.2">
      <c r="A4" s="9" t="s">
        <v>45</v>
      </c>
      <c r="B4" s="337"/>
      <c r="C4" s="337"/>
      <c r="D4" s="12"/>
      <c r="E4" s="13"/>
      <c r="F4" s="338"/>
      <c r="G4" s="339"/>
      <c r="H4" s="339"/>
    </row>
    <row r="5" spans="1:8" x14ac:dyDescent="0.2">
      <c r="A5" s="340" t="s">
        <v>48</v>
      </c>
      <c r="B5" s="342"/>
      <c r="C5" s="342"/>
      <c r="D5" s="342"/>
      <c r="E5" s="343"/>
      <c r="F5" s="344" t="s">
        <v>49</v>
      </c>
      <c r="G5" s="344"/>
      <c r="H5" s="344"/>
    </row>
    <row r="6" spans="1:8" ht="16.5" customHeight="1" x14ac:dyDescent="0.2">
      <c r="A6" s="341"/>
      <c r="B6" s="342"/>
      <c r="C6" s="342"/>
      <c r="D6" s="342"/>
      <c r="E6" s="343"/>
      <c r="F6" s="345" t="s">
        <v>50</v>
      </c>
      <c r="G6" s="346"/>
      <c r="H6" s="14" t="s">
        <v>51</v>
      </c>
    </row>
    <row r="7" spans="1:8" x14ac:dyDescent="0.2">
      <c r="A7" s="325" t="s">
        <v>52</v>
      </c>
      <c r="B7" s="328"/>
      <c r="C7" s="329"/>
      <c r="D7" s="329"/>
      <c r="E7" s="330"/>
      <c r="F7" s="15" t="s">
        <v>53</v>
      </c>
      <c r="G7" s="16"/>
      <c r="H7" s="56"/>
    </row>
    <row r="8" spans="1:8" x14ac:dyDescent="0.2">
      <c r="A8" s="326"/>
      <c r="B8" s="331"/>
      <c r="C8" s="332"/>
      <c r="D8" s="332"/>
      <c r="E8" s="333"/>
      <c r="F8" s="15" t="s">
        <v>54</v>
      </c>
      <c r="G8" s="16"/>
      <c r="H8" s="56"/>
    </row>
    <row r="9" spans="1:8" x14ac:dyDescent="0.2">
      <c r="A9" s="326"/>
      <c r="B9" s="331"/>
      <c r="C9" s="332"/>
      <c r="D9" s="332"/>
      <c r="E9" s="333"/>
      <c r="F9" s="15" t="s">
        <v>55</v>
      </c>
      <c r="G9" s="18"/>
      <c r="H9" s="14"/>
    </row>
    <row r="10" spans="1:8" x14ac:dyDescent="0.2">
      <c r="A10" s="327"/>
      <c r="B10" s="334"/>
      <c r="C10" s="335"/>
      <c r="D10" s="335"/>
      <c r="E10" s="336"/>
      <c r="F10" s="20" t="s">
        <v>56</v>
      </c>
      <c r="G10" s="21"/>
      <c r="H10" s="57"/>
    </row>
    <row r="11" spans="1:8" ht="18.600000000000001" customHeight="1" x14ac:dyDescent="0.2">
      <c r="A11" s="316" t="s">
        <v>83</v>
      </c>
      <c r="B11" s="317"/>
      <c r="C11" s="317"/>
      <c r="D11" s="317"/>
      <c r="E11" s="317"/>
      <c r="F11" s="317"/>
      <c r="G11" s="317"/>
      <c r="H11" s="318"/>
    </row>
    <row r="12" spans="1:8" ht="19.149999999999999" customHeight="1" x14ac:dyDescent="0.2">
      <c r="A12" s="23" t="s">
        <v>57</v>
      </c>
      <c r="B12" s="319"/>
      <c r="C12" s="320"/>
      <c r="D12" s="320"/>
      <c r="E12" s="320"/>
      <c r="F12" s="320"/>
      <c r="G12" s="320"/>
      <c r="H12" s="321"/>
    </row>
    <row r="13" spans="1:8" ht="19.149999999999999" customHeight="1" x14ac:dyDescent="0.2">
      <c r="A13" s="24" t="s">
        <v>38</v>
      </c>
      <c r="B13" s="322"/>
      <c r="C13" s="323"/>
      <c r="D13" s="323"/>
      <c r="E13" s="323"/>
      <c r="F13" s="323"/>
      <c r="G13" s="323"/>
      <c r="H13" s="324"/>
    </row>
    <row r="14" spans="1:8" ht="19.149999999999999" customHeight="1" x14ac:dyDescent="0.2">
      <c r="A14" s="24" t="s">
        <v>58</v>
      </c>
      <c r="B14" s="322"/>
      <c r="C14" s="323"/>
      <c r="D14" s="323"/>
      <c r="E14" s="323"/>
      <c r="F14" s="323"/>
      <c r="G14" s="323"/>
      <c r="H14" s="324"/>
    </row>
    <row r="15" spans="1:8" ht="19.149999999999999" customHeight="1" x14ac:dyDescent="0.2">
      <c r="A15" s="24" t="s">
        <v>59</v>
      </c>
      <c r="B15" s="301"/>
      <c r="C15" s="302"/>
      <c r="D15" s="302"/>
      <c r="E15" s="302"/>
      <c r="F15" s="302"/>
      <c r="G15" s="302"/>
      <c r="H15" s="303"/>
    </row>
    <row r="16" spans="1:8" ht="19.149999999999999" customHeight="1" x14ac:dyDescent="0.2">
      <c r="A16" s="25" t="s">
        <v>60</v>
      </c>
      <c r="B16" s="304"/>
      <c r="C16" s="305"/>
      <c r="D16" s="305"/>
      <c r="E16" s="305"/>
      <c r="F16" s="305"/>
      <c r="G16" s="305"/>
      <c r="H16" s="306"/>
    </row>
    <row r="17" spans="1:8" ht="18.600000000000001" customHeight="1" x14ac:dyDescent="0.2">
      <c r="A17" s="307" t="s">
        <v>84</v>
      </c>
      <c r="B17" s="308"/>
      <c r="C17" s="308"/>
      <c r="D17" s="308"/>
      <c r="E17" s="308"/>
      <c r="F17" s="308"/>
      <c r="G17" s="308"/>
      <c r="H17" s="309"/>
    </row>
    <row r="18" spans="1:8" ht="18.600000000000001" customHeight="1" x14ac:dyDescent="0.2">
      <c r="A18" s="26" t="s">
        <v>61</v>
      </c>
      <c r="B18" s="310"/>
      <c r="C18" s="311"/>
      <c r="D18" s="312"/>
      <c r="E18" s="313" t="s">
        <v>57</v>
      </c>
      <c r="F18" s="314"/>
      <c r="G18" s="315"/>
      <c r="H18" s="312"/>
    </row>
    <row r="19" spans="1:8" ht="18.600000000000001" customHeight="1" x14ac:dyDescent="0.2">
      <c r="A19" s="24" t="s">
        <v>62</v>
      </c>
      <c r="B19" s="293"/>
      <c r="C19" s="294"/>
      <c r="D19" s="295"/>
      <c r="E19" s="296" t="s">
        <v>38</v>
      </c>
      <c r="F19" s="297"/>
      <c r="G19" s="298"/>
      <c r="H19" s="299"/>
    </row>
    <row r="20" spans="1:8" ht="18.600000000000001" customHeight="1" x14ac:dyDescent="0.2">
      <c r="A20" s="24" t="s">
        <v>63</v>
      </c>
      <c r="B20" s="286"/>
      <c r="C20" s="287"/>
      <c r="D20" s="288"/>
      <c r="E20" s="296" t="s">
        <v>58</v>
      </c>
      <c r="F20" s="297"/>
      <c r="G20" s="298"/>
      <c r="H20" s="300"/>
    </row>
    <row r="21" spans="1:8" ht="18.600000000000001" customHeight="1" x14ac:dyDescent="0.2">
      <c r="A21" s="24" t="s">
        <v>64</v>
      </c>
      <c r="B21" s="286"/>
      <c r="C21" s="287"/>
      <c r="D21" s="288"/>
      <c r="E21" s="289" t="s">
        <v>59</v>
      </c>
      <c r="F21" s="290"/>
      <c r="G21" s="291"/>
      <c r="H21" s="292"/>
    </row>
    <row r="22" spans="1:8" ht="18.600000000000001" customHeight="1" x14ac:dyDescent="0.2">
      <c r="A22" s="27" t="s">
        <v>65</v>
      </c>
      <c r="B22" s="286"/>
      <c r="C22" s="287"/>
      <c r="D22" s="288"/>
      <c r="E22" s="28"/>
      <c r="F22" s="28"/>
      <c r="G22" s="28"/>
      <c r="H22" s="29"/>
    </row>
    <row r="23" spans="1:8" ht="18.600000000000001" customHeight="1" x14ac:dyDescent="0.2">
      <c r="A23" s="24" t="s">
        <v>66</v>
      </c>
      <c r="B23" s="271"/>
      <c r="C23" s="272"/>
      <c r="D23" s="273"/>
      <c r="E23" s="28"/>
      <c r="F23" s="28"/>
      <c r="G23" s="28"/>
      <c r="H23" s="29"/>
    </row>
    <row r="24" spans="1:8" ht="18.600000000000001" customHeight="1" x14ac:dyDescent="0.2">
      <c r="A24" s="24" t="s">
        <v>67</v>
      </c>
      <c r="B24" s="271"/>
      <c r="C24" s="272"/>
      <c r="D24" s="273"/>
      <c r="E24" s="30"/>
      <c r="F24" s="28"/>
      <c r="G24" s="28"/>
      <c r="H24" s="29"/>
    </row>
    <row r="25" spans="1:8" ht="18.600000000000001" customHeight="1" x14ac:dyDescent="0.2">
      <c r="A25" s="31" t="s">
        <v>68</v>
      </c>
      <c r="B25" s="274"/>
      <c r="C25" s="275"/>
      <c r="D25" s="276"/>
      <c r="E25" s="32"/>
      <c r="F25" s="33"/>
      <c r="G25" s="33"/>
      <c r="H25" s="34"/>
    </row>
    <row r="26" spans="1:8" ht="18.600000000000001" customHeight="1" x14ac:dyDescent="0.2">
      <c r="A26" s="277" t="s">
        <v>69</v>
      </c>
      <c r="B26" s="278"/>
      <c r="C26" s="278"/>
      <c r="D26" s="278"/>
      <c r="E26" s="278"/>
      <c r="F26" s="278"/>
      <c r="G26" s="278"/>
      <c r="H26" s="279"/>
    </row>
    <row r="27" spans="1:8" ht="18.600000000000001" customHeight="1" x14ac:dyDescent="0.2">
      <c r="A27" s="280" t="s">
        <v>70</v>
      </c>
      <c r="B27" s="281"/>
      <c r="C27" s="281"/>
      <c r="D27" s="281"/>
      <c r="E27" s="281"/>
      <c r="F27" s="282"/>
      <c r="G27" s="35" t="s">
        <v>13</v>
      </c>
      <c r="H27" s="38" t="s">
        <v>81</v>
      </c>
    </row>
    <row r="28" spans="1:8" ht="36" customHeight="1" x14ac:dyDescent="0.2">
      <c r="A28" s="283"/>
      <c r="B28" s="284"/>
      <c r="C28" s="284"/>
      <c r="D28" s="284"/>
      <c r="E28" s="284"/>
      <c r="F28" s="285"/>
      <c r="G28" s="144">
        <f>$B$16</f>
        <v>0</v>
      </c>
      <c r="H28" s="36">
        <f>$B$12</f>
        <v>0</v>
      </c>
    </row>
    <row r="29" spans="1:8" ht="36" customHeight="1" x14ac:dyDescent="0.2">
      <c r="A29" s="257"/>
      <c r="B29" s="258"/>
      <c r="C29" s="258"/>
      <c r="D29" s="258"/>
      <c r="E29" s="258"/>
      <c r="F29" s="259"/>
      <c r="G29" s="58"/>
      <c r="H29" s="37"/>
    </row>
    <row r="30" spans="1:8" ht="36" customHeight="1" x14ac:dyDescent="0.2">
      <c r="A30" s="257"/>
      <c r="B30" s="258"/>
      <c r="C30" s="258"/>
      <c r="D30" s="258"/>
      <c r="E30" s="258"/>
      <c r="F30" s="259"/>
      <c r="G30" s="58"/>
      <c r="H30" s="59"/>
    </row>
    <row r="31" spans="1:8" ht="36" customHeight="1" x14ac:dyDescent="0.2">
      <c r="A31" s="257"/>
      <c r="B31" s="258"/>
      <c r="C31" s="258"/>
      <c r="D31" s="258"/>
      <c r="E31" s="258"/>
      <c r="F31" s="259"/>
      <c r="G31" s="60"/>
      <c r="H31" s="59"/>
    </row>
    <row r="32" spans="1:8" ht="36" customHeight="1" x14ac:dyDescent="0.2">
      <c r="A32" s="262"/>
      <c r="B32" s="263"/>
      <c r="C32" s="263"/>
      <c r="D32" s="263"/>
      <c r="E32" s="263"/>
      <c r="F32" s="264"/>
      <c r="G32" s="61"/>
      <c r="H32" s="62"/>
    </row>
    <row r="33" spans="1:8" ht="15.75" x14ac:dyDescent="0.2">
      <c r="A33" s="268" t="s">
        <v>71</v>
      </c>
      <c r="B33" s="269"/>
      <c r="C33" s="269"/>
      <c r="D33" s="270"/>
      <c r="E33" s="265" t="s">
        <v>72</v>
      </c>
      <c r="F33" s="266"/>
      <c r="G33" s="266"/>
      <c r="H33" s="267"/>
    </row>
    <row r="34" spans="1:8" ht="16.899999999999999" customHeight="1" x14ac:dyDescent="0.2">
      <c r="A34" s="251" t="s">
        <v>73</v>
      </c>
      <c r="B34" s="251"/>
      <c r="C34" s="78"/>
      <c r="D34" s="252"/>
      <c r="E34" s="241" t="s">
        <v>74</v>
      </c>
      <c r="F34" s="244" t="s">
        <v>103</v>
      </c>
      <c r="G34" s="244"/>
      <c r="H34" s="79"/>
    </row>
    <row r="35" spans="1:8" ht="16.899999999999999" customHeight="1" x14ac:dyDescent="0.2">
      <c r="A35" s="251" t="s">
        <v>75</v>
      </c>
      <c r="B35" s="251"/>
      <c r="C35" s="78"/>
      <c r="D35" s="253"/>
      <c r="E35" s="242"/>
      <c r="F35" s="244" t="s">
        <v>104</v>
      </c>
      <c r="G35" s="244"/>
      <c r="H35" s="79"/>
    </row>
    <row r="36" spans="1:8" ht="16.899999999999999" customHeight="1" x14ac:dyDescent="0.2">
      <c r="A36" s="251" t="s">
        <v>76</v>
      </c>
      <c r="B36" s="251"/>
      <c r="C36" s="80"/>
      <c r="D36" s="253"/>
      <c r="E36" s="242"/>
      <c r="F36" s="244" t="s">
        <v>105</v>
      </c>
      <c r="G36" s="244"/>
      <c r="H36" s="79"/>
    </row>
    <row r="37" spans="1:8" ht="16.899999999999999" customHeight="1" x14ac:dyDescent="0.2">
      <c r="A37" s="251" t="s">
        <v>77</v>
      </c>
      <c r="B37" s="251"/>
      <c r="C37" s="80"/>
      <c r="D37" s="253"/>
      <c r="E37" s="242"/>
      <c r="F37" s="247" t="s">
        <v>106</v>
      </c>
      <c r="G37" s="248"/>
      <c r="H37" s="260"/>
    </row>
    <row r="38" spans="1:8" ht="16.899999999999999" customHeight="1" x14ac:dyDescent="0.2">
      <c r="A38" s="251" t="s">
        <v>78</v>
      </c>
      <c r="B38" s="251"/>
      <c r="C38" s="80"/>
      <c r="D38" s="254"/>
      <c r="E38" s="243"/>
      <c r="F38" s="249"/>
      <c r="G38" s="250"/>
      <c r="H38" s="261"/>
    </row>
    <row r="39" spans="1:8" x14ac:dyDescent="0.2">
      <c r="A39" s="245" t="s">
        <v>82</v>
      </c>
      <c r="B39" s="245"/>
      <c r="C39" s="245" t="s">
        <v>79</v>
      </c>
      <c r="D39" s="246"/>
      <c r="E39" s="246"/>
      <c r="F39" s="245" t="s">
        <v>80</v>
      </c>
      <c r="G39" s="245"/>
      <c r="H39" s="245"/>
    </row>
    <row r="40" spans="1:8" x14ac:dyDescent="0.2">
      <c r="A40" s="245"/>
      <c r="B40" s="245"/>
      <c r="C40" s="246"/>
      <c r="D40" s="246"/>
      <c r="E40" s="246"/>
      <c r="F40" s="245"/>
      <c r="G40" s="245"/>
      <c r="H40" s="245"/>
    </row>
    <row r="41" spans="1:8" x14ac:dyDescent="0.2">
      <c r="A41" s="255">
        <f>B12</f>
        <v>0</v>
      </c>
      <c r="B41" s="256"/>
      <c r="C41" s="255">
        <f>G18</f>
        <v>0</v>
      </c>
      <c r="D41" s="256"/>
      <c r="E41" s="256"/>
      <c r="F41" s="256">
        <f>F4</f>
        <v>0</v>
      </c>
      <c r="G41" s="256"/>
      <c r="H41" s="256"/>
    </row>
    <row r="42" spans="1:8" ht="24.75" customHeight="1" x14ac:dyDescent="0.2">
      <c r="A42" s="256"/>
      <c r="B42" s="256"/>
      <c r="C42" s="256"/>
      <c r="D42" s="256"/>
      <c r="E42" s="256"/>
      <c r="F42" s="256"/>
      <c r="G42" s="256"/>
      <c r="H42" s="256"/>
    </row>
  </sheetData>
  <protectedRanges>
    <protectedRange sqref="B2:C4 D3:E4 F7 B7 B5 A28:H32" name="Rango1"/>
    <protectedRange sqref="G7:H10" name="Rango1_1"/>
    <protectedRange sqref="H2 F4" name="Rango1_2"/>
    <protectedRange sqref="B12:H16" name="Rango1_3"/>
    <protectedRange sqref="G18:H21" name="Rango1_5"/>
    <protectedRange sqref="A41 C36 C34 F41 C41 B35 B37:B38 F34:F38" name="Rango1_6"/>
    <protectedRange sqref="B20:D24 B25" name="Rango1_7"/>
    <protectedRange sqref="B18:D19" name="Rango1_4_1"/>
  </protectedRanges>
  <mergeCells count="65">
    <mergeCell ref="B2:C2"/>
    <mergeCell ref="D2:E2"/>
    <mergeCell ref="B3:C3"/>
    <mergeCell ref="F3:H3"/>
    <mergeCell ref="B1:F1"/>
    <mergeCell ref="G1:H1"/>
    <mergeCell ref="F2:H2"/>
    <mergeCell ref="B4:C4"/>
    <mergeCell ref="F4:H4"/>
    <mergeCell ref="A5:A6"/>
    <mergeCell ref="B5:E6"/>
    <mergeCell ref="F5:H5"/>
    <mergeCell ref="F6:G6"/>
    <mergeCell ref="A11:H11"/>
    <mergeCell ref="B12:H12"/>
    <mergeCell ref="B13:H13"/>
    <mergeCell ref="B14:H14"/>
    <mergeCell ref="A7:A10"/>
    <mergeCell ref="B7:E10"/>
    <mergeCell ref="B15:H15"/>
    <mergeCell ref="B16:H16"/>
    <mergeCell ref="A17:H17"/>
    <mergeCell ref="B18:D18"/>
    <mergeCell ref="E18:F18"/>
    <mergeCell ref="G18:H18"/>
    <mergeCell ref="B19:D19"/>
    <mergeCell ref="E19:F19"/>
    <mergeCell ref="G19:H19"/>
    <mergeCell ref="B20:D20"/>
    <mergeCell ref="E20:F20"/>
    <mergeCell ref="G20:H20"/>
    <mergeCell ref="B21:D21"/>
    <mergeCell ref="E21:F21"/>
    <mergeCell ref="G21:H21"/>
    <mergeCell ref="B22:D22"/>
    <mergeCell ref="B23:D23"/>
    <mergeCell ref="B24:D24"/>
    <mergeCell ref="B25:D25"/>
    <mergeCell ref="A26:H26"/>
    <mergeCell ref="A27:F27"/>
    <mergeCell ref="A28:F28"/>
    <mergeCell ref="A41:B42"/>
    <mergeCell ref="C41:E42"/>
    <mergeCell ref="F41:H42"/>
    <mergeCell ref="A29:F29"/>
    <mergeCell ref="A30:F30"/>
    <mergeCell ref="H37:H38"/>
    <mergeCell ref="A31:F31"/>
    <mergeCell ref="A32:F32"/>
    <mergeCell ref="E33:H33"/>
    <mergeCell ref="A33:D33"/>
    <mergeCell ref="A34:B34"/>
    <mergeCell ref="A35:B35"/>
    <mergeCell ref="F35:G35"/>
    <mergeCell ref="A36:B36"/>
    <mergeCell ref="F36:G36"/>
    <mergeCell ref="A37:B37"/>
    <mergeCell ref="E34:E38"/>
    <mergeCell ref="F34:G34"/>
    <mergeCell ref="A39:B40"/>
    <mergeCell ref="C39:E40"/>
    <mergeCell ref="F39:H40"/>
    <mergeCell ref="F37:G38"/>
    <mergeCell ref="A38:B38"/>
    <mergeCell ref="D34:D38"/>
  </mergeCells>
  <printOptions horizontalCentered="1" verticalCentered="1"/>
  <pageMargins left="0.70866141732283472" right="0.70866141732283472" top="0.74803149606299213" bottom="0.74803149606299213" header="0.31496062992125984" footer="0.31496062992125984"/>
  <pageSetup paperSize="9" scale="80" orientation="portrait" r:id="rId1"/>
  <headerFooter>
    <oddFooter xml:space="preserve">&amp;L Empresa inscrita en el registro mercantil de Álava, T.1246, F.134, Vi-11448&amp;Rwww.cpavitoria06.com   
info@cpavitoria06.com   </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59"/>
  <sheetViews>
    <sheetView topLeftCell="B13" zoomScaleNormal="100" workbookViewId="0">
      <selection activeCell="D23" sqref="D23:G25"/>
    </sheetView>
  </sheetViews>
  <sheetFormatPr baseColWidth="10" defaultRowHeight="12.75" x14ac:dyDescent="0.2"/>
  <cols>
    <col min="1" max="1" width="3" style="47" customWidth="1"/>
    <col min="2" max="2" width="23" customWidth="1"/>
    <col min="3" max="3" width="11.42578125" customWidth="1"/>
    <col min="7" max="7" width="19.85546875" customWidth="1"/>
    <col min="8" max="9" width="10.5703125" customWidth="1"/>
    <col min="10" max="10" width="16" customWidth="1"/>
  </cols>
  <sheetData>
    <row r="1" spans="1:9" ht="70.5" customHeight="1" x14ac:dyDescent="0.2">
      <c r="B1" s="48"/>
      <c r="C1" s="396" t="s">
        <v>93</v>
      </c>
      <c r="D1" s="396"/>
      <c r="E1" s="396"/>
      <c r="F1" s="396"/>
      <c r="G1" s="396"/>
      <c r="H1" s="255" t="s">
        <v>107</v>
      </c>
      <c r="I1" s="255"/>
    </row>
    <row r="2" spans="1:9" s="51" customFormat="1" ht="20.25" customHeight="1" x14ac:dyDescent="0.2">
      <c r="A2" s="52"/>
      <c r="B2" s="9" t="s">
        <v>40</v>
      </c>
      <c r="C2" s="255">
        <f>'Orden de Pedido'!B2</f>
        <v>0</v>
      </c>
      <c r="D2" s="256"/>
      <c r="E2" s="347" t="s">
        <v>41</v>
      </c>
      <c r="F2" s="348"/>
      <c r="G2" s="399"/>
      <c r="H2" s="400"/>
      <c r="I2" s="401"/>
    </row>
    <row r="3" spans="1:9" s="51" customFormat="1" ht="20.25" customHeight="1" x14ac:dyDescent="0.2">
      <c r="A3" s="52"/>
      <c r="B3" s="9" t="s">
        <v>42</v>
      </c>
      <c r="C3" s="403">
        <f>'Orden de Pedido'!B3</f>
        <v>0</v>
      </c>
      <c r="D3" s="403"/>
      <c r="E3" s="132">
        <f>'Orden de Pedido'!D3</f>
        <v>0</v>
      </c>
      <c r="F3" s="11" t="s">
        <v>43</v>
      </c>
      <c r="G3" s="76" t="s">
        <v>44</v>
      </c>
      <c r="H3" s="342">
        <f>'Orden de Pedido'!F4</f>
        <v>0</v>
      </c>
      <c r="I3" s="397"/>
    </row>
    <row r="4" spans="1:9" s="5" customFormat="1" ht="20.25" customHeight="1" x14ac:dyDescent="0.2">
      <c r="A4" s="47"/>
      <c r="B4" s="9" t="s">
        <v>45</v>
      </c>
      <c r="C4" s="402">
        <f>'Orden de Pedido'!B4</f>
        <v>0</v>
      </c>
      <c r="D4" s="402"/>
      <c r="E4" s="12" t="s">
        <v>46</v>
      </c>
      <c r="F4" s="13" t="s">
        <v>47</v>
      </c>
      <c r="G4" s="74" t="s">
        <v>108</v>
      </c>
      <c r="H4" s="398"/>
      <c r="I4" s="398"/>
    </row>
    <row r="5" spans="1:9" s="5" customFormat="1" x14ac:dyDescent="0.2">
      <c r="A5" s="47"/>
      <c r="B5" s="340" t="s">
        <v>48</v>
      </c>
      <c r="C5" s="342">
        <f>'Orden de Pedido'!B5</f>
        <v>0</v>
      </c>
      <c r="D5" s="407"/>
      <c r="E5" s="407"/>
      <c r="F5" s="408"/>
      <c r="G5" s="344" t="s">
        <v>49</v>
      </c>
      <c r="H5" s="344"/>
      <c r="I5" s="344"/>
    </row>
    <row r="6" spans="1:9" ht="15" customHeight="1" x14ac:dyDescent="0.2">
      <c r="B6" s="341"/>
      <c r="C6" s="407"/>
      <c r="D6" s="407"/>
      <c r="E6" s="407"/>
      <c r="F6" s="408"/>
      <c r="G6" s="345" t="s">
        <v>50</v>
      </c>
      <c r="H6" s="346"/>
      <c r="I6" s="14" t="s">
        <v>51</v>
      </c>
    </row>
    <row r="7" spans="1:9" ht="15" customHeight="1" x14ac:dyDescent="0.2">
      <c r="B7" s="325" t="s">
        <v>52</v>
      </c>
      <c r="C7" s="342">
        <f>'Orden de Pedido'!B7</f>
        <v>0</v>
      </c>
      <c r="D7" s="397"/>
      <c r="E7" s="397"/>
      <c r="F7" s="397"/>
      <c r="G7" s="15" t="s">
        <v>53</v>
      </c>
      <c r="H7" s="16"/>
      <c r="I7" s="17" t="s">
        <v>97</v>
      </c>
    </row>
    <row r="8" spans="1:9" ht="15" customHeight="1" x14ac:dyDescent="0.2">
      <c r="B8" s="326"/>
      <c r="C8" s="397"/>
      <c r="D8" s="397"/>
      <c r="E8" s="397"/>
      <c r="F8" s="397"/>
      <c r="G8" s="15" t="s">
        <v>54</v>
      </c>
      <c r="H8" s="16"/>
      <c r="I8" s="17"/>
    </row>
    <row r="9" spans="1:9" x14ac:dyDescent="0.2">
      <c r="B9" s="326"/>
      <c r="C9" s="397"/>
      <c r="D9" s="397"/>
      <c r="E9" s="397"/>
      <c r="F9" s="397"/>
      <c r="G9" s="15" t="s">
        <v>55</v>
      </c>
      <c r="H9" s="18"/>
      <c r="I9" s="19"/>
    </row>
    <row r="10" spans="1:9" x14ac:dyDescent="0.2">
      <c r="B10" s="327"/>
      <c r="C10" s="397"/>
      <c r="D10" s="397"/>
      <c r="E10" s="397"/>
      <c r="F10" s="397"/>
      <c r="G10" s="20" t="s">
        <v>56</v>
      </c>
      <c r="H10" s="21"/>
      <c r="I10" s="22" t="s">
        <v>97</v>
      </c>
    </row>
    <row r="11" spans="1:9" ht="21" customHeight="1" x14ac:dyDescent="0.2">
      <c r="B11" s="50" t="s">
        <v>96</v>
      </c>
      <c r="C11" s="410">
        <f>C5</f>
        <v>0</v>
      </c>
      <c r="D11" s="411"/>
      <c r="E11" s="411"/>
      <c r="F11" s="411"/>
      <c r="G11" s="411"/>
      <c r="H11" s="411"/>
      <c r="I11" s="411"/>
    </row>
    <row r="12" spans="1:9" ht="21" customHeight="1" x14ac:dyDescent="0.2">
      <c r="B12" s="50" t="s">
        <v>95</v>
      </c>
      <c r="C12" s="409">
        <f>'Orden de Pedido'!B2</f>
        <v>0</v>
      </c>
      <c r="D12" s="409"/>
      <c r="E12" s="409"/>
      <c r="F12" s="409"/>
      <c r="G12" s="409"/>
      <c r="H12" s="409"/>
      <c r="I12" s="409"/>
    </row>
    <row r="13" spans="1:9" x14ac:dyDescent="0.2">
      <c r="B13" s="406" t="s">
        <v>70</v>
      </c>
      <c r="C13" s="406"/>
      <c r="D13" s="406"/>
      <c r="E13" s="406"/>
      <c r="F13" s="406"/>
      <c r="G13" s="406"/>
      <c r="H13" s="406"/>
      <c r="I13" s="406"/>
    </row>
    <row r="14" spans="1:9" ht="66.75" customHeight="1" x14ac:dyDescent="0.2">
      <c r="B14" s="404">
        <f>'Orden de Pedido'!$A$28</f>
        <v>0</v>
      </c>
      <c r="C14" s="405"/>
      <c r="D14" s="405"/>
      <c r="E14" s="405"/>
      <c r="F14" s="405"/>
      <c r="G14" s="405"/>
      <c r="H14" s="405"/>
      <c r="I14" s="405"/>
    </row>
    <row r="15" spans="1:9" ht="18" customHeight="1" x14ac:dyDescent="0.2">
      <c r="A15" s="81" t="s">
        <v>94</v>
      </c>
      <c r="B15" s="393" t="s">
        <v>70</v>
      </c>
      <c r="C15" s="394"/>
      <c r="D15" s="393" t="s">
        <v>109</v>
      </c>
      <c r="E15" s="394"/>
      <c r="F15" s="394"/>
      <c r="G15" s="394"/>
      <c r="H15" s="82" t="s">
        <v>110</v>
      </c>
      <c r="I15" s="83" t="s">
        <v>111</v>
      </c>
    </row>
    <row r="16" spans="1:9" ht="18.75" customHeight="1" x14ac:dyDescent="0.2">
      <c r="A16" s="49">
        <v>1</v>
      </c>
      <c r="B16" s="381" t="s">
        <v>112</v>
      </c>
      <c r="C16" s="395"/>
      <c r="D16" s="381"/>
      <c r="E16" s="382"/>
      <c r="F16" s="382"/>
      <c r="G16" s="382"/>
      <c r="H16" s="77" t="s">
        <v>97</v>
      </c>
      <c r="I16" s="84"/>
    </row>
    <row r="17" spans="1:9" ht="18.75" customHeight="1" x14ac:dyDescent="0.2">
      <c r="A17" s="358">
        <v>2</v>
      </c>
      <c r="B17" s="359" t="s">
        <v>113</v>
      </c>
      <c r="C17" s="360"/>
      <c r="D17" s="381"/>
      <c r="E17" s="382"/>
      <c r="F17" s="382"/>
      <c r="G17" s="382"/>
      <c r="H17" s="256" t="s">
        <v>97</v>
      </c>
      <c r="I17" s="387"/>
    </row>
    <row r="18" spans="1:9" ht="18.75" customHeight="1" x14ac:dyDescent="0.2">
      <c r="A18" s="358"/>
      <c r="B18" s="361"/>
      <c r="C18" s="362"/>
      <c r="D18" s="383"/>
      <c r="E18" s="384"/>
      <c r="F18" s="384"/>
      <c r="G18" s="384"/>
      <c r="H18" s="256"/>
      <c r="I18" s="388"/>
    </row>
    <row r="19" spans="1:9" ht="21" customHeight="1" x14ac:dyDescent="0.2">
      <c r="A19" s="390" t="s">
        <v>114</v>
      </c>
      <c r="B19" s="358" t="s">
        <v>115</v>
      </c>
      <c r="C19" s="358"/>
      <c r="D19" s="256"/>
      <c r="E19" s="256"/>
      <c r="F19" s="256"/>
      <c r="G19" s="256"/>
      <c r="H19" s="77"/>
      <c r="I19" s="77"/>
    </row>
    <row r="20" spans="1:9" ht="21" customHeight="1" x14ac:dyDescent="0.2">
      <c r="A20" s="391"/>
      <c r="B20" s="358" t="s">
        <v>116</v>
      </c>
      <c r="C20" s="358"/>
      <c r="D20" s="256"/>
      <c r="E20" s="256"/>
      <c r="F20" s="256"/>
      <c r="G20" s="256"/>
      <c r="H20" s="77"/>
      <c r="I20" s="77"/>
    </row>
    <row r="21" spans="1:9" ht="21" customHeight="1" x14ac:dyDescent="0.2">
      <c r="A21" s="391"/>
      <c r="B21" s="358" t="s">
        <v>117</v>
      </c>
      <c r="C21" s="358"/>
      <c r="D21" s="256"/>
      <c r="E21" s="256"/>
      <c r="F21" s="256"/>
      <c r="G21" s="256"/>
      <c r="H21" s="77"/>
      <c r="I21" s="77"/>
    </row>
    <row r="22" spans="1:9" ht="21" customHeight="1" x14ac:dyDescent="0.2">
      <c r="A22" s="392"/>
      <c r="B22" s="358" t="s">
        <v>106</v>
      </c>
      <c r="C22" s="358"/>
      <c r="D22" s="256"/>
      <c r="E22" s="256"/>
      <c r="F22" s="256"/>
      <c r="G22" s="256"/>
      <c r="H22" s="77"/>
      <c r="I22" s="75"/>
    </row>
    <row r="23" spans="1:9" ht="27" customHeight="1" x14ac:dyDescent="0.2">
      <c r="A23" s="358">
        <v>3</v>
      </c>
      <c r="B23" s="380" t="s">
        <v>1</v>
      </c>
      <c r="C23" s="360"/>
      <c r="D23" s="381"/>
      <c r="E23" s="382"/>
      <c r="F23" s="382"/>
      <c r="G23" s="382"/>
      <c r="H23" s="256"/>
      <c r="I23" s="387"/>
    </row>
    <row r="24" spans="1:9" ht="27" customHeight="1" x14ac:dyDescent="0.2">
      <c r="A24" s="358"/>
      <c r="B24" s="361"/>
      <c r="C24" s="362"/>
      <c r="D24" s="383"/>
      <c r="E24" s="384"/>
      <c r="F24" s="384"/>
      <c r="G24" s="384"/>
      <c r="H24" s="256"/>
      <c r="I24" s="388"/>
    </row>
    <row r="25" spans="1:9" ht="27" customHeight="1" x14ac:dyDescent="0.2">
      <c r="A25" s="358"/>
      <c r="B25" s="363"/>
      <c r="C25" s="364"/>
      <c r="D25" s="385"/>
      <c r="E25" s="386"/>
      <c r="F25" s="386"/>
      <c r="G25" s="386"/>
      <c r="H25" s="256"/>
      <c r="I25" s="389"/>
    </row>
    <row r="26" spans="1:9" ht="27" customHeight="1" x14ac:dyDescent="0.2">
      <c r="A26" s="154"/>
      <c r="B26" s="380" t="s">
        <v>1</v>
      </c>
      <c r="C26" s="360"/>
      <c r="D26" s="381"/>
      <c r="E26" s="382"/>
      <c r="F26" s="382"/>
      <c r="G26" s="382"/>
      <c r="H26" s="256"/>
      <c r="I26" s="387"/>
    </row>
    <row r="27" spans="1:9" ht="27" customHeight="1" x14ac:dyDescent="0.2">
      <c r="A27" s="154"/>
      <c r="B27" s="361"/>
      <c r="C27" s="362"/>
      <c r="D27" s="383"/>
      <c r="E27" s="384"/>
      <c r="F27" s="384"/>
      <c r="G27" s="384"/>
      <c r="H27" s="256"/>
      <c r="I27" s="388"/>
    </row>
    <row r="28" spans="1:9" ht="27" customHeight="1" x14ac:dyDescent="0.2">
      <c r="A28" s="154"/>
      <c r="B28" s="363"/>
      <c r="C28" s="364"/>
      <c r="D28" s="385"/>
      <c r="E28" s="386"/>
      <c r="F28" s="386"/>
      <c r="G28" s="386"/>
      <c r="H28" s="256"/>
      <c r="I28" s="389"/>
    </row>
    <row r="29" spans="1:9" ht="27" customHeight="1" x14ac:dyDescent="0.2">
      <c r="A29" s="154"/>
      <c r="B29" s="380" t="s">
        <v>1</v>
      </c>
      <c r="C29" s="360"/>
      <c r="D29" s="381"/>
      <c r="E29" s="382"/>
      <c r="F29" s="382"/>
      <c r="G29" s="382"/>
      <c r="H29" s="256"/>
      <c r="I29" s="387"/>
    </row>
    <row r="30" spans="1:9" ht="27" customHeight="1" x14ac:dyDescent="0.2">
      <c r="A30" s="154"/>
      <c r="B30" s="361"/>
      <c r="C30" s="362"/>
      <c r="D30" s="383"/>
      <c r="E30" s="384"/>
      <c r="F30" s="384"/>
      <c r="G30" s="384"/>
      <c r="H30" s="256"/>
      <c r="I30" s="388"/>
    </row>
    <row r="31" spans="1:9" ht="27" customHeight="1" x14ac:dyDescent="0.2">
      <c r="A31" s="154"/>
      <c r="B31" s="363"/>
      <c r="C31" s="364"/>
      <c r="D31" s="385"/>
      <c r="E31" s="386"/>
      <c r="F31" s="386"/>
      <c r="G31" s="386"/>
      <c r="H31" s="256"/>
      <c r="I31" s="389"/>
    </row>
    <row r="32" spans="1:9" ht="27" customHeight="1" x14ac:dyDescent="0.2">
      <c r="A32" s="154"/>
      <c r="B32" s="380" t="s">
        <v>1</v>
      </c>
      <c r="C32" s="360"/>
      <c r="D32" s="381"/>
      <c r="E32" s="382"/>
      <c r="F32" s="382"/>
      <c r="G32" s="382"/>
      <c r="H32" s="256"/>
      <c r="I32" s="387"/>
    </row>
    <row r="33" spans="1:9" ht="27" customHeight="1" x14ac:dyDescent="0.2">
      <c r="A33" s="154"/>
      <c r="B33" s="361"/>
      <c r="C33" s="362"/>
      <c r="D33" s="383"/>
      <c r="E33" s="384"/>
      <c r="F33" s="384"/>
      <c r="G33" s="384"/>
      <c r="H33" s="256"/>
      <c r="I33" s="388"/>
    </row>
    <row r="34" spans="1:9" ht="27" customHeight="1" x14ac:dyDescent="0.2">
      <c r="A34" s="154"/>
      <c r="B34" s="363"/>
      <c r="C34" s="364"/>
      <c r="D34" s="385"/>
      <c r="E34" s="386"/>
      <c r="F34" s="386"/>
      <c r="G34" s="386"/>
      <c r="H34" s="256"/>
      <c r="I34" s="389"/>
    </row>
    <row r="35" spans="1:9" ht="27" customHeight="1" x14ac:dyDescent="0.2">
      <c r="A35" s="154"/>
      <c r="B35" s="380" t="s">
        <v>1</v>
      </c>
      <c r="C35" s="360"/>
      <c r="D35" s="381"/>
      <c r="E35" s="382"/>
      <c r="F35" s="382"/>
      <c r="G35" s="382"/>
      <c r="H35" s="256"/>
      <c r="I35" s="387"/>
    </row>
    <row r="36" spans="1:9" ht="27" customHeight="1" x14ac:dyDescent="0.2">
      <c r="A36" s="154"/>
      <c r="B36" s="361"/>
      <c r="C36" s="362"/>
      <c r="D36" s="383"/>
      <c r="E36" s="384"/>
      <c r="F36" s="384"/>
      <c r="G36" s="384"/>
      <c r="H36" s="256"/>
      <c r="I36" s="388"/>
    </row>
    <row r="37" spans="1:9" ht="27" customHeight="1" x14ac:dyDescent="0.2">
      <c r="A37" s="154"/>
      <c r="B37" s="363"/>
      <c r="C37" s="364"/>
      <c r="D37" s="385"/>
      <c r="E37" s="386"/>
      <c r="F37" s="386"/>
      <c r="G37" s="386"/>
      <c r="H37" s="256"/>
      <c r="I37" s="389"/>
    </row>
    <row r="38" spans="1:9" ht="27" customHeight="1" x14ac:dyDescent="0.2">
      <c r="A38" s="154"/>
      <c r="B38" s="380" t="s">
        <v>1</v>
      </c>
      <c r="C38" s="360"/>
      <c r="D38" s="381"/>
      <c r="E38" s="382"/>
      <c r="F38" s="382"/>
      <c r="G38" s="382"/>
      <c r="H38" s="256"/>
      <c r="I38" s="387"/>
    </row>
    <row r="39" spans="1:9" ht="27" customHeight="1" x14ac:dyDescent="0.2">
      <c r="A39" s="154"/>
      <c r="B39" s="361"/>
      <c r="C39" s="362"/>
      <c r="D39" s="383"/>
      <c r="E39" s="384"/>
      <c r="F39" s="384"/>
      <c r="G39" s="384"/>
      <c r="H39" s="256"/>
      <c r="I39" s="388"/>
    </row>
    <row r="40" spans="1:9" ht="27" customHeight="1" x14ac:dyDescent="0.2">
      <c r="A40" s="154"/>
      <c r="B40" s="363"/>
      <c r="C40" s="364"/>
      <c r="D40" s="385"/>
      <c r="E40" s="386"/>
      <c r="F40" s="386"/>
      <c r="G40" s="386"/>
      <c r="H40" s="256"/>
      <c r="I40" s="389"/>
    </row>
    <row r="41" spans="1:9" ht="27" customHeight="1" x14ac:dyDescent="0.2">
      <c r="A41" s="154"/>
      <c r="B41" s="380" t="s">
        <v>1</v>
      </c>
      <c r="C41" s="360"/>
      <c r="D41" s="381"/>
      <c r="E41" s="382"/>
      <c r="F41" s="382"/>
      <c r="G41" s="382"/>
      <c r="H41" s="256"/>
      <c r="I41" s="387"/>
    </row>
    <row r="42" spans="1:9" ht="27" customHeight="1" x14ac:dyDescent="0.2">
      <c r="A42" s="154"/>
      <c r="B42" s="361"/>
      <c r="C42" s="362"/>
      <c r="D42" s="383"/>
      <c r="E42" s="384"/>
      <c r="F42" s="384"/>
      <c r="G42" s="384"/>
      <c r="H42" s="256"/>
      <c r="I42" s="388"/>
    </row>
    <row r="43" spans="1:9" ht="27" customHeight="1" x14ac:dyDescent="0.2">
      <c r="A43" s="154"/>
      <c r="B43" s="363"/>
      <c r="C43" s="364"/>
      <c r="D43" s="385"/>
      <c r="E43" s="386"/>
      <c r="F43" s="386"/>
      <c r="G43" s="386"/>
      <c r="H43" s="256"/>
      <c r="I43" s="389"/>
    </row>
    <row r="44" spans="1:9" ht="27" customHeight="1" x14ac:dyDescent="0.2">
      <c r="A44" s="154"/>
      <c r="B44" s="380" t="s">
        <v>1</v>
      </c>
      <c r="C44" s="360"/>
      <c r="D44" s="381"/>
      <c r="E44" s="382"/>
      <c r="F44" s="382"/>
      <c r="G44" s="382"/>
      <c r="H44" s="256"/>
      <c r="I44" s="387"/>
    </row>
    <row r="45" spans="1:9" ht="27" customHeight="1" x14ac:dyDescent="0.2">
      <c r="A45" s="154"/>
      <c r="B45" s="361"/>
      <c r="C45" s="362"/>
      <c r="D45" s="383"/>
      <c r="E45" s="384"/>
      <c r="F45" s="384"/>
      <c r="G45" s="384"/>
      <c r="H45" s="256"/>
      <c r="I45" s="388"/>
    </row>
    <row r="46" spans="1:9" ht="27" customHeight="1" x14ac:dyDescent="0.2">
      <c r="A46" s="154"/>
      <c r="B46" s="363"/>
      <c r="C46" s="364"/>
      <c r="D46" s="385"/>
      <c r="E46" s="386"/>
      <c r="F46" s="386"/>
      <c r="G46" s="386"/>
      <c r="H46" s="256"/>
      <c r="I46" s="389"/>
    </row>
    <row r="47" spans="1:9" ht="27" customHeight="1" x14ac:dyDescent="0.2">
      <c r="A47" s="358">
        <v>4</v>
      </c>
      <c r="B47" s="380" t="s">
        <v>1</v>
      </c>
      <c r="C47" s="360"/>
      <c r="D47" s="381"/>
      <c r="E47" s="382"/>
      <c r="F47" s="382"/>
      <c r="G47" s="382"/>
      <c r="H47" s="256"/>
      <c r="I47" s="387"/>
    </row>
    <row r="48" spans="1:9" ht="27" customHeight="1" x14ac:dyDescent="0.2">
      <c r="A48" s="358"/>
      <c r="B48" s="361"/>
      <c r="C48" s="362"/>
      <c r="D48" s="383"/>
      <c r="E48" s="384"/>
      <c r="F48" s="384"/>
      <c r="G48" s="384"/>
      <c r="H48" s="256"/>
      <c r="I48" s="388"/>
    </row>
    <row r="49" spans="1:9" ht="27" customHeight="1" x14ac:dyDescent="0.2">
      <c r="A49" s="358"/>
      <c r="B49" s="363"/>
      <c r="C49" s="364"/>
      <c r="D49" s="385"/>
      <c r="E49" s="386"/>
      <c r="F49" s="386"/>
      <c r="G49" s="386"/>
      <c r="H49" s="256"/>
      <c r="I49" s="389"/>
    </row>
    <row r="50" spans="1:9" ht="27" customHeight="1" x14ac:dyDescent="0.2">
      <c r="A50" s="358">
        <v>5</v>
      </c>
      <c r="B50" s="380" t="s">
        <v>1</v>
      </c>
      <c r="C50" s="360"/>
      <c r="D50" s="381"/>
      <c r="E50" s="382"/>
      <c r="F50" s="382"/>
      <c r="G50" s="382"/>
      <c r="H50" s="256"/>
      <c r="I50" s="387"/>
    </row>
    <row r="51" spans="1:9" ht="27" customHeight="1" x14ac:dyDescent="0.2">
      <c r="A51" s="358"/>
      <c r="B51" s="361"/>
      <c r="C51" s="362"/>
      <c r="D51" s="383"/>
      <c r="E51" s="384"/>
      <c r="F51" s="384"/>
      <c r="G51" s="384"/>
      <c r="H51" s="256"/>
      <c r="I51" s="388"/>
    </row>
    <row r="52" spans="1:9" ht="27" customHeight="1" x14ac:dyDescent="0.2">
      <c r="A52" s="358"/>
      <c r="B52" s="363"/>
      <c r="C52" s="364"/>
      <c r="D52" s="385"/>
      <c r="E52" s="386"/>
      <c r="F52" s="386"/>
      <c r="G52" s="386"/>
      <c r="H52" s="256"/>
      <c r="I52" s="389"/>
    </row>
    <row r="53" spans="1:9" ht="36" customHeight="1" x14ac:dyDescent="0.2">
      <c r="A53" s="358">
        <v>6</v>
      </c>
      <c r="B53" s="359" t="s">
        <v>118</v>
      </c>
      <c r="C53" s="360"/>
      <c r="D53" s="365"/>
      <c r="E53" s="382"/>
      <c r="F53" s="382"/>
      <c r="G53" s="382"/>
      <c r="H53" s="255" t="s">
        <v>97</v>
      </c>
      <c r="I53" s="387"/>
    </row>
    <row r="54" spans="1:9" ht="36" customHeight="1" x14ac:dyDescent="0.2">
      <c r="A54" s="358"/>
      <c r="B54" s="361"/>
      <c r="C54" s="362"/>
      <c r="D54" s="383"/>
      <c r="E54" s="384"/>
      <c r="F54" s="384"/>
      <c r="G54" s="384"/>
      <c r="H54" s="256"/>
      <c r="I54" s="388"/>
    </row>
    <row r="55" spans="1:9" ht="36" customHeight="1" x14ac:dyDescent="0.2">
      <c r="A55" s="358"/>
      <c r="B55" s="363"/>
      <c r="C55" s="364"/>
      <c r="D55" s="385"/>
      <c r="E55" s="386"/>
      <c r="F55" s="386"/>
      <c r="G55" s="386"/>
      <c r="H55" s="256"/>
      <c r="I55" s="389"/>
    </row>
    <row r="56" spans="1:9" ht="18.75" customHeight="1" x14ac:dyDescent="0.2">
      <c r="A56" s="377"/>
      <c r="B56" s="378"/>
      <c r="C56" s="378"/>
      <c r="D56" s="378"/>
      <c r="E56" s="378"/>
      <c r="F56" s="378"/>
      <c r="G56" s="378"/>
      <c r="H56" s="378"/>
      <c r="I56" s="379"/>
    </row>
    <row r="57" spans="1:9" ht="33.75" customHeight="1" x14ac:dyDescent="0.2">
      <c r="A57" s="358">
        <v>7</v>
      </c>
      <c r="B57" s="359" t="s">
        <v>119</v>
      </c>
      <c r="C57" s="360"/>
      <c r="D57" s="365"/>
      <c r="E57" s="366"/>
      <c r="F57" s="366"/>
      <c r="G57" s="367"/>
      <c r="H57" s="374"/>
      <c r="I57" s="374"/>
    </row>
    <row r="58" spans="1:9" ht="33.75" customHeight="1" x14ac:dyDescent="0.2">
      <c r="A58" s="358"/>
      <c r="B58" s="361"/>
      <c r="C58" s="362"/>
      <c r="D58" s="368"/>
      <c r="E58" s="369"/>
      <c r="F58" s="369"/>
      <c r="G58" s="370"/>
      <c r="H58" s="375"/>
      <c r="I58" s="375"/>
    </row>
    <row r="59" spans="1:9" ht="33.75" customHeight="1" x14ac:dyDescent="0.2">
      <c r="A59" s="358"/>
      <c r="B59" s="363"/>
      <c r="C59" s="364"/>
      <c r="D59" s="371"/>
      <c r="E59" s="372"/>
      <c r="F59" s="372"/>
      <c r="G59" s="373"/>
      <c r="H59" s="376"/>
      <c r="I59" s="376"/>
    </row>
  </sheetData>
  <protectedRanges>
    <protectedRange sqref="D15 H15:I15" name="Rango1_1_3_1"/>
    <protectedRange sqref="C2:D4 E3:F4 I2 G4 G7 C7 C5" name="Rango1_2_1"/>
    <protectedRange sqref="H7:I10" name="Rango1_1_1_1"/>
  </protectedRanges>
  <mergeCells count="91">
    <mergeCell ref="B44:C46"/>
    <mergeCell ref="D44:G46"/>
    <mergeCell ref="H44:H46"/>
    <mergeCell ref="I44:I46"/>
    <mergeCell ref="B38:C40"/>
    <mergeCell ref="D38:G40"/>
    <mergeCell ref="H38:H40"/>
    <mergeCell ref="I38:I40"/>
    <mergeCell ref="B41:C43"/>
    <mergeCell ref="D41:G43"/>
    <mergeCell ref="H41:H43"/>
    <mergeCell ref="I41:I43"/>
    <mergeCell ref="B32:C34"/>
    <mergeCell ref="D32:G34"/>
    <mergeCell ref="H32:H34"/>
    <mergeCell ref="I32:I34"/>
    <mergeCell ref="B35:C37"/>
    <mergeCell ref="D35:G37"/>
    <mergeCell ref="H35:H37"/>
    <mergeCell ref="I35:I37"/>
    <mergeCell ref="B26:C28"/>
    <mergeCell ref="D26:G28"/>
    <mergeCell ref="H26:H28"/>
    <mergeCell ref="I26:I28"/>
    <mergeCell ref="B29:C31"/>
    <mergeCell ref="D29:G31"/>
    <mergeCell ref="H29:H31"/>
    <mergeCell ref="I29:I31"/>
    <mergeCell ref="B14:I14"/>
    <mergeCell ref="B13:I13"/>
    <mergeCell ref="C7:F10"/>
    <mergeCell ref="B7:B10"/>
    <mergeCell ref="G5:I5"/>
    <mergeCell ref="B5:B6"/>
    <mergeCell ref="C5:F6"/>
    <mergeCell ref="C12:I12"/>
    <mergeCell ref="C11:I11"/>
    <mergeCell ref="G6:H6"/>
    <mergeCell ref="H1:I1"/>
    <mergeCell ref="C1:G1"/>
    <mergeCell ref="H3:I3"/>
    <mergeCell ref="H4:I4"/>
    <mergeCell ref="G2:I2"/>
    <mergeCell ref="E2:F2"/>
    <mergeCell ref="C4:D4"/>
    <mergeCell ref="C2:D2"/>
    <mergeCell ref="C3:D3"/>
    <mergeCell ref="B15:C15"/>
    <mergeCell ref="D15:G15"/>
    <mergeCell ref="B16:C16"/>
    <mergeCell ref="D16:G16"/>
    <mergeCell ref="A17:A18"/>
    <mergeCell ref="B17:C18"/>
    <mergeCell ref="D17:G18"/>
    <mergeCell ref="I23:I25"/>
    <mergeCell ref="H17:H18"/>
    <mergeCell ref="I17:I18"/>
    <mergeCell ref="A19:A22"/>
    <mergeCell ref="B19:C19"/>
    <mergeCell ref="D19:G19"/>
    <mergeCell ref="B20:C20"/>
    <mergeCell ref="D20:G20"/>
    <mergeCell ref="B21:C21"/>
    <mergeCell ref="D21:G21"/>
    <mergeCell ref="B22:C22"/>
    <mergeCell ref="D22:G22"/>
    <mergeCell ref="A23:A25"/>
    <mergeCell ref="B23:C25"/>
    <mergeCell ref="D23:G25"/>
    <mergeCell ref="H23:H25"/>
    <mergeCell ref="A56:I56"/>
    <mergeCell ref="A47:A49"/>
    <mergeCell ref="B47:C49"/>
    <mergeCell ref="D47:G49"/>
    <mergeCell ref="H47:H49"/>
    <mergeCell ref="I47:I49"/>
    <mergeCell ref="A50:A52"/>
    <mergeCell ref="B50:C52"/>
    <mergeCell ref="D50:G52"/>
    <mergeCell ref="H50:H52"/>
    <mergeCell ref="A53:A55"/>
    <mergeCell ref="B53:C55"/>
    <mergeCell ref="D53:G55"/>
    <mergeCell ref="H53:H55"/>
    <mergeCell ref="I53:I55"/>
    <mergeCell ref="I50:I52"/>
    <mergeCell ref="A57:A59"/>
    <mergeCell ref="B57:C59"/>
    <mergeCell ref="D57:G59"/>
    <mergeCell ref="H57:H59"/>
    <mergeCell ref="I57:I59"/>
  </mergeCells>
  <printOptions horizontalCentered="1" verticalCentered="1"/>
  <pageMargins left="0.15748031496062992" right="0.15748031496062992" top="0.15748031496062992" bottom="0.35433070866141736" header="0.62992125984251968" footer="0.27559055118110237"/>
  <pageSetup paperSize="9" scale="83" orientation="portrait" r:id="rId1"/>
  <headerFooter>
    <oddFooter xml:space="preserve">&amp;C&amp;P de &amp;N&amp;Rwww.cpavitoria06.com   
info@cpavitoria06.com </oddFooter>
  </headerFooter>
  <rowBreaks count="1" manualBreakCount="1">
    <brk id="75" max="8"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T46"/>
  <sheetViews>
    <sheetView showGridLines="0" zoomScale="40" zoomScaleNormal="40" workbookViewId="0">
      <selection activeCell="M15" sqref="I15:M15"/>
    </sheetView>
  </sheetViews>
  <sheetFormatPr baseColWidth="10" defaultRowHeight="12.75" x14ac:dyDescent="0.2"/>
  <cols>
    <col min="1" max="1" width="16.42578125" style="85" customWidth="1"/>
    <col min="2" max="5" width="10.85546875" style="5" customWidth="1"/>
    <col min="6" max="6" width="13.5703125" style="5" customWidth="1"/>
    <col min="7" max="7" width="10.85546875" style="5" customWidth="1"/>
    <col min="8" max="8" width="16.28515625" style="5" customWidth="1"/>
    <col min="9" max="9" width="13.42578125" style="5" customWidth="1"/>
    <col min="10" max="10" width="12.140625" style="5" customWidth="1"/>
    <col min="11" max="11" width="14.140625" style="5" customWidth="1"/>
    <col min="12" max="39" width="12.140625" style="5" customWidth="1"/>
    <col min="40" max="40" width="17.7109375" style="5" customWidth="1"/>
    <col min="41" max="55" width="4.28515625" style="5" customWidth="1"/>
    <col min="56" max="16384" width="11.42578125" style="5"/>
  </cols>
  <sheetData>
    <row r="1" spans="1:46" ht="178.5" customHeight="1" x14ac:dyDescent="0.2">
      <c r="B1" s="256"/>
      <c r="C1" s="256"/>
      <c r="D1" s="256"/>
      <c r="E1" s="256"/>
      <c r="F1" s="256"/>
      <c r="G1" s="256"/>
      <c r="H1" s="256"/>
      <c r="I1" s="431" t="s">
        <v>89</v>
      </c>
      <c r="J1" s="246"/>
      <c r="K1" s="246"/>
      <c r="L1" s="246"/>
      <c r="M1" s="246"/>
      <c r="N1" s="246"/>
      <c r="O1" s="246"/>
      <c r="P1" s="246"/>
      <c r="Q1" s="246"/>
      <c r="R1" s="246"/>
      <c r="S1" s="246"/>
      <c r="T1" s="246"/>
      <c r="U1" s="246"/>
      <c r="V1" s="246"/>
      <c r="W1" s="246"/>
      <c r="X1" s="246"/>
      <c r="Y1" s="246"/>
      <c r="Z1" s="246"/>
      <c r="AA1" s="246"/>
      <c r="AB1" s="246"/>
      <c r="AC1" s="246"/>
      <c r="AD1" s="246"/>
      <c r="AE1" s="246"/>
      <c r="AF1" s="246"/>
      <c r="AG1" s="246"/>
      <c r="AH1" s="246"/>
      <c r="AI1" s="246"/>
      <c r="AJ1" s="432" t="s">
        <v>120</v>
      </c>
      <c r="AK1" s="432"/>
      <c r="AL1" s="432"/>
      <c r="AM1" s="432"/>
      <c r="AN1" s="432"/>
    </row>
    <row r="2" spans="1:46" s="87" customFormat="1" ht="110.25" customHeight="1" thickBot="1" x14ac:dyDescent="0.25">
      <c r="A2" s="3"/>
      <c r="B2" s="433" t="s">
        <v>121</v>
      </c>
      <c r="C2" s="433"/>
      <c r="D2" s="433"/>
      <c r="E2" s="433"/>
      <c r="F2" s="433"/>
      <c r="G2" s="433"/>
      <c r="H2" s="433"/>
      <c r="I2" s="65">
        <v>41791</v>
      </c>
      <c r="J2" s="86">
        <v>41792</v>
      </c>
      <c r="K2" s="86">
        <v>41793</v>
      </c>
      <c r="L2" s="86">
        <v>41794</v>
      </c>
      <c r="M2" s="86">
        <v>41795</v>
      </c>
      <c r="N2" s="86">
        <v>41796</v>
      </c>
      <c r="O2" s="65">
        <v>41797</v>
      </c>
      <c r="P2" s="65">
        <v>41798</v>
      </c>
      <c r="Q2" s="86">
        <v>41799</v>
      </c>
      <c r="R2" s="86">
        <v>41800</v>
      </c>
      <c r="S2" s="86">
        <v>41801</v>
      </c>
      <c r="T2" s="86">
        <v>41802</v>
      </c>
      <c r="U2" s="86">
        <v>41803</v>
      </c>
      <c r="V2" s="65">
        <v>41804</v>
      </c>
      <c r="W2" s="65">
        <v>41805</v>
      </c>
      <c r="X2" s="86">
        <v>41806</v>
      </c>
      <c r="Y2" s="86">
        <v>41807</v>
      </c>
      <c r="Z2" s="86">
        <v>41808</v>
      </c>
      <c r="AA2" s="86">
        <v>41809</v>
      </c>
      <c r="AB2" s="86">
        <v>41810</v>
      </c>
      <c r="AC2" s="65">
        <v>41811</v>
      </c>
      <c r="AD2" s="65">
        <v>41812</v>
      </c>
      <c r="AE2" s="86">
        <v>41813</v>
      </c>
      <c r="AF2" s="86">
        <v>41814</v>
      </c>
      <c r="AG2" s="86">
        <v>41815</v>
      </c>
      <c r="AH2" s="86">
        <v>41816</v>
      </c>
      <c r="AI2" s="86">
        <v>41817</v>
      </c>
      <c r="AJ2" s="65">
        <v>41818</v>
      </c>
      <c r="AK2" s="65">
        <v>41819</v>
      </c>
      <c r="AL2" s="86">
        <v>41820</v>
      </c>
      <c r="AM2" s="86">
        <v>41821</v>
      </c>
      <c r="AN2" s="66" t="s">
        <v>0</v>
      </c>
      <c r="AO2" s="3"/>
      <c r="AP2" s="3"/>
      <c r="AQ2" s="3"/>
      <c r="AR2" s="3"/>
      <c r="AS2" s="3"/>
      <c r="AT2" s="3"/>
    </row>
    <row r="3" spans="1:46" ht="50.25" customHeight="1" x14ac:dyDescent="0.2">
      <c r="A3" s="418" t="s">
        <v>121</v>
      </c>
      <c r="B3" s="434"/>
      <c r="C3" s="435"/>
      <c r="D3" s="435"/>
      <c r="E3" s="435"/>
      <c r="F3" s="435"/>
      <c r="G3" s="435"/>
      <c r="H3" s="435"/>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7">
        <f t="shared" ref="AN3:AN8" si="0">SUM(I3:AM3)</f>
        <v>0</v>
      </c>
      <c r="AO3" s="85"/>
      <c r="AP3" s="85"/>
      <c r="AQ3" s="85"/>
      <c r="AR3" s="85"/>
      <c r="AS3" s="85"/>
      <c r="AT3" s="85"/>
    </row>
    <row r="4" spans="1:46" ht="50.25" customHeight="1" x14ac:dyDescent="0.2">
      <c r="A4" s="419"/>
      <c r="B4" s="434" t="s">
        <v>1</v>
      </c>
      <c r="C4" s="435"/>
      <c r="D4" s="435"/>
      <c r="E4" s="435"/>
      <c r="F4" s="435"/>
      <c r="G4" s="435"/>
      <c r="H4" s="435"/>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7">
        <f t="shared" si="0"/>
        <v>0</v>
      </c>
      <c r="AO4" s="85"/>
      <c r="AP4" s="85"/>
      <c r="AQ4" s="85"/>
      <c r="AR4" s="85"/>
      <c r="AS4" s="85"/>
      <c r="AT4" s="85"/>
    </row>
    <row r="5" spans="1:46" ht="50.25" customHeight="1" x14ac:dyDescent="0.2">
      <c r="A5" s="419"/>
      <c r="B5" s="436" t="s">
        <v>1</v>
      </c>
      <c r="C5" s="437"/>
      <c r="D5" s="437"/>
      <c r="E5" s="437"/>
      <c r="F5" s="437"/>
      <c r="G5" s="437"/>
      <c r="H5" s="437"/>
      <c r="I5" s="6"/>
      <c r="J5" s="6"/>
      <c r="K5" s="6"/>
      <c r="L5" s="6"/>
      <c r="M5" s="6"/>
      <c r="N5" s="6"/>
      <c r="O5" s="6"/>
      <c r="P5" s="6"/>
      <c r="Q5" s="6"/>
      <c r="R5" s="6"/>
      <c r="S5" s="6"/>
      <c r="T5" s="6"/>
      <c r="U5" s="6"/>
      <c r="V5" s="6"/>
      <c r="W5" s="6"/>
      <c r="X5" s="6"/>
      <c r="Y5" s="6"/>
      <c r="Z5" s="6"/>
      <c r="AA5" s="6"/>
      <c r="AB5" s="6"/>
      <c r="AC5" s="6"/>
      <c r="AD5" s="6"/>
      <c r="AE5" s="6"/>
      <c r="AF5" s="6"/>
      <c r="AG5" s="6"/>
      <c r="AH5" s="6"/>
      <c r="AI5" s="6"/>
      <c r="AJ5" s="6"/>
      <c r="AK5" s="6"/>
      <c r="AL5" s="6"/>
      <c r="AM5" s="6"/>
      <c r="AN5" s="67">
        <f t="shared" si="0"/>
        <v>0</v>
      </c>
      <c r="AO5" s="85"/>
      <c r="AP5" s="85"/>
      <c r="AQ5" s="85"/>
      <c r="AR5" s="85"/>
      <c r="AS5" s="85"/>
      <c r="AT5" s="85"/>
    </row>
    <row r="6" spans="1:46" ht="50.25" customHeight="1" x14ac:dyDescent="0.2">
      <c r="A6" s="419"/>
      <c r="B6" s="436" t="s">
        <v>1</v>
      </c>
      <c r="C6" s="437"/>
      <c r="D6" s="437"/>
      <c r="E6" s="437"/>
      <c r="F6" s="437"/>
      <c r="G6" s="437"/>
      <c r="H6" s="437"/>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7">
        <f t="shared" si="0"/>
        <v>0</v>
      </c>
      <c r="AO6" s="85"/>
      <c r="AP6" s="85"/>
      <c r="AQ6" s="85"/>
      <c r="AR6" s="85"/>
      <c r="AS6" s="85"/>
      <c r="AT6" s="85"/>
    </row>
    <row r="7" spans="1:46" ht="50.25" customHeight="1" x14ac:dyDescent="0.2">
      <c r="A7" s="419"/>
      <c r="B7" s="436" t="s">
        <v>1</v>
      </c>
      <c r="C7" s="437"/>
      <c r="D7" s="437"/>
      <c r="E7" s="437"/>
      <c r="F7" s="437"/>
      <c r="G7" s="437"/>
      <c r="H7" s="437"/>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7">
        <f t="shared" si="0"/>
        <v>0</v>
      </c>
      <c r="AO7" s="85"/>
      <c r="AP7" s="85"/>
      <c r="AQ7" s="85"/>
      <c r="AR7" s="85"/>
      <c r="AS7" s="85"/>
      <c r="AT7" s="85"/>
    </row>
    <row r="8" spans="1:46" ht="50.25" customHeight="1" thickBot="1" x14ac:dyDescent="0.25">
      <c r="A8" s="420"/>
      <c r="B8" s="436" t="s">
        <v>1</v>
      </c>
      <c r="C8" s="437"/>
      <c r="D8" s="437"/>
      <c r="E8" s="437"/>
      <c r="F8" s="437"/>
      <c r="G8" s="437"/>
      <c r="H8" s="437"/>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7">
        <f t="shared" si="0"/>
        <v>0</v>
      </c>
      <c r="AO8" s="85"/>
      <c r="AP8" s="85"/>
      <c r="AQ8" s="85"/>
      <c r="AR8" s="85"/>
      <c r="AS8" s="85"/>
      <c r="AT8" s="85"/>
    </row>
    <row r="9" spans="1:46" ht="114.75" customHeight="1" thickBot="1" x14ac:dyDescent="0.25">
      <c r="B9" s="430" t="s">
        <v>12</v>
      </c>
      <c r="C9" s="430"/>
      <c r="D9" s="430"/>
      <c r="E9" s="430"/>
      <c r="F9" s="430"/>
      <c r="G9" s="430"/>
      <c r="H9" s="430"/>
      <c r="I9" s="417" t="s">
        <v>1</v>
      </c>
      <c r="J9" s="417"/>
      <c r="K9" s="417"/>
      <c r="L9" s="417"/>
      <c r="M9" s="417"/>
      <c r="N9" s="417"/>
      <c r="O9" s="417"/>
      <c r="P9" s="417"/>
      <c r="Q9" s="417"/>
      <c r="R9" s="417"/>
      <c r="S9" s="417"/>
      <c r="T9" s="417"/>
      <c r="U9" s="417"/>
      <c r="V9" s="417"/>
      <c r="W9" s="417"/>
      <c r="X9" s="417"/>
      <c r="Y9" s="417"/>
      <c r="Z9" s="417"/>
      <c r="AA9" s="417"/>
      <c r="AB9" s="417"/>
      <c r="AC9" s="417"/>
      <c r="AD9" s="417"/>
      <c r="AE9" s="417"/>
      <c r="AF9" s="417"/>
      <c r="AG9" s="417"/>
      <c r="AH9" s="417"/>
      <c r="AI9" s="417"/>
      <c r="AJ9" s="417"/>
      <c r="AK9" s="417"/>
      <c r="AL9" s="417"/>
      <c r="AM9" s="417"/>
      <c r="AN9" s="417"/>
      <c r="AO9" s="85"/>
      <c r="AP9" s="85"/>
      <c r="AQ9" s="85"/>
      <c r="AR9" s="85"/>
      <c r="AS9" s="85"/>
      <c r="AT9" s="85"/>
    </row>
    <row r="10" spans="1:46" s="91" customFormat="1" ht="49.5" customHeight="1" thickBot="1" x14ac:dyDescent="0.25">
      <c r="A10" s="418" t="s">
        <v>122</v>
      </c>
      <c r="B10" s="421" t="s">
        <v>5</v>
      </c>
      <c r="C10" s="422"/>
      <c r="D10" s="422"/>
      <c r="E10" s="422"/>
      <c r="F10" s="422"/>
      <c r="G10" s="422"/>
      <c r="H10" s="423"/>
      <c r="I10" s="88">
        <f>I11+I12</f>
        <v>0</v>
      </c>
      <c r="J10" s="89">
        <f t="shared" ref="J10:AM10" si="1">J11+J12</f>
        <v>0</v>
      </c>
      <c r="K10" s="89">
        <f t="shared" si="1"/>
        <v>0</v>
      </c>
      <c r="L10" s="89">
        <f t="shared" si="1"/>
        <v>0</v>
      </c>
      <c r="M10" s="89">
        <f t="shared" si="1"/>
        <v>0</v>
      </c>
      <c r="N10" s="89">
        <f t="shared" si="1"/>
        <v>0</v>
      </c>
      <c r="O10" s="89">
        <f t="shared" si="1"/>
        <v>0</v>
      </c>
      <c r="P10" s="89">
        <f t="shared" si="1"/>
        <v>0</v>
      </c>
      <c r="Q10" s="89">
        <f t="shared" si="1"/>
        <v>0</v>
      </c>
      <c r="R10" s="89">
        <f t="shared" si="1"/>
        <v>0</v>
      </c>
      <c r="S10" s="89">
        <f t="shared" si="1"/>
        <v>0</v>
      </c>
      <c r="T10" s="89">
        <f t="shared" si="1"/>
        <v>0</v>
      </c>
      <c r="U10" s="89">
        <f t="shared" si="1"/>
        <v>0</v>
      </c>
      <c r="V10" s="89">
        <f t="shared" si="1"/>
        <v>0</v>
      </c>
      <c r="W10" s="89">
        <f t="shared" si="1"/>
        <v>0</v>
      </c>
      <c r="X10" s="89">
        <f t="shared" si="1"/>
        <v>0</v>
      </c>
      <c r="Y10" s="89">
        <f t="shared" si="1"/>
        <v>0</v>
      </c>
      <c r="Z10" s="89">
        <f t="shared" si="1"/>
        <v>0</v>
      </c>
      <c r="AA10" s="89">
        <f t="shared" si="1"/>
        <v>0</v>
      </c>
      <c r="AB10" s="89">
        <f t="shared" si="1"/>
        <v>0</v>
      </c>
      <c r="AC10" s="89">
        <f t="shared" si="1"/>
        <v>0</v>
      </c>
      <c r="AD10" s="89">
        <f t="shared" si="1"/>
        <v>0</v>
      </c>
      <c r="AE10" s="89">
        <f t="shared" si="1"/>
        <v>0</v>
      </c>
      <c r="AF10" s="89">
        <f t="shared" si="1"/>
        <v>0</v>
      </c>
      <c r="AG10" s="89">
        <f t="shared" si="1"/>
        <v>0</v>
      </c>
      <c r="AH10" s="89">
        <f t="shared" si="1"/>
        <v>0</v>
      </c>
      <c r="AI10" s="89">
        <f t="shared" si="1"/>
        <v>0</v>
      </c>
      <c r="AJ10" s="89">
        <f t="shared" si="1"/>
        <v>0</v>
      </c>
      <c r="AK10" s="89">
        <f t="shared" si="1"/>
        <v>0</v>
      </c>
      <c r="AL10" s="89">
        <f t="shared" si="1"/>
        <v>0</v>
      </c>
      <c r="AM10" s="89">
        <f t="shared" si="1"/>
        <v>0</v>
      </c>
      <c r="AN10" s="90">
        <f>SUM(I10:AM10)</f>
        <v>0</v>
      </c>
      <c r="AO10" s="2"/>
      <c r="AP10" s="2"/>
      <c r="AQ10" s="2"/>
      <c r="AR10" s="2"/>
      <c r="AS10" s="2"/>
      <c r="AT10" s="2"/>
    </row>
    <row r="11" spans="1:46" s="91" customFormat="1" ht="49.5" customHeight="1" x14ac:dyDescent="0.2">
      <c r="A11" s="419"/>
      <c r="B11" s="424" t="s">
        <v>6</v>
      </c>
      <c r="C11" s="425"/>
      <c r="D11" s="425"/>
      <c r="E11" s="425"/>
      <c r="F11" s="425"/>
      <c r="G11" s="425"/>
      <c r="H11" s="425"/>
      <c r="I11" s="92"/>
      <c r="J11" s="92"/>
      <c r="K11" s="92"/>
      <c r="L11" s="92"/>
      <c r="M11" s="92"/>
      <c r="N11" s="92"/>
      <c r="O11" s="92"/>
      <c r="P11" s="92"/>
      <c r="Q11" s="92"/>
      <c r="R11" s="92"/>
      <c r="S11" s="92"/>
      <c r="T11" s="92"/>
      <c r="U11" s="92"/>
      <c r="V11" s="92"/>
      <c r="W11" s="92"/>
      <c r="X11" s="92"/>
      <c r="Y11" s="92"/>
      <c r="Z11" s="92"/>
      <c r="AA11" s="92"/>
      <c r="AB11" s="92"/>
      <c r="AC11" s="92"/>
      <c r="AD11" s="92"/>
      <c r="AE11" s="92"/>
      <c r="AF11" s="92"/>
      <c r="AG11" s="92"/>
      <c r="AH11" s="92"/>
      <c r="AI11" s="92"/>
      <c r="AJ11" s="92"/>
      <c r="AK11" s="92"/>
      <c r="AL11" s="92"/>
      <c r="AM11" s="92"/>
      <c r="AN11" s="93">
        <f>SUM(I11:AM11)</f>
        <v>0</v>
      </c>
      <c r="AO11" s="2"/>
      <c r="AP11" s="2"/>
      <c r="AQ11" s="2"/>
      <c r="AR11" s="2"/>
      <c r="AS11" s="2"/>
      <c r="AT11" s="2"/>
    </row>
    <row r="12" spans="1:46" s="91" customFormat="1" ht="49.5" customHeight="1" x14ac:dyDescent="0.2">
      <c r="A12" s="419"/>
      <c r="B12" s="426" t="s">
        <v>7</v>
      </c>
      <c r="C12" s="427"/>
      <c r="D12" s="427"/>
      <c r="E12" s="427"/>
      <c r="F12" s="427"/>
      <c r="G12" s="427"/>
      <c r="H12" s="427"/>
      <c r="I12" s="68">
        <f>SUM(I3:I8)</f>
        <v>0</v>
      </c>
      <c r="J12" s="68">
        <f t="shared" ref="J12:AM12" si="2">SUM(J3:J8)</f>
        <v>0</v>
      </c>
      <c r="K12" s="68">
        <f>SUM(K3:K8)</f>
        <v>0</v>
      </c>
      <c r="L12" s="68">
        <f t="shared" si="2"/>
        <v>0</v>
      </c>
      <c r="M12" s="68">
        <f t="shared" si="2"/>
        <v>0</v>
      </c>
      <c r="N12" s="68">
        <f t="shared" si="2"/>
        <v>0</v>
      </c>
      <c r="O12" s="68">
        <f t="shared" si="2"/>
        <v>0</v>
      </c>
      <c r="P12" s="68">
        <f t="shared" si="2"/>
        <v>0</v>
      </c>
      <c r="Q12" s="68">
        <f t="shared" si="2"/>
        <v>0</v>
      </c>
      <c r="R12" s="68">
        <f>SUM(R3:R8)</f>
        <v>0</v>
      </c>
      <c r="S12" s="68">
        <f t="shared" si="2"/>
        <v>0</v>
      </c>
      <c r="T12" s="68">
        <f t="shared" si="2"/>
        <v>0</v>
      </c>
      <c r="U12" s="68">
        <f t="shared" si="2"/>
        <v>0</v>
      </c>
      <c r="V12" s="68">
        <f t="shared" si="2"/>
        <v>0</v>
      </c>
      <c r="W12" s="68">
        <f t="shared" si="2"/>
        <v>0</v>
      </c>
      <c r="X12" s="68">
        <f t="shared" si="2"/>
        <v>0</v>
      </c>
      <c r="Y12" s="68">
        <f t="shared" si="2"/>
        <v>0</v>
      </c>
      <c r="Z12" s="68">
        <f t="shared" si="2"/>
        <v>0</v>
      </c>
      <c r="AA12" s="68">
        <f t="shared" si="2"/>
        <v>0</v>
      </c>
      <c r="AB12" s="68">
        <f t="shared" si="2"/>
        <v>0</v>
      </c>
      <c r="AC12" s="68">
        <f t="shared" si="2"/>
        <v>0</v>
      </c>
      <c r="AD12" s="68">
        <f t="shared" si="2"/>
        <v>0</v>
      </c>
      <c r="AE12" s="68">
        <f t="shared" si="2"/>
        <v>0</v>
      </c>
      <c r="AF12" s="68">
        <f t="shared" si="2"/>
        <v>0</v>
      </c>
      <c r="AG12" s="68">
        <f t="shared" si="2"/>
        <v>0</v>
      </c>
      <c r="AH12" s="68">
        <f t="shared" si="2"/>
        <v>0</v>
      </c>
      <c r="AI12" s="68">
        <f t="shared" si="2"/>
        <v>0</v>
      </c>
      <c r="AJ12" s="68">
        <f t="shared" si="2"/>
        <v>0</v>
      </c>
      <c r="AK12" s="68">
        <f t="shared" si="2"/>
        <v>0</v>
      </c>
      <c r="AL12" s="68">
        <f t="shared" si="2"/>
        <v>0</v>
      </c>
      <c r="AM12" s="68">
        <f t="shared" si="2"/>
        <v>0</v>
      </c>
      <c r="AN12" s="94">
        <f>SUM(I12:AM12)</f>
        <v>0</v>
      </c>
      <c r="AO12" s="2"/>
      <c r="AP12" s="2"/>
      <c r="AQ12" s="2"/>
      <c r="AR12" s="2"/>
      <c r="AS12" s="2"/>
      <c r="AT12" s="2"/>
    </row>
    <row r="13" spans="1:46" s="91" customFormat="1" ht="49.5" customHeight="1" thickBot="1" x14ac:dyDescent="0.25">
      <c r="A13" s="420"/>
      <c r="B13" s="428" t="s">
        <v>9</v>
      </c>
      <c r="C13" s="429"/>
      <c r="D13" s="429"/>
      <c r="E13" s="429"/>
      <c r="F13" s="429"/>
      <c r="G13" s="429"/>
      <c r="H13" s="429"/>
      <c r="I13" s="95" t="e">
        <f>(I12-I15)*100/I10</f>
        <v>#DIV/0!</v>
      </c>
      <c r="J13" s="95" t="e">
        <f t="shared" ref="J13:AM13" si="3">(J12-J15)*100/J10</f>
        <v>#DIV/0!</v>
      </c>
      <c r="K13" s="95" t="e">
        <f t="shared" si="3"/>
        <v>#DIV/0!</v>
      </c>
      <c r="L13" s="95" t="e">
        <f t="shared" si="3"/>
        <v>#DIV/0!</v>
      </c>
      <c r="M13" s="95" t="e">
        <f t="shared" si="3"/>
        <v>#DIV/0!</v>
      </c>
      <c r="N13" s="95" t="e">
        <f t="shared" si="3"/>
        <v>#DIV/0!</v>
      </c>
      <c r="O13" s="95" t="e">
        <f t="shared" si="3"/>
        <v>#DIV/0!</v>
      </c>
      <c r="P13" s="95" t="e">
        <f t="shared" si="3"/>
        <v>#DIV/0!</v>
      </c>
      <c r="Q13" s="95" t="e">
        <f t="shared" si="3"/>
        <v>#DIV/0!</v>
      </c>
      <c r="R13" s="95" t="e">
        <f t="shared" si="3"/>
        <v>#DIV/0!</v>
      </c>
      <c r="S13" s="95" t="e">
        <f t="shared" si="3"/>
        <v>#DIV/0!</v>
      </c>
      <c r="T13" s="95" t="e">
        <f t="shared" si="3"/>
        <v>#DIV/0!</v>
      </c>
      <c r="U13" s="95" t="e">
        <f t="shared" si="3"/>
        <v>#DIV/0!</v>
      </c>
      <c r="V13" s="95" t="e">
        <f t="shared" si="3"/>
        <v>#DIV/0!</v>
      </c>
      <c r="W13" s="95" t="e">
        <f t="shared" si="3"/>
        <v>#DIV/0!</v>
      </c>
      <c r="X13" s="95" t="e">
        <f t="shared" si="3"/>
        <v>#DIV/0!</v>
      </c>
      <c r="Y13" s="95" t="e">
        <f t="shared" si="3"/>
        <v>#DIV/0!</v>
      </c>
      <c r="Z13" s="95" t="e">
        <f t="shared" si="3"/>
        <v>#DIV/0!</v>
      </c>
      <c r="AA13" s="95" t="e">
        <f t="shared" si="3"/>
        <v>#DIV/0!</v>
      </c>
      <c r="AB13" s="95" t="e">
        <f t="shared" si="3"/>
        <v>#DIV/0!</v>
      </c>
      <c r="AC13" s="95" t="e">
        <f t="shared" si="3"/>
        <v>#DIV/0!</v>
      </c>
      <c r="AD13" s="95" t="e">
        <f t="shared" si="3"/>
        <v>#DIV/0!</v>
      </c>
      <c r="AE13" s="95" t="e">
        <f t="shared" si="3"/>
        <v>#DIV/0!</v>
      </c>
      <c r="AF13" s="95" t="e">
        <f t="shared" si="3"/>
        <v>#DIV/0!</v>
      </c>
      <c r="AG13" s="95" t="e">
        <f t="shared" si="3"/>
        <v>#DIV/0!</v>
      </c>
      <c r="AH13" s="95" t="e">
        <f t="shared" si="3"/>
        <v>#DIV/0!</v>
      </c>
      <c r="AI13" s="95" t="e">
        <f t="shared" si="3"/>
        <v>#DIV/0!</v>
      </c>
      <c r="AJ13" s="95" t="e">
        <f t="shared" si="3"/>
        <v>#DIV/0!</v>
      </c>
      <c r="AK13" s="95" t="e">
        <f t="shared" si="3"/>
        <v>#DIV/0!</v>
      </c>
      <c r="AL13" s="95" t="e">
        <f t="shared" si="3"/>
        <v>#DIV/0!</v>
      </c>
      <c r="AM13" s="95" t="e">
        <f t="shared" si="3"/>
        <v>#DIV/0!</v>
      </c>
      <c r="AN13" s="96" t="e">
        <f>(AN12-AN15)*100/AN10</f>
        <v>#DIV/0!</v>
      </c>
      <c r="AO13" s="2"/>
      <c r="AP13" s="2"/>
      <c r="AQ13" s="2"/>
      <c r="AR13" s="2"/>
      <c r="AS13" s="2"/>
      <c r="AT13" s="2"/>
    </row>
    <row r="14" spans="1:46" s="101" customFormat="1" ht="30.75" customHeight="1" thickBot="1" x14ac:dyDescent="0.25">
      <c r="A14" s="97"/>
      <c r="B14" s="98"/>
      <c r="C14" s="98"/>
      <c r="D14" s="98"/>
      <c r="E14" s="98"/>
      <c r="F14" s="98"/>
      <c r="G14" s="98"/>
      <c r="H14" s="98"/>
      <c r="I14" s="99"/>
      <c r="J14" s="99"/>
      <c r="K14" s="99"/>
      <c r="L14" s="99"/>
      <c r="M14" s="99"/>
      <c r="N14" s="99"/>
      <c r="O14" s="99"/>
      <c r="P14" s="99"/>
      <c r="Q14" s="99"/>
      <c r="R14" s="99"/>
      <c r="S14" s="99"/>
      <c r="T14" s="99"/>
      <c r="U14" s="99"/>
      <c r="V14" s="99"/>
      <c r="W14" s="99"/>
      <c r="X14" s="99"/>
      <c r="Y14" s="99"/>
      <c r="Z14" s="99"/>
      <c r="AA14" s="99"/>
      <c r="AB14" s="99"/>
      <c r="AC14" s="99"/>
      <c r="AD14" s="99"/>
      <c r="AE14" s="99"/>
      <c r="AF14" s="99"/>
      <c r="AG14" s="99"/>
      <c r="AH14" s="99"/>
      <c r="AI14" s="99"/>
      <c r="AJ14" s="99"/>
      <c r="AK14" s="99"/>
      <c r="AL14" s="99"/>
      <c r="AM14" s="99"/>
      <c r="AN14" s="99"/>
      <c r="AO14" s="100"/>
      <c r="AP14" s="100"/>
      <c r="AQ14" s="100"/>
      <c r="AR14" s="100"/>
      <c r="AS14" s="100"/>
      <c r="AT14" s="100"/>
    </row>
    <row r="15" spans="1:46" s="91" customFormat="1" ht="78" customHeight="1" x14ac:dyDescent="0.2">
      <c r="A15" s="412" t="s">
        <v>123</v>
      </c>
      <c r="B15" s="414" t="s">
        <v>8</v>
      </c>
      <c r="C15" s="415"/>
      <c r="D15" s="415"/>
      <c r="E15" s="415"/>
      <c r="F15" s="415"/>
      <c r="G15" s="415"/>
      <c r="H15" s="416"/>
      <c r="I15" s="102"/>
      <c r="J15" s="103"/>
      <c r="K15" s="103"/>
      <c r="L15" s="103"/>
      <c r="M15" s="103"/>
      <c r="N15" s="103"/>
      <c r="O15" s="103"/>
      <c r="P15" s="103"/>
      <c r="Q15" s="103"/>
      <c r="R15" s="103"/>
      <c r="S15" s="103"/>
      <c r="T15" s="103"/>
      <c r="U15" s="103"/>
      <c r="V15" s="103"/>
      <c r="W15" s="103"/>
      <c r="X15" s="103"/>
      <c r="Y15" s="103"/>
      <c r="Z15" s="103"/>
      <c r="AA15" s="103"/>
      <c r="AB15" s="103"/>
      <c r="AC15" s="103"/>
      <c r="AD15" s="103"/>
      <c r="AE15" s="103"/>
      <c r="AF15" s="103"/>
      <c r="AG15" s="103"/>
      <c r="AH15" s="103"/>
      <c r="AI15" s="103"/>
      <c r="AJ15" s="103"/>
      <c r="AK15" s="103"/>
      <c r="AL15" s="103"/>
      <c r="AM15" s="103"/>
      <c r="AN15" s="104">
        <f>SUM(I15:AM15)</f>
        <v>0</v>
      </c>
      <c r="AO15" s="2"/>
      <c r="AP15" s="2"/>
      <c r="AQ15" s="2"/>
      <c r="AR15" s="2"/>
      <c r="AS15" s="2"/>
      <c r="AT15" s="2"/>
    </row>
    <row r="16" spans="1:46" s="91" customFormat="1" ht="78" customHeight="1" thickBot="1" x14ac:dyDescent="0.25">
      <c r="A16" s="413"/>
      <c r="B16" s="444" t="s">
        <v>10</v>
      </c>
      <c r="C16" s="445"/>
      <c r="D16" s="445"/>
      <c r="E16" s="445"/>
      <c r="F16" s="445"/>
      <c r="G16" s="445"/>
      <c r="H16" s="446"/>
      <c r="I16" s="105" t="e">
        <f>I15*100/I10</f>
        <v>#DIV/0!</v>
      </c>
      <c r="J16" s="106" t="e">
        <f>J15*100/J10</f>
        <v>#DIV/0!</v>
      </c>
      <c r="K16" s="106" t="e">
        <f>K15*100/K10</f>
        <v>#DIV/0!</v>
      </c>
      <c r="L16" s="106" t="e">
        <f t="shared" ref="L16:AM16" si="4">L15*100/L10</f>
        <v>#DIV/0!</v>
      </c>
      <c r="M16" s="106" t="e">
        <f t="shared" si="4"/>
        <v>#DIV/0!</v>
      </c>
      <c r="N16" s="106" t="e">
        <f t="shared" si="4"/>
        <v>#DIV/0!</v>
      </c>
      <c r="O16" s="106" t="e">
        <f t="shared" si="4"/>
        <v>#DIV/0!</v>
      </c>
      <c r="P16" s="106" t="e">
        <f t="shared" si="4"/>
        <v>#DIV/0!</v>
      </c>
      <c r="Q16" s="106" t="e">
        <f t="shared" si="4"/>
        <v>#DIV/0!</v>
      </c>
      <c r="R16" s="106" t="e">
        <f>R15*100/R10</f>
        <v>#DIV/0!</v>
      </c>
      <c r="S16" s="106" t="e">
        <f t="shared" si="4"/>
        <v>#DIV/0!</v>
      </c>
      <c r="T16" s="106" t="e">
        <f t="shared" si="4"/>
        <v>#DIV/0!</v>
      </c>
      <c r="U16" s="106" t="e">
        <f t="shared" si="4"/>
        <v>#DIV/0!</v>
      </c>
      <c r="V16" s="106" t="e">
        <f t="shared" si="4"/>
        <v>#DIV/0!</v>
      </c>
      <c r="W16" s="106" t="e">
        <f t="shared" si="4"/>
        <v>#DIV/0!</v>
      </c>
      <c r="X16" s="106" t="e">
        <f t="shared" si="4"/>
        <v>#DIV/0!</v>
      </c>
      <c r="Y16" s="106" t="e">
        <f t="shared" si="4"/>
        <v>#DIV/0!</v>
      </c>
      <c r="Z16" s="106" t="e">
        <f t="shared" si="4"/>
        <v>#DIV/0!</v>
      </c>
      <c r="AA16" s="106" t="e">
        <f t="shared" si="4"/>
        <v>#DIV/0!</v>
      </c>
      <c r="AB16" s="106" t="e">
        <f t="shared" si="4"/>
        <v>#DIV/0!</v>
      </c>
      <c r="AC16" s="106" t="e">
        <f t="shared" si="4"/>
        <v>#DIV/0!</v>
      </c>
      <c r="AD16" s="106" t="e">
        <f t="shared" si="4"/>
        <v>#DIV/0!</v>
      </c>
      <c r="AE16" s="106" t="e">
        <f t="shared" si="4"/>
        <v>#DIV/0!</v>
      </c>
      <c r="AF16" s="106" t="e">
        <f t="shared" si="4"/>
        <v>#DIV/0!</v>
      </c>
      <c r="AG16" s="106" t="e">
        <f t="shared" si="4"/>
        <v>#DIV/0!</v>
      </c>
      <c r="AH16" s="106" t="e">
        <f t="shared" si="4"/>
        <v>#DIV/0!</v>
      </c>
      <c r="AI16" s="106" t="e">
        <f t="shared" si="4"/>
        <v>#DIV/0!</v>
      </c>
      <c r="AJ16" s="106" t="e">
        <f t="shared" si="4"/>
        <v>#DIV/0!</v>
      </c>
      <c r="AK16" s="106" t="e">
        <f t="shared" si="4"/>
        <v>#DIV/0!</v>
      </c>
      <c r="AL16" s="106" t="e">
        <f t="shared" si="4"/>
        <v>#DIV/0!</v>
      </c>
      <c r="AM16" s="106" t="e">
        <f t="shared" si="4"/>
        <v>#DIV/0!</v>
      </c>
      <c r="AN16" s="107" t="e">
        <f>AN15*100/AN10</f>
        <v>#DIV/0!</v>
      </c>
      <c r="AO16" s="2"/>
      <c r="AP16" s="2"/>
      <c r="AQ16" s="2"/>
      <c r="AR16" s="2"/>
      <c r="AS16" s="2"/>
      <c r="AT16" s="2"/>
    </row>
    <row r="17" spans="1:46" s="91" customFormat="1" ht="30.75" customHeight="1" thickBot="1" x14ac:dyDescent="0.25">
      <c r="A17" s="108"/>
      <c r="B17" s="109"/>
      <c r="C17" s="109"/>
      <c r="D17" s="109"/>
      <c r="E17" s="109"/>
      <c r="F17" s="109"/>
      <c r="G17" s="109"/>
      <c r="H17" s="109"/>
      <c r="I17" s="110"/>
      <c r="J17" s="111"/>
      <c r="K17" s="111"/>
      <c r="L17" s="110"/>
      <c r="M17" s="111"/>
      <c r="N17" s="111"/>
      <c r="O17" s="110"/>
      <c r="P17" s="111"/>
      <c r="Q17" s="110"/>
      <c r="R17" s="110"/>
      <c r="S17" s="111"/>
      <c r="T17" s="111"/>
      <c r="U17" s="110"/>
      <c r="V17" s="111"/>
      <c r="W17" s="110"/>
      <c r="X17" s="110"/>
      <c r="Y17" s="110"/>
      <c r="Z17" s="110"/>
      <c r="AA17" s="111"/>
      <c r="AB17" s="111"/>
      <c r="AC17" s="110"/>
      <c r="AD17" s="110"/>
      <c r="AE17" s="110"/>
      <c r="AF17" s="110"/>
      <c r="AG17" s="110"/>
      <c r="AH17" s="111"/>
      <c r="AI17" s="111"/>
      <c r="AJ17" s="111"/>
      <c r="AK17" s="111"/>
      <c r="AL17" s="111"/>
      <c r="AM17" s="111"/>
      <c r="AN17" s="110"/>
      <c r="AO17" s="2"/>
      <c r="AP17" s="2"/>
      <c r="AQ17" s="2"/>
      <c r="AR17" s="2"/>
      <c r="AS17" s="2"/>
      <c r="AT17" s="2"/>
    </row>
    <row r="18" spans="1:46" s="91" customFormat="1" ht="72" customHeight="1" x14ac:dyDescent="0.2">
      <c r="A18" s="412" t="s">
        <v>124</v>
      </c>
      <c r="B18" s="438" t="s">
        <v>11</v>
      </c>
      <c r="C18" s="439"/>
      <c r="D18" s="439"/>
      <c r="E18" s="439"/>
      <c r="F18" s="439"/>
      <c r="G18" s="439"/>
      <c r="H18" s="440"/>
      <c r="I18" s="112">
        <f>I12-I15</f>
        <v>0</v>
      </c>
      <c r="J18" s="113">
        <f>J12-J15</f>
        <v>0</v>
      </c>
      <c r="K18" s="113">
        <f t="shared" ref="K18:AM18" si="5">K12-K15</f>
        <v>0</v>
      </c>
      <c r="L18" s="113">
        <f t="shared" si="5"/>
        <v>0</v>
      </c>
      <c r="M18" s="113">
        <f t="shared" si="5"/>
        <v>0</v>
      </c>
      <c r="N18" s="113">
        <f t="shared" si="5"/>
        <v>0</v>
      </c>
      <c r="O18" s="113">
        <f t="shared" si="5"/>
        <v>0</v>
      </c>
      <c r="P18" s="113">
        <f t="shared" si="5"/>
        <v>0</v>
      </c>
      <c r="Q18" s="113">
        <f>Q12-Q15</f>
        <v>0</v>
      </c>
      <c r="R18" s="113">
        <f t="shared" si="5"/>
        <v>0</v>
      </c>
      <c r="S18" s="113">
        <f t="shared" si="5"/>
        <v>0</v>
      </c>
      <c r="T18" s="113">
        <f t="shared" si="5"/>
        <v>0</v>
      </c>
      <c r="U18" s="113">
        <f t="shared" si="5"/>
        <v>0</v>
      </c>
      <c r="V18" s="113">
        <f t="shared" si="5"/>
        <v>0</v>
      </c>
      <c r="W18" s="113">
        <f t="shared" si="5"/>
        <v>0</v>
      </c>
      <c r="X18" s="113">
        <f t="shared" si="5"/>
        <v>0</v>
      </c>
      <c r="Y18" s="113">
        <f t="shared" si="5"/>
        <v>0</v>
      </c>
      <c r="Z18" s="113">
        <f t="shared" si="5"/>
        <v>0</v>
      </c>
      <c r="AA18" s="113">
        <f t="shared" si="5"/>
        <v>0</v>
      </c>
      <c r="AB18" s="113">
        <f t="shared" si="5"/>
        <v>0</v>
      </c>
      <c r="AC18" s="113">
        <f t="shared" si="5"/>
        <v>0</v>
      </c>
      <c r="AD18" s="113">
        <f t="shared" si="5"/>
        <v>0</v>
      </c>
      <c r="AE18" s="113">
        <f t="shared" si="5"/>
        <v>0</v>
      </c>
      <c r="AF18" s="113">
        <f t="shared" si="5"/>
        <v>0</v>
      </c>
      <c r="AG18" s="113">
        <f t="shared" si="5"/>
        <v>0</v>
      </c>
      <c r="AH18" s="113">
        <f>AH12-AH15</f>
        <v>0</v>
      </c>
      <c r="AI18" s="113">
        <f t="shared" si="5"/>
        <v>0</v>
      </c>
      <c r="AJ18" s="113">
        <f t="shared" si="5"/>
        <v>0</v>
      </c>
      <c r="AK18" s="113">
        <f t="shared" si="5"/>
        <v>0</v>
      </c>
      <c r="AL18" s="113">
        <f t="shared" si="5"/>
        <v>0</v>
      </c>
      <c r="AM18" s="113">
        <f t="shared" si="5"/>
        <v>0</v>
      </c>
      <c r="AN18" s="114">
        <f>AN12-AN15</f>
        <v>0</v>
      </c>
      <c r="AO18" s="2"/>
      <c r="AP18" s="2"/>
      <c r="AQ18" s="2"/>
      <c r="AR18" s="2"/>
      <c r="AS18" s="2"/>
      <c r="AT18" s="2"/>
    </row>
    <row r="19" spans="1:46" s="91" customFormat="1" ht="72" customHeight="1" thickBot="1" x14ac:dyDescent="0.25">
      <c r="A19" s="413"/>
      <c r="B19" s="441" t="s">
        <v>98</v>
      </c>
      <c r="C19" s="442"/>
      <c r="D19" s="442"/>
      <c r="E19" s="442"/>
      <c r="F19" s="442"/>
      <c r="G19" s="442"/>
      <c r="H19" s="443"/>
      <c r="I19" s="115">
        <f t="shared" ref="I19:AK19" si="6">SUM(I11+I15)</f>
        <v>0</v>
      </c>
      <c r="J19" s="116">
        <f t="shared" si="6"/>
        <v>0</v>
      </c>
      <c r="K19" s="116">
        <f t="shared" si="6"/>
        <v>0</v>
      </c>
      <c r="L19" s="116">
        <f t="shared" si="6"/>
        <v>0</v>
      </c>
      <c r="M19" s="116">
        <f t="shared" si="6"/>
        <v>0</v>
      </c>
      <c r="N19" s="116">
        <f t="shared" si="6"/>
        <v>0</v>
      </c>
      <c r="O19" s="116">
        <f t="shared" si="6"/>
        <v>0</v>
      </c>
      <c r="P19" s="116">
        <f t="shared" si="6"/>
        <v>0</v>
      </c>
      <c r="Q19" s="116">
        <f>SUM(Q11+Q15)</f>
        <v>0</v>
      </c>
      <c r="R19" s="116">
        <f t="shared" si="6"/>
        <v>0</v>
      </c>
      <c r="S19" s="116">
        <f t="shared" si="6"/>
        <v>0</v>
      </c>
      <c r="T19" s="116">
        <f t="shared" si="6"/>
        <v>0</v>
      </c>
      <c r="U19" s="116">
        <f t="shared" si="6"/>
        <v>0</v>
      </c>
      <c r="V19" s="116">
        <f t="shared" si="6"/>
        <v>0</v>
      </c>
      <c r="W19" s="116">
        <f t="shared" si="6"/>
        <v>0</v>
      </c>
      <c r="X19" s="116">
        <f t="shared" si="6"/>
        <v>0</v>
      </c>
      <c r="Y19" s="116">
        <f t="shared" si="6"/>
        <v>0</v>
      </c>
      <c r="Z19" s="116">
        <f t="shared" si="6"/>
        <v>0</v>
      </c>
      <c r="AA19" s="116">
        <f t="shared" si="6"/>
        <v>0</v>
      </c>
      <c r="AB19" s="116">
        <f t="shared" si="6"/>
        <v>0</v>
      </c>
      <c r="AC19" s="116">
        <f t="shared" si="6"/>
        <v>0</v>
      </c>
      <c r="AD19" s="116">
        <f t="shared" si="6"/>
        <v>0</v>
      </c>
      <c r="AE19" s="116">
        <f t="shared" si="6"/>
        <v>0</v>
      </c>
      <c r="AF19" s="116">
        <f t="shared" si="6"/>
        <v>0</v>
      </c>
      <c r="AG19" s="116">
        <f t="shared" si="6"/>
        <v>0</v>
      </c>
      <c r="AH19" s="116">
        <f t="shared" si="6"/>
        <v>0</v>
      </c>
      <c r="AI19" s="116">
        <f t="shared" si="6"/>
        <v>0</v>
      </c>
      <c r="AJ19" s="116">
        <f t="shared" si="6"/>
        <v>0</v>
      </c>
      <c r="AK19" s="116">
        <f t="shared" si="6"/>
        <v>0</v>
      </c>
      <c r="AL19" s="116">
        <f>SUM(AL11+AL15)</f>
        <v>0</v>
      </c>
      <c r="AM19" s="116">
        <f>SUM(AM11+AM15)</f>
        <v>0</v>
      </c>
      <c r="AN19" s="117">
        <f>SUM(I19:AM19)</f>
        <v>0</v>
      </c>
      <c r="AO19" s="2"/>
      <c r="AP19" s="2"/>
      <c r="AQ19" s="2"/>
      <c r="AR19" s="2"/>
      <c r="AS19" s="2"/>
      <c r="AT19" s="2"/>
    </row>
    <row r="20" spans="1:46" ht="12.75" customHeight="1" x14ac:dyDescent="0.2">
      <c r="B20" s="85"/>
      <c r="C20" s="85"/>
      <c r="D20" s="1"/>
      <c r="E20" s="1"/>
      <c r="F20" s="1"/>
      <c r="G20" s="1"/>
      <c r="H20" s="1"/>
      <c r="I20" s="1"/>
      <c r="J20" s="1"/>
      <c r="K20" s="1"/>
      <c r="L20" s="1"/>
      <c r="M20" s="1"/>
      <c r="N20" s="1"/>
      <c r="O20" s="1"/>
      <c r="P20" s="1"/>
      <c r="Q20" s="1"/>
      <c r="R20" s="1"/>
      <c r="S20" s="1"/>
      <c r="T20" s="1"/>
      <c r="U20" s="1"/>
      <c r="V20" s="1"/>
      <c r="W20" s="1"/>
      <c r="X20" s="1"/>
      <c r="Y20" s="1"/>
      <c r="Z20" s="1"/>
      <c r="AA20" s="1"/>
      <c r="AB20" s="85"/>
      <c r="AC20" s="85"/>
      <c r="AD20" s="85"/>
      <c r="AE20" s="85"/>
      <c r="AF20" s="85"/>
      <c r="AG20" s="85"/>
      <c r="AH20" s="85"/>
      <c r="AI20" s="85"/>
      <c r="AJ20" s="85"/>
      <c r="AK20" s="85"/>
      <c r="AL20" s="85"/>
      <c r="AM20" s="85"/>
      <c r="AN20" s="85"/>
      <c r="AO20" s="85"/>
      <c r="AP20" s="85"/>
      <c r="AQ20" s="85"/>
      <c r="AR20" s="85"/>
      <c r="AS20" s="85"/>
      <c r="AT20" s="85"/>
    </row>
    <row r="21" spans="1:46" x14ac:dyDescent="0.2">
      <c r="B21" s="85"/>
      <c r="C21" s="85"/>
      <c r="D21" s="85"/>
      <c r="E21" s="85"/>
      <c r="F21" s="85"/>
      <c r="G21" s="85"/>
      <c r="H21" s="85"/>
      <c r="I21" s="85"/>
      <c r="J21" s="85"/>
      <c r="K21" s="85"/>
      <c r="L21" s="85"/>
      <c r="M21" s="85"/>
      <c r="N21" s="85"/>
      <c r="O21" s="85"/>
      <c r="P21" s="85"/>
      <c r="Q21" s="85"/>
      <c r="R21" s="85"/>
      <c r="S21" s="85"/>
      <c r="T21" s="85"/>
      <c r="U21" s="85"/>
      <c r="V21" s="85"/>
      <c r="W21" s="85"/>
      <c r="X21" s="85"/>
      <c r="Y21" s="85"/>
      <c r="Z21" s="85"/>
      <c r="AA21" s="85"/>
      <c r="AB21" s="85"/>
      <c r="AC21" s="85"/>
      <c r="AD21" s="85"/>
      <c r="AE21" s="85"/>
      <c r="AF21" s="85"/>
      <c r="AG21" s="85"/>
      <c r="AH21" s="85"/>
      <c r="AI21" s="85"/>
      <c r="AJ21" s="85"/>
      <c r="AK21" s="85"/>
      <c r="AL21" s="85"/>
      <c r="AM21" s="85"/>
      <c r="AN21" s="85"/>
      <c r="AO21" s="85"/>
      <c r="AP21" s="85"/>
      <c r="AQ21" s="85"/>
      <c r="AR21" s="85"/>
      <c r="AS21" s="85"/>
      <c r="AT21" s="85"/>
    </row>
    <row r="22" spans="1:46" x14ac:dyDescent="0.2">
      <c r="B22" s="85"/>
      <c r="C22" s="85"/>
      <c r="D22" s="85"/>
      <c r="E22" s="85"/>
      <c r="F22" s="85"/>
      <c r="G22" s="85"/>
      <c r="H22" s="85"/>
      <c r="I22" s="85"/>
      <c r="J22" s="85"/>
      <c r="K22" s="85"/>
      <c r="L22" s="85"/>
      <c r="M22" s="85"/>
      <c r="N22" s="85"/>
      <c r="O22" s="85"/>
      <c r="P22" s="85"/>
      <c r="Q22" s="85"/>
      <c r="R22" s="85"/>
      <c r="S22" s="85"/>
      <c r="T22" s="85"/>
      <c r="U22" s="85"/>
      <c r="V22" s="85"/>
      <c r="W22" s="85"/>
      <c r="X22" s="85"/>
      <c r="Y22" s="85"/>
      <c r="Z22" s="85"/>
      <c r="AA22" s="85"/>
      <c r="AB22" s="85"/>
      <c r="AC22" s="85"/>
      <c r="AD22" s="85"/>
      <c r="AE22" s="85"/>
      <c r="AF22" s="85"/>
      <c r="AG22" s="85"/>
      <c r="AH22" s="85"/>
      <c r="AI22" s="85"/>
      <c r="AJ22" s="85"/>
      <c r="AK22" s="85"/>
      <c r="AL22" s="85"/>
      <c r="AM22" s="85"/>
      <c r="AN22" s="85"/>
      <c r="AO22" s="85"/>
      <c r="AP22" s="85"/>
      <c r="AQ22" s="85"/>
      <c r="AR22" s="85"/>
      <c r="AS22" s="85"/>
      <c r="AT22" s="85"/>
    </row>
    <row r="23" spans="1:46" x14ac:dyDescent="0.2">
      <c r="B23" s="85"/>
      <c r="C23" s="85"/>
      <c r="D23" s="85"/>
      <c r="E23" s="85"/>
      <c r="F23" s="85"/>
      <c r="G23" s="85"/>
      <c r="H23" s="85"/>
      <c r="I23" s="85"/>
      <c r="J23" s="85"/>
      <c r="K23" s="85"/>
      <c r="L23" s="85"/>
      <c r="M23" s="85"/>
      <c r="N23" s="85"/>
      <c r="O23" s="85"/>
      <c r="P23" s="85"/>
      <c r="Q23" s="85"/>
      <c r="R23" s="85"/>
      <c r="S23" s="85"/>
      <c r="T23" s="85"/>
      <c r="U23" s="85"/>
      <c r="V23" s="85"/>
      <c r="W23" s="85"/>
      <c r="X23" s="85"/>
      <c r="Y23" s="85"/>
      <c r="Z23" s="85"/>
      <c r="AA23" s="85"/>
      <c r="AB23" s="85"/>
      <c r="AC23" s="85"/>
      <c r="AD23" s="85"/>
      <c r="AE23" s="85"/>
      <c r="AF23" s="85"/>
      <c r="AG23" s="85"/>
      <c r="AH23" s="85"/>
      <c r="AI23" s="85"/>
      <c r="AJ23" s="85"/>
      <c r="AK23" s="85"/>
      <c r="AL23" s="85"/>
      <c r="AM23" s="85"/>
      <c r="AN23" s="85"/>
      <c r="AO23" s="85"/>
      <c r="AP23" s="85"/>
      <c r="AQ23" s="85"/>
      <c r="AR23" s="85"/>
      <c r="AS23" s="85"/>
      <c r="AT23" s="85"/>
    </row>
    <row r="24" spans="1:46" x14ac:dyDescent="0.2">
      <c r="B24" s="85"/>
      <c r="C24" s="85"/>
      <c r="D24" s="85"/>
      <c r="E24" s="85"/>
      <c r="F24" s="85"/>
      <c r="G24" s="85"/>
      <c r="H24" s="85"/>
      <c r="I24" s="85"/>
      <c r="J24" s="85"/>
      <c r="K24" s="85"/>
      <c r="L24" s="85"/>
      <c r="M24" s="85"/>
      <c r="N24" s="85"/>
      <c r="O24" s="85"/>
      <c r="P24" s="85"/>
      <c r="Q24" s="85"/>
      <c r="R24" s="85"/>
      <c r="S24" s="85"/>
      <c r="T24" s="85"/>
      <c r="U24" s="85"/>
      <c r="V24" s="85"/>
      <c r="W24" s="85"/>
      <c r="X24" s="85"/>
      <c r="Y24" s="85"/>
      <c r="Z24" s="85"/>
      <c r="AA24" s="85"/>
      <c r="AB24" s="85"/>
      <c r="AC24" s="85"/>
      <c r="AD24" s="85"/>
      <c r="AE24" s="85"/>
      <c r="AF24" s="85"/>
      <c r="AG24" s="85"/>
      <c r="AH24" s="85"/>
      <c r="AI24" s="85"/>
      <c r="AJ24" s="85"/>
      <c r="AK24" s="85"/>
      <c r="AL24" s="85"/>
      <c r="AM24" s="85"/>
      <c r="AN24" s="85"/>
      <c r="AO24" s="85"/>
      <c r="AP24" s="85"/>
      <c r="AQ24" s="85"/>
      <c r="AR24" s="85"/>
      <c r="AS24" s="85"/>
      <c r="AT24" s="85"/>
    </row>
    <row r="25" spans="1:46" x14ac:dyDescent="0.2">
      <c r="B25" s="85"/>
      <c r="C25" s="85"/>
      <c r="D25" s="85"/>
      <c r="E25" s="85"/>
      <c r="F25" s="85"/>
      <c r="G25" s="85"/>
      <c r="H25" s="85"/>
      <c r="I25" s="85"/>
      <c r="J25" s="85"/>
      <c r="K25" s="85"/>
      <c r="L25" s="85"/>
      <c r="M25" s="85"/>
      <c r="N25" s="85"/>
      <c r="O25" s="85"/>
      <c r="P25" s="85"/>
      <c r="Q25" s="85"/>
      <c r="R25" s="85"/>
      <c r="S25" s="85"/>
      <c r="T25" s="85"/>
      <c r="U25" s="85"/>
      <c r="V25" s="85"/>
      <c r="W25" s="85"/>
      <c r="X25" s="85"/>
      <c r="Y25" s="85"/>
      <c r="Z25" s="85"/>
      <c r="AA25" s="85"/>
      <c r="AB25" s="85"/>
      <c r="AC25" s="85"/>
      <c r="AD25" s="85"/>
      <c r="AE25" s="85"/>
      <c r="AF25" s="85"/>
      <c r="AG25" s="85"/>
      <c r="AH25" s="85"/>
      <c r="AI25" s="85"/>
      <c r="AJ25" s="85"/>
      <c r="AK25" s="85"/>
      <c r="AL25" s="85"/>
      <c r="AM25" s="85"/>
      <c r="AN25" s="85"/>
      <c r="AO25" s="85"/>
      <c r="AP25" s="85"/>
      <c r="AQ25" s="85"/>
      <c r="AR25" s="85"/>
      <c r="AS25" s="85"/>
      <c r="AT25" s="85"/>
    </row>
    <row r="26" spans="1:46" x14ac:dyDescent="0.2">
      <c r="B26" s="85"/>
      <c r="C26" s="85"/>
      <c r="D26" s="85"/>
      <c r="E26" s="85"/>
      <c r="F26" s="85"/>
      <c r="G26" s="85"/>
      <c r="H26" s="85"/>
      <c r="I26" s="85"/>
      <c r="J26" s="85"/>
      <c r="K26" s="85"/>
      <c r="L26" s="85"/>
      <c r="M26" s="85"/>
      <c r="N26" s="85"/>
      <c r="O26" s="85"/>
      <c r="P26" s="85"/>
      <c r="Q26" s="85"/>
      <c r="R26" s="85"/>
      <c r="S26" s="85"/>
      <c r="T26" s="85"/>
      <c r="U26" s="85"/>
      <c r="V26" s="85"/>
      <c r="W26" s="85"/>
      <c r="X26" s="85"/>
      <c r="Y26" s="85"/>
      <c r="Z26" s="85"/>
      <c r="AA26" s="85"/>
      <c r="AB26" s="85"/>
      <c r="AC26" s="85"/>
      <c r="AD26" s="85"/>
      <c r="AE26" s="85"/>
      <c r="AF26" s="85"/>
      <c r="AG26" s="85"/>
      <c r="AH26" s="85"/>
      <c r="AI26" s="85"/>
      <c r="AJ26" s="85"/>
      <c r="AK26" s="85"/>
      <c r="AL26" s="85"/>
      <c r="AM26" s="85"/>
      <c r="AN26" s="85"/>
      <c r="AO26" s="85"/>
      <c r="AP26" s="85"/>
      <c r="AQ26" s="85"/>
      <c r="AR26" s="85"/>
      <c r="AS26" s="85"/>
      <c r="AT26" s="85"/>
    </row>
    <row r="27" spans="1:46" x14ac:dyDescent="0.2">
      <c r="B27" s="85"/>
      <c r="C27" s="85"/>
      <c r="D27" s="85"/>
      <c r="E27" s="85"/>
      <c r="F27" s="85"/>
      <c r="G27" s="85"/>
      <c r="H27" s="85"/>
      <c r="I27" s="85"/>
      <c r="J27" s="85"/>
      <c r="K27" s="85"/>
      <c r="L27" s="85"/>
      <c r="M27" s="85"/>
      <c r="N27" s="85"/>
      <c r="O27" s="85"/>
      <c r="P27" s="85"/>
      <c r="Q27" s="85"/>
      <c r="R27" s="85"/>
      <c r="S27" s="85"/>
      <c r="T27" s="85"/>
      <c r="U27" s="85"/>
      <c r="V27" s="85"/>
      <c r="W27" s="85"/>
      <c r="X27" s="85"/>
      <c r="Y27" s="85"/>
      <c r="Z27" s="85"/>
      <c r="AA27" s="85"/>
      <c r="AB27" s="85"/>
      <c r="AC27" s="85"/>
      <c r="AD27" s="85"/>
      <c r="AE27" s="85"/>
      <c r="AF27" s="85"/>
      <c r="AG27" s="85"/>
      <c r="AH27" s="85"/>
      <c r="AI27" s="85"/>
      <c r="AJ27" s="85"/>
      <c r="AK27" s="85"/>
      <c r="AL27" s="85"/>
      <c r="AM27" s="85"/>
      <c r="AN27" s="85"/>
      <c r="AO27" s="85"/>
      <c r="AP27" s="85"/>
      <c r="AQ27" s="85"/>
      <c r="AR27" s="85"/>
      <c r="AS27" s="85"/>
      <c r="AT27" s="85"/>
    </row>
    <row r="28" spans="1:46" x14ac:dyDescent="0.2">
      <c r="B28" s="85"/>
      <c r="C28" s="85"/>
      <c r="D28" s="85"/>
      <c r="E28" s="85"/>
      <c r="F28" s="85"/>
      <c r="G28" s="85"/>
      <c r="H28" s="85"/>
      <c r="I28" s="85"/>
      <c r="J28" s="85"/>
      <c r="K28" s="85"/>
      <c r="L28" s="85"/>
      <c r="M28" s="85"/>
      <c r="N28" s="85"/>
      <c r="O28" s="85"/>
      <c r="P28" s="85"/>
      <c r="Q28" s="85"/>
      <c r="R28" s="85"/>
      <c r="S28" s="85"/>
      <c r="T28" s="85"/>
      <c r="U28" s="85"/>
      <c r="V28" s="85"/>
      <c r="W28" s="85"/>
      <c r="X28" s="85"/>
      <c r="Y28" s="85"/>
      <c r="Z28" s="85"/>
      <c r="AA28" s="85"/>
      <c r="AB28" s="85"/>
      <c r="AC28" s="85"/>
      <c r="AD28" s="85"/>
      <c r="AE28" s="85"/>
      <c r="AF28" s="85"/>
      <c r="AG28" s="85"/>
      <c r="AH28" s="85"/>
      <c r="AI28" s="85"/>
      <c r="AJ28" s="85"/>
      <c r="AK28" s="85"/>
      <c r="AL28" s="85"/>
      <c r="AM28" s="85"/>
      <c r="AN28" s="85"/>
      <c r="AO28" s="85"/>
      <c r="AP28" s="85"/>
      <c r="AQ28" s="85"/>
      <c r="AR28" s="85"/>
      <c r="AS28" s="85"/>
      <c r="AT28" s="85"/>
    </row>
    <row r="29" spans="1:46" x14ac:dyDescent="0.2">
      <c r="B29" s="85"/>
      <c r="C29" s="85"/>
      <c r="D29" s="85"/>
      <c r="E29" s="85"/>
      <c r="F29" s="85"/>
      <c r="G29" s="85"/>
      <c r="H29" s="85"/>
      <c r="I29" s="85"/>
      <c r="J29" s="85"/>
      <c r="K29" s="85"/>
      <c r="L29" s="85"/>
      <c r="M29" s="85"/>
      <c r="N29" s="85"/>
      <c r="O29" s="85"/>
      <c r="P29" s="85"/>
      <c r="Q29" s="85"/>
      <c r="R29" s="85"/>
      <c r="S29" s="85"/>
      <c r="T29" s="85"/>
      <c r="U29" s="85"/>
      <c r="V29" s="85"/>
      <c r="W29" s="85"/>
      <c r="X29" s="85"/>
      <c r="Y29" s="85"/>
      <c r="Z29" s="85"/>
      <c r="AA29" s="85"/>
      <c r="AB29" s="85"/>
      <c r="AC29" s="85"/>
      <c r="AD29" s="85"/>
      <c r="AE29" s="85"/>
      <c r="AF29" s="85"/>
      <c r="AG29" s="85"/>
      <c r="AH29" s="85"/>
      <c r="AI29" s="85"/>
      <c r="AJ29" s="85"/>
      <c r="AK29" s="85"/>
      <c r="AL29" s="85"/>
      <c r="AM29" s="85"/>
      <c r="AN29" s="85"/>
      <c r="AO29" s="85"/>
      <c r="AP29" s="85"/>
      <c r="AQ29" s="85"/>
      <c r="AR29" s="85"/>
      <c r="AS29" s="85"/>
      <c r="AT29" s="85"/>
    </row>
    <row r="30" spans="1:46" x14ac:dyDescent="0.2">
      <c r="B30" s="85"/>
      <c r="C30" s="85"/>
      <c r="D30" s="85"/>
      <c r="E30" s="85"/>
      <c r="F30" s="85"/>
      <c r="G30" s="85"/>
      <c r="H30" s="85"/>
      <c r="I30" s="85"/>
      <c r="J30" s="85"/>
      <c r="K30" s="85"/>
      <c r="L30" s="85"/>
      <c r="M30" s="85"/>
      <c r="N30" s="85"/>
      <c r="O30" s="85"/>
      <c r="P30" s="85"/>
      <c r="Q30" s="85"/>
      <c r="R30" s="85"/>
      <c r="S30" s="85"/>
      <c r="T30" s="85"/>
      <c r="U30" s="85"/>
      <c r="V30" s="85"/>
      <c r="W30" s="85"/>
      <c r="X30" s="85"/>
      <c r="Y30" s="85"/>
      <c r="Z30" s="85"/>
      <c r="AA30" s="85"/>
      <c r="AB30" s="85"/>
      <c r="AC30" s="85"/>
      <c r="AD30" s="85"/>
      <c r="AE30" s="85"/>
      <c r="AF30" s="85"/>
      <c r="AG30" s="85"/>
      <c r="AH30" s="85"/>
      <c r="AI30" s="85"/>
      <c r="AJ30" s="85"/>
      <c r="AK30" s="85"/>
      <c r="AL30" s="85"/>
      <c r="AM30" s="85"/>
      <c r="AN30" s="85"/>
      <c r="AO30" s="85"/>
      <c r="AP30" s="85"/>
      <c r="AQ30" s="85"/>
      <c r="AR30" s="85"/>
      <c r="AS30" s="85"/>
      <c r="AT30" s="85"/>
    </row>
    <row r="31" spans="1:46" x14ac:dyDescent="0.2">
      <c r="B31" s="85"/>
      <c r="C31" s="85"/>
      <c r="D31" s="85"/>
      <c r="E31" s="85"/>
      <c r="F31" s="85"/>
      <c r="G31" s="85"/>
      <c r="H31" s="85"/>
      <c r="I31" s="85"/>
      <c r="J31" s="85"/>
      <c r="K31" s="85"/>
      <c r="L31" s="85"/>
      <c r="M31" s="85"/>
      <c r="N31" s="85"/>
      <c r="O31" s="85"/>
      <c r="P31" s="85"/>
      <c r="Q31" s="85"/>
      <c r="R31" s="85"/>
      <c r="S31" s="85"/>
      <c r="T31" s="85"/>
      <c r="U31" s="85"/>
      <c r="V31" s="85"/>
      <c r="W31" s="85"/>
      <c r="X31" s="85"/>
      <c r="Y31" s="85"/>
      <c r="Z31" s="85"/>
      <c r="AA31" s="85"/>
      <c r="AB31" s="85"/>
      <c r="AC31" s="85"/>
      <c r="AD31" s="85"/>
      <c r="AE31" s="85"/>
      <c r="AF31" s="85"/>
      <c r="AG31" s="85"/>
      <c r="AH31" s="85"/>
      <c r="AI31" s="85"/>
      <c r="AJ31" s="85"/>
      <c r="AK31" s="85"/>
      <c r="AL31" s="85"/>
      <c r="AM31" s="85"/>
      <c r="AN31" s="85"/>
      <c r="AO31" s="85"/>
      <c r="AP31" s="85"/>
      <c r="AQ31" s="85"/>
      <c r="AR31" s="85"/>
      <c r="AS31" s="85"/>
      <c r="AT31" s="85"/>
    </row>
    <row r="32" spans="1:46" x14ac:dyDescent="0.2">
      <c r="B32" s="85"/>
      <c r="C32" s="85"/>
      <c r="D32" s="85"/>
      <c r="E32" s="85"/>
      <c r="F32" s="85"/>
      <c r="G32" s="85"/>
      <c r="H32" s="85"/>
      <c r="I32" s="85"/>
      <c r="J32" s="85"/>
      <c r="K32" s="85"/>
      <c r="L32" s="85"/>
      <c r="M32" s="85"/>
      <c r="N32" s="85"/>
      <c r="O32" s="85"/>
      <c r="P32" s="85"/>
      <c r="Q32" s="85"/>
      <c r="R32" s="85"/>
      <c r="S32" s="85"/>
      <c r="T32" s="85"/>
      <c r="U32" s="85"/>
      <c r="V32" s="85"/>
      <c r="W32" s="85"/>
      <c r="X32" s="85"/>
      <c r="Y32" s="85"/>
      <c r="Z32" s="85"/>
      <c r="AA32" s="85"/>
      <c r="AB32" s="85"/>
      <c r="AC32" s="85"/>
      <c r="AD32" s="85"/>
      <c r="AE32" s="85"/>
      <c r="AF32" s="85"/>
      <c r="AG32" s="85"/>
      <c r="AH32" s="85"/>
      <c r="AI32" s="85"/>
      <c r="AJ32" s="85"/>
      <c r="AK32" s="85"/>
      <c r="AL32" s="85"/>
      <c r="AM32" s="85"/>
      <c r="AN32" s="85"/>
      <c r="AO32" s="85"/>
      <c r="AP32" s="85"/>
      <c r="AQ32" s="85"/>
      <c r="AR32" s="85"/>
      <c r="AS32" s="85"/>
      <c r="AT32" s="85"/>
    </row>
    <row r="33" spans="2:46" x14ac:dyDescent="0.2">
      <c r="B33" s="85"/>
      <c r="C33" s="85"/>
      <c r="D33" s="85"/>
      <c r="E33" s="85"/>
      <c r="F33" s="85"/>
      <c r="G33" s="85"/>
      <c r="H33" s="85"/>
      <c r="I33" s="85"/>
      <c r="J33" s="85"/>
      <c r="K33" s="85"/>
      <c r="L33" s="85"/>
      <c r="M33" s="85"/>
      <c r="N33" s="85"/>
      <c r="O33" s="85"/>
      <c r="P33" s="85"/>
      <c r="Q33" s="85"/>
      <c r="R33" s="85"/>
      <c r="S33" s="85"/>
      <c r="T33" s="85"/>
      <c r="U33" s="85"/>
      <c r="V33" s="85"/>
      <c r="W33" s="85"/>
      <c r="X33" s="85"/>
      <c r="Y33" s="85"/>
      <c r="Z33" s="85"/>
      <c r="AA33" s="85"/>
      <c r="AB33" s="85"/>
      <c r="AC33" s="85"/>
      <c r="AD33" s="85"/>
      <c r="AE33" s="85"/>
      <c r="AF33" s="85"/>
      <c r="AG33" s="85"/>
      <c r="AH33" s="85"/>
      <c r="AI33" s="85"/>
      <c r="AJ33" s="85"/>
      <c r="AK33" s="85"/>
      <c r="AL33" s="85"/>
      <c r="AM33" s="85"/>
      <c r="AN33" s="85"/>
      <c r="AO33" s="85"/>
      <c r="AP33" s="85"/>
      <c r="AQ33" s="85"/>
      <c r="AR33" s="85"/>
      <c r="AS33" s="85"/>
      <c r="AT33" s="85"/>
    </row>
    <row r="34" spans="2:46" x14ac:dyDescent="0.2">
      <c r="B34" s="85"/>
      <c r="C34" s="85"/>
      <c r="D34" s="85"/>
      <c r="E34" s="85"/>
      <c r="F34" s="85"/>
      <c r="G34" s="85"/>
      <c r="H34" s="85"/>
      <c r="I34" s="85"/>
      <c r="J34" s="85"/>
      <c r="K34" s="85"/>
      <c r="L34" s="85"/>
      <c r="M34" s="85"/>
      <c r="N34" s="85"/>
      <c r="O34" s="85"/>
      <c r="P34" s="85"/>
      <c r="Q34" s="85"/>
      <c r="R34" s="85"/>
      <c r="S34" s="85"/>
      <c r="T34" s="85"/>
      <c r="U34" s="85"/>
      <c r="V34" s="85"/>
      <c r="W34" s="85"/>
      <c r="X34" s="85"/>
      <c r="Y34" s="85"/>
      <c r="Z34" s="85"/>
      <c r="AA34" s="85"/>
      <c r="AB34" s="85"/>
      <c r="AC34" s="85"/>
      <c r="AD34" s="85"/>
      <c r="AE34" s="85"/>
      <c r="AF34" s="85"/>
      <c r="AG34" s="85"/>
      <c r="AH34" s="85"/>
      <c r="AI34" s="85"/>
      <c r="AJ34" s="85"/>
      <c r="AK34" s="85"/>
      <c r="AL34" s="85"/>
      <c r="AM34" s="85"/>
      <c r="AN34" s="85"/>
      <c r="AO34" s="85"/>
      <c r="AP34" s="85"/>
      <c r="AQ34" s="85"/>
      <c r="AR34" s="85"/>
      <c r="AS34" s="85"/>
      <c r="AT34" s="85"/>
    </row>
    <row r="35" spans="2:46" x14ac:dyDescent="0.2">
      <c r="B35" s="85"/>
      <c r="C35" s="85"/>
      <c r="D35" s="85"/>
      <c r="E35" s="85"/>
      <c r="F35" s="85"/>
      <c r="G35" s="85"/>
      <c r="H35" s="85"/>
      <c r="I35" s="85"/>
      <c r="J35" s="85"/>
      <c r="K35" s="85"/>
      <c r="L35" s="85"/>
      <c r="M35" s="85"/>
      <c r="N35" s="85"/>
      <c r="O35" s="85"/>
      <c r="P35" s="85"/>
      <c r="Q35" s="85"/>
      <c r="R35" s="85"/>
      <c r="S35" s="85"/>
      <c r="T35" s="85"/>
      <c r="U35" s="85"/>
      <c r="V35" s="85"/>
      <c r="W35" s="85"/>
      <c r="X35" s="85"/>
      <c r="Y35" s="85"/>
      <c r="Z35" s="85"/>
      <c r="AA35" s="85"/>
      <c r="AB35" s="85"/>
      <c r="AC35" s="85"/>
      <c r="AD35" s="85"/>
      <c r="AE35" s="85"/>
      <c r="AF35" s="85"/>
      <c r="AG35" s="85"/>
      <c r="AH35" s="85"/>
      <c r="AI35" s="85"/>
      <c r="AJ35" s="85"/>
      <c r="AK35" s="85"/>
      <c r="AL35" s="85"/>
      <c r="AM35" s="85"/>
      <c r="AN35" s="85"/>
      <c r="AO35" s="85"/>
      <c r="AP35" s="85"/>
      <c r="AQ35" s="85"/>
      <c r="AR35" s="85"/>
      <c r="AS35" s="85"/>
      <c r="AT35" s="85"/>
    </row>
    <row r="36" spans="2:46" x14ac:dyDescent="0.2">
      <c r="B36" s="85"/>
      <c r="C36" s="85"/>
      <c r="D36" s="85"/>
      <c r="E36" s="85"/>
      <c r="F36" s="85"/>
      <c r="G36" s="85"/>
      <c r="H36" s="85"/>
      <c r="I36" s="85"/>
      <c r="J36" s="85"/>
      <c r="K36" s="85"/>
      <c r="L36" s="85"/>
      <c r="M36" s="85"/>
      <c r="N36" s="85"/>
      <c r="O36" s="85"/>
      <c r="P36" s="85"/>
      <c r="Q36" s="85"/>
      <c r="R36" s="85"/>
      <c r="S36" s="85"/>
      <c r="T36" s="85"/>
      <c r="U36" s="85"/>
      <c r="V36" s="85"/>
      <c r="W36" s="85"/>
      <c r="X36" s="85"/>
      <c r="Y36" s="85"/>
      <c r="Z36" s="85"/>
      <c r="AA36" s="85"/>
      <c r="AB36" s="85"/>
      <c r="AC36" s="85"/>
      <c r="AD36" s="85"/>
      <c r="AE36" s="85"/>
      <c r="AF36" s="85"/>
      <c r="AG36" s="85"/>
      <c r="AH36" s="85"/>
      <c r="AI36" s="85"/>
      <c r="AJ36" s="85"/>
      <c r="AK36" s="85"/>
      <c r="AL36" s="85"/>
      <c r="AM36" s="85"/>
      <c r="AN36" s="85"/>
      <c r="AO36" s="85"/>
      <c r="AP36" s="85"/>
      <c r="AQ36" s="85"/>
      <c r="AR36" s="85"/>
      <c r="AS36" s="85"/>
      <c r="AT36" s="85"/>
    </row>
    <row r="37" spans="2:46" x14ac:dyDescent="0.2">
      <c r="B37" s="85"/>
      <c r="C37" s="85"/>
      <c r="D37" s="85"/>
      <c r="E37" s="85"/>
      <c r="F37" s="85"/>
      <c r="G37" s="85"/>
      <c r="H37" s="85"/>
      <c r="I37" s="85"/>
      <c r="J37" s="85"/>
      <c r="K37" s="85"/>
      <c r="L37" s="85"/>
      <c r="M37" s="85"/>
      <c r="N37" s="85"/>
      <c r="O37" s="85"/>
      <c r="P37" s="85"/>
      <c r="Q37" s="85"/>
      <c r="R37" s="85"/>
      <c r="S37" s="85"/>
      <c r="T37" s="85"/>
      <c r="U37" s="85"/>
      <c r="V37" s="85"/>
      <c r="W37" s="85"/>
      <c r="X37" s="85"/>
      <c r="Y37" s="85"/>
      <c r="Z37" s="85"/>
      <c r="AA37" s="85"/>
      <c r="AB37" s="85"/>
      <c r="AC37" s="85"/>
      <c r="AD37" s="85"/>
      <c r="AE37" s="85"/>
      <c r="AF37" s="85"/>
      <c r="AG37" s="85"/>
      <c r="AH37" s="85"/>
      <c r="AI37" s="85"/>
      <c r="AJ37" s="85"/>
      <c r="AK37" s="85"/>
      <c r="AL37" s="85"/>
      <c r="AM37" s="85"/>
      <c r="AN37" s="85"/>
      <c r="AO37" s="85"/>
      <c r="AP37" s="85"/>
      <c r="AQ37" s="85"/>
      <c r="AR37" s="85"/>
      <c r="AS37" s="85"/>
      <c r="AT37" s="85"/>
    </row>
    <row r="38" spans="2:46" x14ac:dyDescent="0.2">
      <c r="B38" s="85"/>
      <c r="C38" s="85"/>
      <c r="D38" s="85"/>
      <c r="E38" s="85"/>
      <c r="F38" s="85"/>
      <c r="G38" s="85"/>
      <c r="H38" s="85"/>
      <c r="I38" s="85"/>
      <c r="J38" s="85"/>
      <c r="K38" s="85"/>
      <c r="L38" s="85"/>
      <c r="M38" s="85"/>
      <c r="N38" s="85"/>
      <c r="O38" s="85"/>
      <c r="P38" s="85"/>
      <c r="Q38" s="85"/>
      <c r="R38" s="85"/>
      <c r="S38" s="85"/>
      <c r="T38" s="85"/>
      <c r="U38" s="85"/>
      <c r="V38" s="85"/>
      <c r="W38" s="85"/>
      <c r="X38" s="85"/>
      <c r="Y38" s="85"/>
      <c r="Z38" s="85"/>
      <c r="AA38" s="85"/>
      <c r="AB38" s="85"/>
      <c r="AC38" s="85"/>
      <c r="AD38" s="85"/>
      <c r="AE38" s="85"/>
      <c r="AF38" s="85"/>
      <c r="AG38" s="85"/>
      <c r="AH38" s="85"/>
      <c r="AI38" s="85"/>
      <c r="AJ38" s="85"/>
      <c r="AK38" s="85"/>
      <c r="AL38" s="85"/>
      <c r="AM38" s="85"/>
      <c r="AN38" s="85"/>
      <c r="AO38" s="85"/>
      <c r="AP38" s="85"/>
      <c r="AQ38" s="85"/>
      <c r="AR38" s="85"/>
      <c r="AS38" s="85"/>
      <c r="AT38" s="85"/>
    </row>
    <row r="39" spans="2:46" x14ac:dyDescent="0.2">
      <c r="B39" s="85"/>
      <c r="C39" s="85"/>
      <c r="D39" s="85"/>
      <c r="E39" s="85"/>
      <c r="F39" s="85"/>
      <c r="G39" s="85"/>
      <c r="H39" s="85"/>
      <c r="I39" s="85"/>
      <c r="J39" s="85"/>
      <c r="K39" s="85"/>
      <c r="L39" s="85"/>
      <c r="M39" s="85"/>
      <c r="N39" s="85"/>
      <c r="O39" s="85"/>
      <c r="P39" s="85"/>
      <c r="Q39" s="85"/>
      <c r="R39" s="85"/>
      <c r="S39" s="85"/>
      <c r="T39" s="85"/>
      <c r="U39" s="85"/>
      <c r="V39" s="85"/>
      <c r="W39" s="85"/>
      <c r="X39" s="85"/>
      <c r="Y39" s="85"/>
      <c r="Z39" s="85"/>
      <c r="AA39" s="85"/>
      <c r="AB39" s="85"/>
      <c r="AC39" s="85"/>
      <c r="AD39" s="85"/>
      <c r="AE39" s="85"/>
      <c r="AF39" s="85"/>
      <c r="AG39" s="85"/>
      <c r="AH39" s="85"/>
      <c r="AI39" s="85"/>
      <c r="AJ39" s="85"/>
      <c r="AK39" s="85"/>
      <c r="AL39" s="85"/>
      <c r="AM39" s="85"/>
      <c r="AN39" s="85"/>
      <c r="AO39" s="85"/>
      <c r="AP39" s="85"/>
      <c r="AQ39" s="85"/>
      <c r="AR39" s="85"/>
      <c r="AS39" s="85"/>
      <c r="AT39" s="85"/>
    </row>
    <row r="40" spans="2:46" x14ac:dyDescent="0.2">
      <c r="B40" s="85"/>
      <c r="C40" s="85"/>
      <c r="D40" s="85"/>
      <c r="E40" s="85"/>
      <c r="F40" s="85"/>
      <c r="G40" s="85"/>
      <c r="H40" s="85"/>
      <c r="I40" s="85"/>
      <c r="J40" s="85"/>
      <c r="K40" s="85"/>
      <c r="L40" s="85"/>
      <c r="M40" s="85"/>
      <c r="N40" s="85"/>
      <c r="O40" s="85"/>
      <c r="P40" s="85"/>
      <c r="Q40" s="85"/>
      <c r="R40" s="85"/>
      <c r="S40" s="85"/>
      <c r="T40" s="85"/>
      <c r="U40" s="85"/>
      <c r="V40" s="85"/>
      <c r="W40" s="85"/>
      <c r="X40" s="85"/>
      <c r="Y40" s="85"/>
      <c r="Z40" s="85"/>
      <c r="AA40" s="85"/>
      <c r="AB40" s="85"/>
      <c r="AC40" s="85"/>
      <c r="AD40" s="85"/>
      <c r="AE40" s="85"/>
      <c r="AF40" s="85"/>
      <c r="AG40" s="85"/>
      <c r="AH40" s="85"/>
      <c r="AI40" s="85"/>
      <c r="AJ40" s="85"/>
      <c r="AK40" s="85"/>
      <c r="AL40" s="85"/>
      <c r="AM40" s="85"/>
      <c r="AN40" s="85"/>
      <c r="AO40" s="85"/>
      <c r="AP40" s="85"/>
      <c r="AQ40" s="85"/>
      <c r="AR40" s="85"/>
      <c r="AS40" s="85"/>
      <c r="AT40" s="85"/>
    </row>
    <row r="41" spans="2:46" x14ac:dyDescent="0.2">
      <c r="B41" s="85"/>
      <c r="C41" s="85"/>
      <c r="D41" s="85"/>
      <c r="E41" s="85"/>
      <c r="F41" s="85"/>
      <c r="G41" s="85"/>
      <c r="H41" s="85"/>
      <c r="I41" s="85"/>
      <c r="J41" s="85"/>
      <c r="K41" s="85"/>
      <c r="L41" s="85"/>
      <c r="M41" s="85"/>
      <c r="N41" s="85"/>
      <c r="O41" s="85"/>
      <c r="P41" s="85"/>
      <c r="Q41" s="85"/>
      <c r="R41" s="85"/>
      <c r="S41" s="85"/>
      <c r="T41" s="85"/>
      <c r="U41" s="85"/>
      <c r="V41" s="85"/>
      <c r="W41" s="85"/>
      <c r="X41" s="85"/>
      <c r="Y41" s="85"/>
      <c r="Z41" s="85"/>
      <c r="AA41" s="85"/>
      <c r="AB41" s="85"/>
      <c r="AC41" s="85"/>
      <c r="AD41" s="85"/>
      <c r="AE41" s="85"/>
      <c r="AF41" s="85"/>
      <c r="AG41" s="85"/>
      <c r="AH41" s="85"/>
      <c r="AI41" s="85"/>
      <c r="AJ41" s="85"/>
      <c r="AK41" s="85"/>
      <c r="AL41" s="85"/>
      <c r="AM41" s="85"/>
      <c r="AN41" s="85"/>
      <c r="AO41" s="85"/>
      <c r="AP41" s="85"/>
      <c r="AQ41" s="85"/>
      <c r="AR41" s="85"/>
      <c r="AS41" s="85"/>
      <c r="AT41" s="85"/>
    </row>
    <row r="42" spans="2:46" x14ac:dyDescent="0.2">
      <c r="B42" s="8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85"/>
      <c r="AC42" s="85"/>
      <c r="AD42" s="85"/>
      <c r="AE42" s="85"/>
      <c r="AF42" s="85"/>
      <c r="AG42" s="85"/>
      <c r="AH42" s="85"/>
      <c r="AI42" s="85"/>
      <c r="AJ42" s="85"/>
      <c r="AK42" s="85"/>
      <c r="AL42" s="85"/>
      <c r="AM42" s="85"/>
      <c r="AN42" s="85"/>
      <c r="AO42" s="85"/>
      <c r="AP42" s="85"/>
      <c r="AQ42" s="85"/>
      <c r="AR42" s="85"/>
      <c r="AS42" s="85"/>
      <c r="AT42" s="85"/>
    </row>
    <row r="43" spans="2:46" x14ac:dyDescent="0.2">
      <c r="B43" s="85"/>
      <c r="C43" s="85"/>
      <c r="D43" s="85"/>
      <c r="E43" s="85"/>
      <c r="F43" s="85"/>
      <c r="G43" s="85"/>
      <c r="H43" s="85"/>
      <c r="I43" s="85"/>
      <c r="J43" s="85"/>
      <c r="K43" s="85"/>
      <c r="L43" s="85"/>
      <c r="M43" s="85"/>
      <c r="N43" s="85"/>
      <c r="O43" s="85"/>
      <c r="P43" s="85"/>
      <c r="Q43" s="85"/>
      <c r="R43" s="85"/>
      <c r="S43" s="85"/>
      <c r="T43" s="85"/>
      <c r="U43" s="85"/>
      <c r="V43" s="85"/>
      <c r="W43" s="85"/>
      <c r="X43" s="85"/>
      <c r="Y43" s="85"/>
      <c r="Z43" s="85"/>
      <c r="AA43" s="85"/>
      <c r="AB43" s="85"/>
      <c r="AC43" s="85"/>
      <c r="AD43" s="85"/>
      <c r="AE43" s="85"/>
      <c r="AF43" s="85"/>
      <c r="AG43" s="85"/>
      <c r="AH43" s="85"/>
      <c r="AI43" s="85"/>
      <c r="AJ43" s="85"/>
      <c r="AK43" s="85"/>
      <c r="AL43" s="85"/>
      <c r="AM43" s="85"/>
      <c r="AN43" s="85"/>
      <c r="AO43" s="85"/>
      <c r="AP43" s="85"/>
      <c r="AQ43" s="85"/>
      <c r="AR43" s="85"/>
      <c r="AS43" s="85"/>
      <c r="AT43" s="85"/>
    </row>
    <row r="44" spans="2:46" x14ac:dyDescent="0.2">
      <c r="B44" s="85"/>
      <c r="C44" s="85"/>
      <c r="D44" s="85"/>
      <c r="E44" s="85"/>
      <c r="F44" s="85"/>
      <c r="G44" s="85"/>
      <c r="H44" s="85"/>
      <c r="I44" s="85"/>
      <c r="J44" s="85"/>
      <c r="K44" s="85"/>
      <c r="L44" s="85"/>
      <c r="M44" s="85"/>
      <c r="N44" s="85"/>
      <c r="O44" s="85"/>
      <c r="P44" s="85"/>
      <c r="Q44" s="85"/>
      <c r="R44" s="85"/>
      <c r="S44" s="85"/>
      <c r="T44" s="85"/>
      <c r="U44" s="85"/>
      <c r="V44" s="85"/>
      <c r="W44" s="85"/>
      <c r="X44" s="85"/>
      <c r="Y44" s="85"/>
      <c r="Z44" s="85"/>
      <c r="AA44" s="85"/>
      <c r="AB44" s="85"/>
      <c r="AC44" s="85"/>
      <c r="AD44" s="85"/>
      <c r="AE44" s="85"/>
      <c r="AF44" s="85"/>
      <c r="AG44" s="85"/>
      <c r="AH44" s="85"/>
      <c r="AI44" s="85"/>
      <c r="AJ44" s="85"/>
      <c r="AK44" s="85"/>
      <c r="AL44" s="85"/>
      <c r="AM44" s="85"/>
      <c r="AN44" s="85"/>
      <c r="AO44" s="85"/>
      <c r="AP44" s="85"/>
      <c r="AQ44" s="85"/>
      <c r="AR44" s="85"/>
      <c r="AS44" s="85"/>
      <c r="AT44" s="85"/>
    </row>
    <row r="45" spans="2:46" x14ac:dyDescent="0.2">
      <c r="B45" s="85"/>
      <c r="C45" s="85"/>
      <c r="D45" s="85"/>
      <c r="E45" s="85"/>
      <c r="F45" s="85"/>
      <c r="G45" s="85"/>
      <c r="H45" s="85"/>
      <c r="I45" s="85"/>
      <c r="J45" s="85"/>
      <c r="K45" s="85"/>
      <c r="L45" s="85"/>
      <c r="M45" s="85"/>
      <c r="N45" s="85"/>
      <c r="O45" s="85"/>
      <c r="P45" s="85"/>
      <c r="Q45" s="85"/>
      <c r="R45" s="85"/>
      <c r="S45" s="85"/>
      <c r="T45" s="85"/>
      <c r="U45" s="85"/>
      <c r="V45" s="85"/>
      <c r="W45" s="85"/>
      <c r="X45" s="85"/>
      <c r="Y45" s="85"/>
      <c r="Z45" s="85"/>
      <c r="AA45" s="85"/>
      <c r="AB45" s="85"/>
      <c r="AC45" s="85"/>
      <c r="AD45" s="85"/>
      <c r="AE45" s="85"/>
      <c r="AF45" s="85"/>
      <c r="AG45" s="85"/>
      <c r="AH45" s="85"/>
      <c r="AI45" s="85"/>
      <c r="AJ45" s="85"/>
      <c r="AK45" s="85"/>
      <c r="AL45" s="85"/>
      <c r="AM45" s="85"/>
      <c r="AN45" s="85"/>
      <c r="AO45" s="85"/>
      <c r="AP45" s="85"/>
      <c r="AQ45" s="85"/>
      <c r="AR45" s="85"/>
      <c r="AS45" s="85"/>
      <c r="AT45" s="85"/>
    </row>
    <row r="46" spans="2:46" x14ac:dyDescent="0.2">
      <c r="B46" s="85"/>
      <c r="C46" s="85"/>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85"/>
      <c r="AD46" s="85"/>
      <c r="AE46" s="85"/>
      <c r="AF46" s="85"/>
      <c r="AG46" s="85"/>
      <c r="AH46" s="85"/>
      <c r="AI46" s="85"/>
      <c r="AJ46" s="85"/>
      <c r="AK46" s="85"/>
      <c r="AL46" s="85"/>
      <c r="AM46" s="85"/>
      <c r="AN46" s="85"/>
      <c r="AO46" s="85"/>
      <c r="AP46" s="85"/>
      <c r="AQ46" s="85"/>
      <c r="AR46" s="85"/>
      <c r="AS46" s="85"/>
      <c r="AT46" s="85"/>
    </row>
  </sheetData>
  <sheetProtection selectLockedCells="1" selectUnlockedCells="1"/>
  <mergeCells count="24">
    <mergeCell ref="A18:A19"/>
    <mergeCell ref="B9:H9"/>
    <mergeCell ref="B1:H1"/>
    <mergeCell ref="I1:AI1"/>
    <mergeCell ref="AJ1:AN1"/>
    <mergeCell ref="B2:H2"/>
    <mergeCell ref="A3:A8"/>
    <mergeCell ref="B3:H3"/>
    <mergeCell ref="B4:H4"/>
    <mergeCell ref="B5:H5"/>
    <mergeCell ref="B6:H6"/>
    <mergeCell ref="B7:H7"/>
    <mergeCell ref="B8:H8"/>
    <mergeCell ref="B18:H18"/>
    <mergeCell ref="B19:H19"/>
    <mergeCell ref="B16:H16"/>
    <mergeCell ref="A15:A16"/>
    <mergeCell ref="B15:H15"/>
    <mergeCell ref="I9:AN9"/>
    <mergeCell ref="A10:A13"/>
    <mergeCell ref="B10:H10"/>
    <mergeCell ref="B11:H11"/>
    <mergeCell ref="B12:H12"/>
    <mergeCell ref="B13:H13"/>
  </mergeCells>
  <phoneticPr fontId="2" type="noConversion"/>
  <conditionalFormatting sqref="I16:AN17">
    <cfRule type="cellIs" dxfId="5" priority="2" stopIfTrue="1" operator="notEqual">
      <formula>0</formula>
    </cfRule>
  </conditionalFormatting>
  <conditionalFormatting sqref="I18:AN18">
    <cfRule type="cellIs" dxfId="4" priority="3" stopIfTrue="1" operator="notEqual">
      <formula>0</formula>
    </cfRule>
  </conditionalFormatting>
  <conditionalFormatting sqref="I14:AN14 I11:AN12">
    <cfRule type="cellIs" dxfId="3" priority="4" stopIfTrue="1" operator="equal">
      <formula>0</formula>
    </cfRule>
  </conditionalFormatting>
  <conditionalFormatting sqref="I15:AN15">
    <cfRule type="cellIs" dxfId="2" priority="5" stopIfTrue="1" operator="equal">
      <formula>0</formula>
    </cfRule>
  </conditionalFormatting>
  <conditionalFormatting sqref="I19:AN19">
    <cfRule type="cellIs" dxfId="1" priority="6" stopIfTrue="1" operator="equal">
      <formula>0</formula>
    </cfRule>
  </conditionalFormatting>
  <conditionalFormatting sqref="I13:AN13">
    <cfRule type="cellIs" dxfId="0" priority="1" stopIfTrue="1" operator="notEqual">
      <formula>0</formula>
    </cfRule>
  </conditionalFormatting>
  <printOptions horizontalCentered="1" verticalCentered="1"/>
  <pageMargins left="0.39370078740157483" right="0.39370078740157483" top="0.55118110236220474" bottom="0.59055118110236227" header="0.39370078740157483" footer="0.39370078740157483"/>
  <pageSetup paperSize="9" scale="27" orientation="landscape" r:id="rId1"/>
  <headerFooter alignWithMargins="0">
    <oddFooter xml:space="preserve">&amp;C&amp;26&amp;P de &amp;N&amp;R&amp;26www.cpavitoria06.com   
info@cpavitoria06.com   </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42"/>
  <sheetViews>
    <sheetView showGridLines="0" zoomScaleNormal="100" workbookViewId="0">
      <selection activeCell="H43" sqref="H43"/>
    </sheetView>
  </sheetViews>
  <sheetFormatPr baseColWidth="10" defaultRowHeight="12.75" x14ac:dyDescent="0.2"/>
  <sheetData>
    <row r="1" spans="1:14" ht="76.5" customHeight="1" x14ac:dyDescent="0.2">
      <c r="A1" s="256"/>
      <c r="B1" s="256"/>
      <c r="C1" s="396" t="s">
        <v>90</v>
      </c>
      <c r="D1" s="396"/>
      <c r="E1" s="396"/>
      <c r="F1" s="396"/>
      <c r="G1" s="396"/>
      <c r="H1" s="396"/>
      <c r="I1" s="396"/>
      <c r="J1" s="255" t="s">
        <v>99</v>
      </c>
      <c r="K1" s="256"/>
    </row>
    <row r="2" spans="1:14" x14ac:dyDescent="0.2">
      <c r="A2" s="381"/>
      <c r="B2" s="382"/>
      <c r="C2" s="382"/>
      <c r="D2" s="382"/>
      <c r="E2" s="382"/>
      <c r="F2" s="382"/>
      <c r="G2" s="382"/>
      <c r="H2" s="382"/>
      <c r="I2" s="382"/>
      <c r="J2" s="382"/>
      <c r="K2" s="395"/>
    </row>
    <row r="3" spans="1:14" x14ac:dyDescent="0.2">
      <c r="A3" s="383"/>
      <c r="B3" s="384"/>
      <c r="C3" s="384"/>
      <c r="D3" s="384"/>
      <c r="E3" s="384"/>
      <c r="F3" s="384"/>
      <c r="G3" s="384"/>
      <c r="H3" s="384"/>
      <c r="I3" s="384"/>
      <c r="J3" s="384"/>
      <c r="K3" s="447"/>
    </row>
    <row r="4" spans="1:14" x14ac:dyDescent="0.2">
      <c r="A4" s="383"/>
      <c r="B4" s="384"/>
      <c r="C4" s="384"/>
      <c r="D4" s="384"/>
      <c r="E4" s="384"/>
      <c r="F4" s="384"/>
      <c r="G4" s="384"/>
      <c r="H4" s="384"/>
      <c r="I4" s="384"/>
      <c r="J4" s="384"/>
      <c r="K4" s="447"/>
    </row>
    <row r="5" spans="1:14" x14ac:dyDescent="0.2">
      <c r="A5" s="383"/>
      <c r="B5" s="384"/>
      <c r="C5" s="384"/>
      <c r="D5" s="384"/>
      <c r="E5" s="384"/>
      <c r="F5" s="384"/>
      <c r="G5" s="384"/>
      <c r="H5" s="384"/>
      <c r="I5" s="384"/>
      <c r="J5" s="384"/>
      <c r="K5" s="447"/>
      <c r="N5" s="5"/>
    </row>
    <row r="6" spans="1:14" x14ac:dyDescent="0.2">
      <c r="A6" s="383"/>
      <c r="B6" s="384"/>
      <c r="C6" s="384"/>
      <c r="D6" s="384"/>
      <c r="E6" s="384"/>
      <c r="F6" s="384"/>
      <c r="G6" s="384"/>
      <c r="H6" s="384"/>
      <c r="I6" s="384"/>
      <c r="J6" s="384"/>
      <c r="K6" s="447"/>
    </row>
    <row r="7" spans="1:14" x14ac:dyDescent="0.2">
      <c r="A7" s="383"/>
      <c r="B7" s="384"/>
      <c r="C7" s="384"/>
      <c r="D7" s="384"/>
      <c r="E7" s="384"/>
      <c r="F7" s="384"/>
      <c r="G7" s="384"/>
      <c r="H7" s="384"/>
      <c r="I7" s="384"/>
      <c r="J7" s="384"/>
      <c r="K7" s="447"/>
    </row>
    <row r="8" spans="1:14" x14ac:dyDescent="0.2">
      <c r="A8" s="383"/>
      <c r="B8" s="384"/>
      <c r="C8" s="384"/>
      <c r="D8" s="384"/>
      <c r="E8" s="384"/>
      <c r="F8" s="384"/>
      <c r="G8" s="384"/>
      <c r="H8" s="384"/>
      <c r="I8" s="384"/>
      <c r="J8" s="384"/>
      <c r="K8" s="447"/>
    </row>
    <row r="9" spans="1:14" x14ac:dyDescent="0.2">
      <c r="A9" s="383"/>
      <c r="B9" s="384"/>
      <c r="C9" s="384"/>
      <c r="D9" s="384"/>
      <c r="E9" s="384"/>
      <c r="F9" s="384"/>
      <c r="G9" s="384"/>
      <c r="H9" s="384"/>
      <c r="I9" s="384"/>
      <c r="J9" s="384"/>
      <c r="K9" s="447"/>
    </row>
    <row r="10" spans="1:14" x14ac:dyDescent="0.2">
      <c r="A10" s="383"/>
      <c r="B10" s="384"/>
      <c r="C10" s="384"/>
      <c r="D10" s="384"/>
      <c r="E10" s="384"/>
      <c r="F10" s="384"/>
      <c r="G10" s="384"/>
      <c r="H10" s="384"/>
      <c r="I10" s="384"/>
      <c r="J10" s="384"/>
      <c r="K10" s="447"/>
    </row>
    <row r="11" spans="1:14" x14ac:dyDescent="0.2">
      <c r="A11" s="383"/>
      <c r="B11" s="384"/>
      <c r="C11" s="384"/>
      <c r="D11" s="384"/>
      <c r="E11" s="384"/>
      <c r="F11" s="384"/>
      <c r="G11" s="384"/>
      <c r="H11" s="384"/>
      <c r="I11" s="384"/>
      <c r="J11" s="384"/>
      <c r="K11" s="447"/>
    </row>
    <row r="12" spans="1:14" x14ac:dyDescent="0.2">
      <c r="A12" s="383"/>
      <c r="B12" s="384"/>
      <c r="C12" s="384"/>
      <c r="D12" s="384"/>
      <c r="E12" s="384"/>
      <c r="F12" s="384"/>
      <c r="G12" s="384"/>
      <c r="H12" s="384"/>
      <c r="I12" s="384"/>
      <c r="J12" s="384"/>
      <c r="K12" s="447"/>
    </row>
    <row r="13" spans="1:14" x14ac:dyDescent="0.2">
      <c r="A13" s="383"/>
      <c r="B13" s="384"/>
      <c r="C13" s="384"/>
      <c r="D13" s="384"/>
      <c r="E13" s="384"/>
      <c r="F13" s="384"/>
      <c r="G13" s="384"/>
      <c r="H13" s="384"/>
      <c r="I13" s="384"/>
      <c r="J13" s="384"/>
      <c r="K13" s="447"/>
    </row>
    <row r="14" spans="1:14" x14ac:dyDescent="0.2">
      <c r="A14" s="383"/>
      <c r="B14" s="384"/>
      <c r="C14" s="384"/>
      <c r="D14" s="384"/>
      <c r="E14" s="384"/>
      <c r="F14" s="384"/>
      <c r="G14" s="384"/>
      <c r="H14" s="384"/>
      <c r="I14" s="384"/>
      <c r="J14" s="384"/>
      <c r="K14" s="447"/>
    </row>
    <row r="15" spans="1:14" x14ac:dyDescent="0.2">
      <c r="A15" s="383"/>
      <c r="B15" s="384"/>
      <c r="C15" s="384"/>
      <c r="D15" s="384"/>
      <c r="E15" s="384"/>
      <c r="F15" s="384"/>
      <c r="G15" s="384"/>
      <c r="H15" s="384"/>
      <c r="I15" s="384"/>
      <c r="J15" s="384"/>
      <c r="K15" s="447"/>
    </row>
    <row r="16" spans="1:14" x14ac:dyDescent="0.2">
      <c r="A16" s="383"/>
      <c r="B16" s="384"/>
      <c r="C16" s="384"/>
      <c r="D16" s="384"/>
      <c r="E16" s="384"/>
      <c r="F16" s="384"/>
      <c r="G16" s="384"/>
      <c r="H16" s="384"/>
      <c r="I16" s="384"/>
      <c r="J16" s="384"/>
      <c r="K16" s="447"/>
    </row>
    <row r="17" spans="1:11" x14ac:dyDescent="0.2">
      <c r="A17" s="383"/>
      <c r="B17" s="384"/>
      <c r="C17" s="384"/>
      <c r="D17" s="384"/>
      <c r="E17" s="384"/>
      <c r="F17" s="384"/>
      <c r="G17" s="384"/>
      <c r="H17" s="384"/>
      <c r="I17" s="384"/>
      <c r="J17" s="384"/>
      <c r="K17" s="447"/>
    </row>
    <row r="18" spans="1:11" x14ac:dyDescent="0.2">
      <c r="A18" s="383"/>
      <c r="B18" s="384"/>
      <c r="C18" s="384"/>
      <c r="D18" s="384"/>
      <c r="E18" s="384"/>
      <c r="F18" s="384"/>
      <c r="G18" s="384"/>
      <c r="H18" s="384"/>
      <c r="I18" s="384"/>
      <c r="J18" s="384"/>
      <c r="K18" s="447"/>
    </row>
    <row r="19" spans="1:11" x14ac:dyDescent="0.2">
      <c r="A19" s="383"/>
      <c r="B19" s="384"/>
      <c r="C19" s="384"/>
      <c r="D19" s="384"/>
      <c r="E19" s="384"/>
      <c r="F19" s="384"/>
      <c r="G19" s="384"/>
      <c r="H19" s="384"/>
      <c r="I19" s="384"/>
      <c r="J19" s="384"/>
      <c r="K19" s="447"/>
    </row>
    <row r="20" spans="1:11" x14ac:dyDescent="0.2">
      <c r="A20" s="383"/>
      <c r="B20" s="384"/>
      <c r="C20" s="384"/>
      <c r="D20" s="384"/>
      <c r="E20" s="384"/>
      <c r="F20" s="384"/>
      <c r="G20" s="384"/>
      <c r="H20" s="384"/>
      <c r="I20" s="384"/>
      <c r="J20" s="384"/>
      <c r="K20" s="447"/>
    </row>
    <row r="21" spans="1:11" x14ac:dyDescent="0.2">
      <c r="A21" s="383"/>
      <c r="B21" s="384"/>
      <c r="C21" s="384"/>
      <c r="D21" s="384"/>
      <c r="E21" s="384"/>
      <c r="F21" s="384"/>
      <c r="G21" s="384"/>
      <c r="H21" s="384"/>
      <c r="I21" s="384"/>
      <c r="J21" s="384"/>
      <c r="K21" s="447"/>
    </row>
    <row r="22" spans="1:11" x14ac:dyDescent="0.2">
      <c r="A22" s="383"/>
      <c r="B22" s="384"/>
      <c r="C22" s="384"/>
      <c r="D22" s="384"/>
      <c r="E22" s="384"/>
      <c r="F22" s="384"/>
      <c r="G22" s="384"/>
      <c r="H22" s="384"/>
      <c r="I22" s="384"/>
      <c r="J22" s="384"/>
      <c r="K22" s="447"/>
    </row>
    <row r="23" spans="1:11" x14ac:dyDescent="0.2">
      <c r="A23" s="383"/>
      <c r="B23" s="384"/>
      <c r="C23" s="384"/>
      <c r="D23" s="384"/>
      <c r="E23" s="384"/>
      <c r="F23" s="384"/>
      <c r="G23" s="384"/>
      <c r="H23" s="384"/>
      <c r="I23" s="384"/>
      <c r="J23" s="384"/>
      <c r="K23" s="447"/>
    </row>
    <row r="24" spans="1:11" x14ac:dyDescent="0.2">
      <c r="A24" s="385"/>
      <c r="B24" s="386"/>
      <c r="C24" s="386"/>
      <c r="D24" s="386"/>
      <c r="E24" s="386"/>
      <c r="F24" s="386"/>
      <c r="G24" s="386"/>
      <c r="H24" s="386"/>
      <c r="I24" s="386"/>
      <c r="J24" s="386"/>
      <c r="K24" s="448"/>
    </row>
    <row r="42" ht="24.75" customHeight="1" x14ac:dyDescent="0.2"/>
  </sheetData>
  <mergeCells count="4">
    <mergeCell ref="A1:B1"/>
    <mergeCell ref="C1:I1"/>
    <mergeCell ref="J1:K1"/>
    <mergeCell ref="A2:K24"/>
  </mergeCells>
  <printOptions horizontalCentered="1" verticalCentered="1"/>
  <pageMargins left="0.39370078740157483" right="0.39370078740157483" top="0.74803149606299213" bottom="0.74803149606299213" header="0.31496062992125984" footer="0.31496062992125984"/>
  <pageSetup paperSize="9" orientation="landscape" horizontalDpi="200" verticalDpi="200" r:id="rId1"/>
  <headerFooter>
    <oddFooter xml:space="preserve">&amp;C&amp;P de &amp;N&amp;Rwww.cpavitoria06.com      
info@cpavitoria06.com      </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30"/>
  <sheetViews>
    <sheetView workbookViewId="0">
      <selection activeCell="N12" sqref="N12"/>
    </sheetView>
  </sheetViews>
  <sheetFormatPr baseColWidth="10" defaultRowHeight="12.75" x14ac:dyDescent="0.2"/>
  <cols>
    <col min="1" max="1" width="11.42578125" customWidth="1"/>
    <col min="2" max="2" width="13.5703125" bestFit="1" customWidth="1"/>
    <col min="3" max="3" width="15.5703125" customWidth="1"/>
    <col min="4" max="4" width="9.28515625" customWidth="1"/>
    <col min="5" max="8" width="13.5703125" customWidth="1"/>
  </cols>
  <sheetData>
    <row r="1" spans="1:8" ht="67.5" customHeight="1" x14ac:dyDescent="0.2">
      <c r="A1" s="449"/>
      <c r="B1" s="450"/>
      <c r="C1" s="451" t="s">
        <v>132</v>
      </c>
      <c r="D1" s="452"/>
      <c r="E1" s="452"/>
      <c r="F1" s="453"/>
      <c r="G1" s="454" t="s">
        <v>133</v>
      </c>
      <c r="H1" s="455"/>
    </row>
    <row r="2" spans="1:8" ht="15" customHeight="1" x14ac:dyDescent="0.2">
      <c r="A2" s="118" t="s">
        <v>13</v>
      </c>
      <c r="B2" s="118" t="s">
        <v>134</v>
      </c>
      <c r="C2" s="118" t="s">
        <v>135</v>
      </c>
      <c r="D2" s="118" t="s">
        <v>136</v>
      </c>
      <c r="E2" s="119" t="s">
        <v>137</v>
      </c>
      <c r="F2" s="120" t="s">
        <v>138</v>
      </c>
      <c r="G2" s="121" t="s">
        <v>139</v>
      </c>
      <c r="H2" s="121" t="s">
        <v>140</v>
      </c>
    </row>
    <row r="3" spans="1:8" ht="15" customHeight="1" x14ac:dyDescent="0.2">
      <c r="A3" s="122"/>
      <c r="B3" s="123"/>
      <c r="C3" s="124"/>
      <c r="D3" s="125"/>
      <c r="E3" s="126">
        <f>SUM(E4:E160)</f>
        <v>0</v>
      </c>
      <c r="F3" s="127">
        <f>SUM(F4:F160)</f>
        <v>0</v>
      </c>
      <c r="G3" s="128">
        <f>SUM(G4:G160)</f>
        <v>0</v>
      </c>
      <c r="H3" s="128">
        <f>SUM(E3:G3)</f>
        <v>0</v>
      </c>
    </row>
    <row r="4" spans="1:8" ht="15" customHeight="1" x14ac:dyDescent="0.2">
      <c r="A4" s="129"/>
      <c r="B4" s="129"/>
      <c r="C4" s="129"/>
      <c r="D4" s="129"/>
      <c r="E4" s="130"/>
      <c r="F4" s="130"/>
      <c r="G4" s="130"/>
      <c r="H4" s="130"/>
    </row>
    <row r="5" spans="1:8" ht="15" customHeight="1" x14ac:dyDescent="0.2">
      <c r="A5" s="130"/>
      <c r="B5" s="130"/>
      <c r="C5" s="130"/>
      <c r="D5" s="130"/>
      <c r="E5" s="130"/>
      <c r="F5" s="130"/>
      <c r="G5" s="130"/>
      <c r="H5" s="130"/>
    </row>
    <row r="6" spans="1:8" ht="15" customHeight="1" x14ac:dyDescent="0.2">
      <c r="A6" s="130"/>
      <c r="B6" s="130"/>
      <c r="C6" s="130"/>
      <c r="D6" s="130"/>
      <c r="E6" s="130"/>
      <c r="F6" s="130"/>
      <c r="G6" s="130"/>
      <c r="H6" s="130"/>
    </row>
    <row r="7" spans="1:8" ht="15" customHeight="1" x14ac:dyDescent="0.2">
      <c r="A7" s="130"/>
      <c r="B7" s="130"/>
      <c r="C7" s="130"/>
      <c r="D7" s="130"/>
      <c r="E7" s="130"/>
      <c r="F7" s="130"/>
      <c r="G7" s="130"/>
      <c r="H7" s="130"/>
    </row>
    <row r="8" spans="1:8" ht="15" customHeight="1" x14ac:dyDescent="0.2">
      <c r="A8" s="130"/>
      <c r="B8" s="130"/>
      <c r="C8" s="130"/>
      <c r="D8" s="130"/>
      <c r="E8" s="130"/>
      <c r="F8" s="130"/>
      <c r="G8" s="130"/>
      <c r="H8" s="130"/>
    </row>
    <row r="9" spans="1:8" ht="15" customHeight="1" x14ac:dyDescent="0.2">
      <c r="A9" s="130"/>
      <c r="B9" s="130"/>
      <c r="C9" s="130"/>
      <c r="D9" s="130"/>
      <c r="E9" s="130"/>
      <c r="F9" s="130"/>
      <c r="G9" s="130"/>
      <c r="H9" s="130"/>
    </row>
    <row r="10" spans="1:8" ht="15" customHeight="1" x14ac:dyDescent="0.2">
      <c r="A10" s="130"/>
      <c r="B10" s="130"/>
      <c r="C10" s="130"/>
      <c r="D10" s="130"/>
      <c r="E10" s="130"/>
      <c r="F10" s="130"/>
      <c r="G10" s="130"/>
      <c r="H10" s="130"/>
    </row>
    <row r="11" spans="1:8" ht="15" customHeight="1" x14ac:dyDescent="0.2">
      <c r="A11" s="130"/>
      <c r="B11" s="130"/>
      <c r="C11" s="130"/>
      <c r="D11" s="130"/>
      <c r="E11" s="130"/>
      <c r="F11" s="130"/>
      <c r="G11" s="130"/>
      <c r="H11" s="130"/>
    </row>
    <row r="12" spans="1:8" ht="15" customHeight="1" x14ac:dyDescent="0.2">
      <c r="A12" s="130"/>
      <c r="B12" s="130"/>
      <c r="C12" s="130"/>
      <c r="D12" s="130"/>
      <c r="E12" s="130"/>
      <c r="F12" s="130"/>
      <c r="G12" s="130"/>
      <c r="H12" s="130"/>
    </row>
    <row r="13" spans="1:8" ht="15" customHeight="1" x14ac:dyDescent="0.2">
      <c r="A13" s="130"/>
      <c r="B13" s="130"/>
      <c r="C13" s="130"/>
      <c r="D13" s="130"/>
      <c r="E13" s="130"/>
      <c r="F13" s="130"/>
      <c r="G13" s="130"/>
      <c r="H13" s="130"/>
    </row>
    <row r="14" spans="1:8" ht="15" customHeight="1" x14ac:dyDescent="0.2">
      <c r="A14" s="130"/>
      <c r="B14" s="130"/>
      <c r="C14" s="130"/>
      <c r="D14" s="130"/>
      <c r="E14" s="130"/>
      <c r="F14" s="130"/>
      <c r="G14" s="130"/>
      <c r="H14" s="130"/>
    </row>
    <row r="15" spans="1:8" ht="15" customHeight="1" x14ac:dyDescent="0.2">
      <c r="A15" s="130"/>
      <c r="B15" s="130"/>
      <c r="C15" s="130"/>
      <c r="D15" s="130"/>
      <c r="E15" s="130"/>
      <c r="F15" s="130"/>
      <c r="G15" s="130"/>
      <c r="H15" s="130"/>
    </row>
    <row r="16" spans="1:8" ht="15" customHeight="1" x14ac:dyDescent="0.2">
      <c r="A16" s="130"/>
      <c r="B16" s="130"/>
      <c r="C16" s="130"/>
      <c r="D16" s="130"/>
      <c r="E16" s="130"/>
      <c r="F16" s="130"/>
      <c r="G16" s="130"/>
      <c r="H16" s="130"/>
    </row>
    <row r="17" spans="1:8" ht="15" customHeight="1" x14ac:dyDescent="0.2">
      <c r="A17" s="130"/>
      <c r="B17" s="130"/>
      <c r="C17" s="130"/>
      <c r="D17" s="130"/>
      <c r="E17" s="130"/>
      <c r="F17" s="130"/>
      <c r="G17" s="130"/>
      <c r="H17" s="130"/>
    </row>
    <row r="18" spans="1:8" ht="15" customHeight="1" x14ac:dyDescent="0.2">
      <c r="A18" s="130"/>
      <c r="B18" s="130"/>
      <c r="C18" s="130"/>
      <c r="D18" s="130"/>
      <c r="E18" s="130"/>
      <c r="F18" s="130"/>
      <c r="G18" s="130"/>
      <c r="H18" s="130"/>
    </row>
    <row r="19" spans="1:8" ht="15" customHeight="1" x14ac:dyDescent="0.2">
      <c r="A19" s="130"/>
      <c r="B19" s="130"/>
      <c r="C19" s="130"/>
      <c r="D19" s="130"/>
      <c r="E19" s="130"/>
      <c r="F19" s="130"/>
      <c r="G19" s="130"/>
      <c r="H19" s="130"/>
    </row>
    <row r="20" spans="1:8" ht="15" customHeight="1" x14ac:dyDescent="0.2">
      <c r="A20" s="130"/>
      <c r="B20" s="130"/>
      <c r="C20" s="130"/>
      <c r="D20" s="130"/>
      <c r="E20" s="130"/>
      <c r="F20" s="130"/>
      <c r="G20" s="130"/>
      <c r="H20" s="130"/>
    </row>
    <row r="21" spans="1:8" ht="15" customHeight="1" x14ac:dyDescent="0.2">
      <c r="A21" s="130"/>
      <c r="B21" s="130"/>
      <c r="C21" s="130"/>
      <c r="D21" s="130"/>
      <c r="E21" s="130"/>
      <c r="F21" s="130"/>
      <c r="G21" s="130"/>
      <c r="H21" s="130"/>
    </row>
    <row r="22" spans="1:8" ht="15" customHeight="1" x14ac:dyDescent="0.2">
      <c r="A22" s="130"/>
      <c r="B22" s="130"/>
      <c r="C22" s="130"/>
      <c r="D22" s="130"/>
      <c r="E22" s="130"/>
      <c r="F22" s="130"/>
      <c r="G22" s="130"/>
      <c r="H22" s="130"/>
    </row>
    <row r="23" spans="1:8" ht="15" customHeight="1" x14ac:dyDescent="0.2">
      <c r="A23" s="130"/>
      <c r="B23" s="130"/>
      <c r="C23" s="130"/>
      <c r="D23" s="130"/>
      <c r="E23" s="130"/>
      <c r="F23" s="130"/>
      <c r="G23" s="130"/>
      <c r="H23" s="130"/>
    </row>
    <row r="24" spans="1:8" ht="15" customHeight="1" x14ac:dyDescent="0.2">
      <c r="A24" s="130"/>
      <c r="B24" s="130"/>
      <c r="C24" s="130"/>
      <c r="D24" s="130"/>
      <c r="E24" s="130"/>
      <c r="F24" s="130"/>
      <c r="G24" s="130"/>
      <c r="H24" s="130"/>
    </row>
    <row r="25" spans="1:8" ht="15" customHeight="1" x14ac:dyDescent="0.2">
      <c r="A25" s="130"/>
      <c r="B25" s="130"/>
      <c r="C25" s="130"/>
      <c r="D25" s="130"/>
      <c r="E25" s="130"/>
      <c r="F25" s="130"/>
      <c r="G25" s="130"/>
      <c r="H25" s="130"/>
    </row>
    <row r="26" spans="1:8" ht="15" customHeight="1" x14ac:dyDescent="0.2">
      <c r="A26" s="130"/>
      <c r="B26" s="130"/>
      <c r="C26" s="130"/>
      <c r="D26" s="130"/>
      <c r="E26" s="130"/>
      <c r="F26" s="130"/>
      <c r="G26" s="130"/>
      <c r="H26" s="130"/>
    </row>
    <row r="27" spans="1:8" ht="15" customHeight="1" x14ac:dyDescent="0.2">
      <c r="A27" s="130"/>
      <c r="B27" s="130"/>
      <c r="C27" s="130"/>
      <c r="D27" s="130"/>
      <c r="E27" s="130"/>
      <c r="F27" s="130"/>
      <c r="G27" s="130"/>
      <c r="H27" s="130"/>
    </row>
    <row r="28" spans="1:8" ht="15" customHeight="1" x14ac:dyDescent="0.2">
      <c r="A28" s="130"/>
      <c r="B28" s="130"/>
      <c r="C28" s="130"/>
      <c r="D28" s="130"/>
      <c r="E28" s="130"/>
      <c r="F28" s="130"/>
      <c r="G28" s="130"/>
      <c r="H28" s="130"/>
    </row>
    <row r="29" spans="1:8" ht="15" customHeight="1" x14ac:dyDescent="0.2">
      <c r="A29" s="130"/>
      <c r="B29" s="130"/>
      <c r="C29" s="130"/>
      <c r="D29" s="130"/>
      <c r="E29" s="130"/>
      <c r="F29" s="130"/>
      <c r="G29" s="130"/>
      <c r="H29" s="130"/>
    </row>
    <row r="30" spans="1:8" ht="15" customHeight="1" x14ac:dyDescent="0.2">
      <c r="A30" s="130"/>
      <c r="B30" s="130"/>
      <c r="C30" s="130"/>
      <c r="D30" s="130"/>
      <c r="E30" s="130"/>
      <c r="F30" s="130"/>
      <c r="G30" s="130"/>
      <c r="H30" s="130"/>
    </row>
  </sheetData>
  <mergeCells count="3">
    <mergeCell ref="A1:B1"/>
    <mergeCell ref="C1:F1"/>
    <mergeCell ref="G1:H1"/>
  </mergeCells>
  <pageMargins left="0.7" right="0.7" top="0.75" bottom="0.75" header="0.3" footer="0.3"/>
  <pageSetup paperSize="9" scale="85"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20"/>
  <sheetViews>
    <sheetView showGridLines="0" zoomScaleNormal="100" workbookViewId="0">
      <selection activeCell="AJ21" sqref="AJ21"/>
    </sheetView>
  </sheetViews>
  <sheetFormatPr baseColWidth="10" defaultRowHeight="12.75" x14ac:dyDescent="0.2"/>
  <cols>
    <col min="2" max="2" width="7.28515625" customWidth="1"/>
    <col min="3" max="33" width="4" customWidth="1"/>
    <col min="34" max="34" width="5" customWidth="1"/>
  </cols>
  <sheetData>
    <row r="1" spans="1:34" ht="60.75" customHeight="1" x14ac:dyDescent="0.2">
      <c r="A1" s="467"/>
      <c r="B1" s="468"/>
      <c r="C1" s="469"/>
      <c r="D1" s="451" t="s">
        <v>91</v>
      </c>
      <c r="E1" s="452"/>
      <c r="F1" s="452"/>
      <c r="G1" s="452"/>
      <c r="H1" s="452"/>
      <c r="I1" s="452"/>
      <c r="J1" s="452"/>
      <c r="K1" s="452"/>
      <c r="L1" s="452"/>
      <c r="M1" s="452"/>
      <c r="N1" s="452"/>
      <c r="O1" s="452"/>
      <c r="P1" s="452"/>
      <c r="Q1" s="452"/>
      <c r="R1" s="452"/>
      <c r="S1" s="452"/>
      <c r="T1" s="452"/>
      <c r="U1" s="452"/>
      <c r="V1" s="452"/>
      <c r="W1" s="452"/>
      <c r="X1" s="452"/>
      <c r="Y1" s="452"/>
      <c r="Z1" s="452"/>
      <c r="AA1" s="452"/>
      <c r="AB1" s="452"/>
      <c r="AC1" s="453"/>
      <c r="AD1" s="470" t="s">
        <v>126</v>
      </c>
      <c r="AE1" s="471"/>
      <c r="AF1" s="471"/>
      <c r="AG1" s="471"/>
      <c r="AH1" s="472"/>
    </row>
    <row r="2" spans="1:34" ht="45.75" customHeight="1" x14ac:dyDescent="0.2">
      <c r="A2" s="473" t="s">
        <v>92</v>
      </c>
      <c r="B2" s="474"/>
      <c r="C2" s="70">
        <v>41791</v>
      </c>
      <c r="D2" s="69">
        <v>41792</v>
      </c>
      <c r="E2" s="69">
        <v>41793</v>
      </c>
      <c r="F2" s="69">
        <v>41794</v>
      </c>
      <c r="G2" s="69">
        <v>41795</v>
      </c>
      <c r="H2" s="69">
        <v>41796</v>
      </c>
      <c r="I2" s="70">
        <v>41797</v>
      </c>
      <c r="J2" s="70">
        <v>41798</v>
      </c>
      <c r="K2" s="69">
        <v>41799</v>
      </c>
      <c r="L2" s="69">
        <v>41800</v>
      </c>
      <c r="M2" s="69">
        <v>41801</v>
      </c>
      <c r="N2" s="69">
        <v>41802</v>
      </c>
      <c r="O2" s="69">
        <v>41803</v>
      </c>
      <c r="P2" s="70">
        <v>41804</v>
      </c>
      <c r="Q2" s="70">
        <v>41805</v>
      </c>
      <c r="R2" s="69">
        <v>41806</v>
      </c>
      <c r="S2" s="69">
        <v>41807</v>
      </c>
      <c r="T2" s="69">
        <v>41808</v>
      </c>
      <c r="U2" s="69">
        <v>41809</v>
      </c>
      <c r="V2" s="69">
        <v>41810</v>
      </c>
      <c r="W2" s="70">
        <v>41811</v>
      </c>
      <c r="X2" s="70">
        <v>41812</v>
      </c>
      <c r="Y2" s="69">
        <v>41813</v>
      </c>
      <c r="Z2" s="69">
        <v>41814</v>
      </c>
      <c r="AA2" s="69">
        <v>41815</v>
      </c>
      <c r="AB2" s="69">
        <v>41816</v>
      </c>
      <c r="AC2" s="69">
        <v>41817</v>
      </c>
      <c r="AD2" s="70">
        <v>41818</v>
      </c>
      <c r="AE2" s="70">
        <v>41819</v>
      </c>
      <c r="AF2" s="69">
        <v>41820</v>
      </c>
      <c r="AG2" s="69">
        <v>41821</v>
      </c>
      <c r="AH2" s="71" t="s">
        <v>0</v>
      </c>
    </row>
    <row r="3" spans="1:34" ht="23.25" customHeight="1" x14ac:dyDescent="0.2">
      <c r="A3" s="458" t="s">
        <v>4</v>
      </c>
      <c r="B3" s="458"/>
      <c r="C3" s="39"/>
      <c r="D3" s="39"/>
      <c r="E3" s="40"/>
      <c r="F3" s="40"/>
      <c r="G3" s="40"/>
      <c r="H3" s="40"/>
      <c r="I3" s="40"/>
      <c r="J3" s="40"/>
      <c r="K3" s="40"/>
      <c r="L3" s="40"/>
      <c r="M3" s="40"/>
      <c r="N3" s="40"/>
      <c r="O3" s="40"/>
      <c r="P3" s="40"/>
      <c r="Q3" s="40"/>
      <c r="R3" s="40"/>
      <c r="S3" s="40"/>
      <c r="T3" s="40"/>
      <c r="U3" s="40"/>
      <c r="V3" s="40"/>
      <c r="W3" s="40"/>
      <c r="X3" s="40"/>
      <c r="Y3" s="40"/>
      <c r="Z3" s="40"/>
      <c r="AA3" s="40"/>
      <c r="AB3" s="40"/>
      <c r="AC3" s="40"/>
      <c r="AD3" s="40"/>
      <c r="AE3" s="40"/>
      <c r="AF3" s="40"/>
      <c r="AG3" s="40"/>
      <c r="AH3" s="72">
        <f t="shared" ref="AH3:AH11" si="0">SUM(C3:AG3)</f>
        <v>0</v>
      </c>
    </row>
    <row r="4" spans="1:34" ht="23.25" customHeight="1" x14ac:dyDescent="0.2">
      <c r="A4" s="456" t="s">
        <v>141</v>
      </c>
      <c r="B4" s="457"/>
      <c r="C4" s="39"/>
      <c r="D4" s="39"/>
      <c r="E4" s="40"/>
      <c r="F4" s="40"/>
      <c r="G4" s="40"/>
      <c r="H4" s="40"/>
      <c r="I4" s="40"/>
      <c r="J4" s="40"/>
      <c r="K4" s="40"/>
      <c r="L4" s="40"/>
      <c r="M4" s="40"/>
      <c r="N4" s="40"/>
      <c r="O4" s="40"/>
      <c r="P4" s="40"/>
      <c r="Q4" s="40"/>
      <c r="R4" s="40"/>
      <c r="S4" s="40"/>
      <c r="T4" s="40"/>
      <c r="U4" s="40"/>
      <c r="V4" s="40"/>
      <c r="W4" s="40"/>
      <c r="X4" s="40"/>
      <c r="Y4" s="40"/>
      <c r="Z4" s="40"/>
      <c r="AA4" s="40"/>
      <c r="AB4" s="40"/>
      <c r="AC4" s="40"/>
      <c r="AD4" s="40"/>
      <c r="AE4" s="40"/>
      <c r="AF4" s="40"/>
      <c r="AG4" s="40"/>
      <c r="AH4" s="72">
        <f t="shared" si="0"/>
        <v>0</v>
      </c>
    </row>
    <row r="5" spans="1:34" ht="23.25" customHeight="1" x14ac:dyDescent="0.2">
      <c r="A5" s="456" t="s">
        <v>142</v>
      </c>
      <c r="B5" s="457"/>
      <c r="C5" s="39"/>
      <c r="D5" s="39"/>
      <c r="E5" s="40"/>
      <c r="F5" s="40"/>
      <c r="G5" s="40"/>
      <c r="H5" s="40"/>
      <c r="I5" s="40"/>
      <c r="J5" s="40"/>
      <c r="K5" s="40"/>
      <c r="L5" s="40"/>
      <c r="M5" s="40"/>
      <c r="N5" s="40"/>
      <c r="O5" s="40"/>
      <c r="P5" s="40"/>
      <c r="Q5" s="40"/>
      <c r="R5" s="40"/>
      <c r="S5" s="40"/>
      <c r="T5" s="40"/>
      <c r="U5" s="40"/>
      <c r="V5" s="40"/>
      <c r="W5" s="40"/>
      <c r="X5" s="40"/>
      <c r="Y5" s="40"/>
      <c r="Z5" s="40"/>
      <c r="AA5" s="40"/>
      <c r="AB5" s="40"/>
      <c r="AC5" s="40"/>
      <c r="AD5" s="40"/>
      <c r="AE5" s="40"/>
      <c r="AF5" s="40"/>
      <c r="AG5" s="40"/>
      <c r="AH5" s="72">
        <f t="shared" si="0"/>
        <v>0</v>
      </c>
    </row>
    <row r="6" spans="1:34" ht="23.25" customHeight="1" x14ac:dyDescent="0.2">
      <c r="A6" s="456" t="s">
        <v>143</v>
      </c>
      <c r="B6" s="457"/>
      <c r="C6" s="39"/>
      <c r="D6" s="39"/>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72">
        <f t="shared" si="0"/>
        <v>0</v>
      </c>
    </row>
    <row r="7" spans="1:34" ht="23.25" customHeight="1" x14ac:dyDescent="0.2">
      <c r="A7" s="458" t="s">
        <v>3</v>
      </c>
      <c r="B7" s="458"/>
      <c r="C7" s="39"/>
      <c r="D7" s="39"/>
      <c r="E7" s="40"/>
      <c r="F7" s="40"/>
      <c r="G7" s="40"/>
      <c r="H7" s="40"/>
      <c r="I7" s="40"/>
      <c r="J7" s="40"/>
      <c r="K7" s="40"/>
      <c r="L7" s="40"/>
      <c r="M7" s="40"/>
      <c r="N7" s="40"/>
      <c r="O7" s="40"/>
      <c r="P7" s="40"/>
      <c r="Q7" s="40"/>
      <c r="R7" s="40"/>
      <c r="S7" s="40"/>
      <c r="T7" s="40"/>
      <c r="U7" s="40"/>
      <c r="V7" s="40"/>
      <c r="W7" s="40"/>
      <c r="X7" s="40"/>
      <c r="Y7" s="40"/>
      <c r="Z7" s="40"/>
      <c r="AA7" s="40"/>
      <c r="AB7" s="40"/>
      <c r="AC7" s="40"/>
      <c r="AD7" s="40"/>
      <c r="AE7" s="40"/>
      <c r="AF7" s="40"/>
      <c r="AG7" s="40"/>
      <c r="AH7" s="72">
        <f t="shared" si="0"/>
        <v>0</v>
      </c>
    </row>
    <row r="8" spans="1:34" ht="23.25" customHeight="1" x14ac:dyDescent="0.2">
      <c r="A8" s="458" t="s">
        <v>127</v>
      </c>
      <c r="B8" s="458"/>
      <c r="C8" s="39"/>
      <c r="D8" s="39"/>
      <c r="E8" s="40"/>
      <c r="F8" s="40"/>
      <c r="G8" s="40"/>
      <c r="H8" s="40"/>
      <c r="I8" s="40"/>
      <c r="J8" s="40"/>
      <c r="K8" s="40"/>
      <c r="L8" s="40"/>
      <c r="M8" s="40"/>
      <c r="N8" s="40"/>
      <c r="O8" s="40"/>
      <c r="P8" s="40"/>
      <c r="Q8" s="40"/>
      <c r="R8" s="40"/>
      <c r="S8" s="40"/>
      <c r="T8" s="40"/>
      <c r="U8" s="40"/>
      <c r="V8" s="40"/>
      <c r="W8" s="40"/>
      <c r="X8" s="40"/>
      <c r="Y8" s="40"/>
      <c r="Z8" s="40"/>
      <c r="AA8" s="40"/>
      <c r="AB8" s="40"/>
      <c r="AC8" s="40"/>
      <c r="AD8" s="40"/>
      <c r="AE8" s="40"/>
      <c r="AF8" s="40"/>
      <c r="AG8" s="40"/>
      <c r="AH8" s="131">
        <f t="shared" si="0"/>
        <v>0</v>
      </c>
    </row>
    <row r="9" spans="1:34" ht="23.25" customHeight="1" x14ac:dyDescent="0.2">
      <c r="A9" s="458" t="s">
        <v>202</v>
      </c>
      <c r="B9" s="458"/>
      <c r="C9" s="39"/>
      <c r="D9" s="39"/>
      <c r="E9" s="40"/>
      <c r="F9" s="40"/>
      <c r="G9" s="40"/>
      <c r="H9" s="40"/>
      <c r="I9" s="40"/>
      <c r="J9" s="40"/>
      <c r="K9" s="40"/>
      <c r="L9" s="40"/>
      <c r="M9" s="40"/>
      <c r="N9" s="40"/>
      <c r="O9" s="40"/>
      <c r="P9" s="40"/>
      <c r="Q9" s="40"/>
      <c r="R9" s="40"/>
      <c r="S9" s="40"/>
      <c r="T9" s="40"/>
      <c r="U9" s="40"/>
      <c r="V9" s="40"/>
      <c r="W9" s="40"/>
      <c r="X9" s="40"/>
      <c r="Y9" s="40"/>
      <c r="Z9" s="40"/>
      <c r="AA9" s="40"/>
      <c r="AB9" s="40"/>
      <c r="AC9" s="40"/>
      <c r="AD9" s="40"/>
      <c r="AE9" s="40"/>
      <c r="AF9" s="40"/>
      <c r="AG9" s="40"/>
      <c r="AH9" s="131">
        <f t="shared" si="0"/>
        <v>0</v>
      </c>
    </row>
    <row r="10" spans="1:34" ht="23.25" customHeight="1" x14ac:dyDescent="0.2">
      <c r="A10" s="458" t="s">
        <v>203</v>
      </c>
      <c r="B10" s="458"/>
      <c r="C10" s="39"/>
      <c r="D10" s="39"/>
      <c r="E10" s="40"/>
      <c r="F10" s="40"/>
      <c r="G10" s="40"/>
      <c r="H10" s="40"/>
      <c r="I10" s="40"/>
      <c r="J10" s="40"/>
      <c r="K10" s="40"/>
      <c r="L10" s="40"/>
      <c r="M10" s="40"/>
      <c r="N10" s="40"/>
      <c r="O10" s="40"/>
      <c r="P10" s="40"/>
      <c r="Q10" s="40"/>
      <c r="R10" s="40"/>
      <c r="S10" s="40"/>
      <c r="T10" s="40"/>
      <c r="U10" s="40"/>
      <c r="V10" s="40"/>
      <c r="W10" s="40"/>
      <c r="X10" s="40"/>
      <c r="Y10" s="40"/>
      <c r="Z10" s="40"/>
      <c r="AA10" s="40"/>
      <c r="AB10" s="40"/>
      <c r="AC10" s="40"/>
      <c r="AD10" s="40"/>
      <c r="AE10" s="40"/>
      <c r="AF10" s="40"/>
      <c r="AG10" s="40"/>
      <c r="AH10" s="131">
        <f t="shared" si="0"/>
        <v>0</v>
      </c>
    </row>
    <row r="11" spans="1:34" ht="23.25" customHeight="1" x14ac:dyDescent="0.2">
      <c r="A11" s="458" t="s">
        <v>128</v>
      </c>
      <c r="B11" s="458"/>
      <c r="C11" s="39"/>
      <c r="D11" s="39"/>
      <c r="E11" s="40"/>
      <c r="F11" s="40"/>
      <c r="G11" s="40"/>
      <c r="H11" s="40"/>
      <c r="I11" s="40"/>
      <c r="J11" s="40"/>
      <c r="K11" s="40"/>
      <c r="L11" s="40"/>
      <c r="M11" s="40"/>
      <c r="N11" s="40"/>
      <c r="O11" s="40"/>
      <c r="P11" s="40"/>
      <c r="Q11" s="40"/>
      <c r="R11" s="40"/>
      <c r="S11" s="40"/>
      <c r="T11" s="40"/>
      <c r="U11" s="40"/>
      <c r="V11" s="40"/>
      <c r="W11" s="40"/>
      <c r="X11" s="40"/>
      <c r="Y11" s="40"/>
      <c r="Z11" s="40"/>
      <c r="AA11" s="40"/>
      <c r="AB11" s="40"/>
      <c r="AC11" s="40"/>
      <c r="AD11" s="40"/>
      <c r="AE11" s="40"/>
      <c r="AF11" s="40"/>
      <c r="AG11" s="40"/>
      <c r="AH11" s="131">
        <f t="shared" si="0"/>
        <v>0</v>
      </c>
    </row>
    <row r="12" spans="1:34" ht="23.25" customHeight="1" x14ac:dyDescent="0.2">
      <c r="A12" s="458" t="s">
        <v>129</v>
      </c>
      <c r="B12" s="458"/>
      <c r="C12" s="39"/>
      <c r="D12" s="39"/>
      <c r="E12" s="40"/>
      <c r="F12" s="40"/>
      <c r="G12" s="40"/>
      <c r="H12" s="40"/>
      <c r="I12" s="40"/>
      <c r="J12" s="40"/>
      <c r="K12" s="40"/>
      <c r="L12" s="40"/>
      <c r="M12" s="40"/>
      <c r="N12" s="40"/>
      <c r="O12" s="40"/>
      <c r="P12" s="40"/>
      <c r="Q12" s="40"/>
      <c r="R12" s="40"/>
      <c r="S12" s="40"/>
      <c r="T12" s="40"/>
      <c r="U12" s="40"/>
      <c r="V12" s="40"/>
      <c r="W12" s="40"/>
      <c r="X12" s="40"/>
      <c r="Y12" s="40"/>
      <c r="Z12" s="40"/>
      <c r="AA12" s="40"/>
      <c r="AB12" s="40"/>
      <c r="AC12" s="40"/>
      <c r="AD12" s="40"/>
      <c r="AE12" s="40"/>
      <c r="AF12" s="40"/>
      <c r="AG12" s="40"/>
      <c r="AH12" s="131">
        <f>SUM(C12:AG12)</f>
        <v>0</v>
      </c>
    </row>
    <row r="13" spans="1:34" ht="23.25" customHeight="1" x14ac:dyDescent="0.2">
      <c r="A13" s="458" t="s">
        <v>130</v>
      </c>
      <c r="B13" s="458"/>
      <c r="C13" s="40"/>
      <c r="D13" s="39"/>
      <c r="E13" s="39"/>
      <c r="F13" s="39"/>
      <c r="G13" s="39"/>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72">
        <f>SUM(C13:AG13)</f>
        <v>0</v>
      </c>
    </row>
    <row r="14" spans="1:34" ht="23.25" customHeight="1" x14ac:dyDescent="0.2">
      <c r="A14" s="456" t="s">
        <v>131</v>
      </c>
      <c r="B14" s="457"/>
      <c r="C14" s="40"/>
      <c r="D14" s="39"/>
      <c r="E14" s="39"/>
      <c r="F14" s="39"/>
      <c r="G14" s="39"/>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72">
        <f>SUM(C14:AG14)</f>
        <v>0</v>
      </c>
    </row>
    <row r="15" spans="1:34" ht="23.25" customHeight="1" x14ac:dyDescent="0.2">
      <c r="A15" s="456" t="s">
        <v>125</v>
      </c>
      <c r="B15" s="457"/>
      <c r="C15" s="40"/>
      <c r="D15" s="39"/>
      <c r="E15" s="39"/>
      <c r="F15" s="39"/>
      <c r="G15" s="39"/>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72">
        <f>SUM(C15:AG15)</f>
        <v>0</v>
      </c>
    </row>
    <row r="16" spans="1:34" ht="23.25" customHeight="1" x14ac:dyDescent="0.2">
      <c r="A16" s="458" t="s">
        <v>204</v>
      </c>
      <c r="B16" s="458"/>
      <c r="C16" s="40"/>
      <c r="D16" s="39"/>
      <c r="E16" s="39"/>
      <c r="F16" s="39"/>
      <c r="G16" s="39"/>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131">
        <f t="shared" ref="AH16" si="1">SUM(C16:AG16)</f>
        <v>0</v>
      </c>
    </row>
    <row r="17" spans="1:34" ht="23.25" customHeight="1" x14ac:dyDescent="0.2">
      <c r="A17" s="458" t="s">
        <v>205</v>
      </c>
      <c r="B17" s="458"/>
      <c r="C17" s="40"/>
      <c r="D17" s="39"/>
      <c r="E17" s="39"/>
      <c r="F17" s="39"/>
      <c r="G17" s="39"/>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72">
        <f>SUM(C17:AG17)</f>
        <v>0</v>
      </c>
    </row>
    <row r="18" spans="1:34" ht="21.75" customHeight="1" x14ac:dyDescent="0.2">
      <c r="A18" s="459"/>
      <c r="B18" s="460"/>
      <c r="C18" s="460"/>
      <c r="D18" s="460"/>
      <c r="E18" s="460"/>
      <c r="F18" s="460"/>
      <c r="G18" s="460"/>
      <c r="H18" s="460"/>
      <c r="I18" s="460"/>
      <c r="J18" s="460"/>
      <c r="K18" s="460"/>
      <c r="L18" s="460"/>
      <c r="M18" s="460"/>
      <c r="N18" s="460"/>
      <c r="O18" s="460"/>
      <c r="P18" s="460"/>
      <c r="Q18" s="460"/>
      <c r="R18" s="460"/>
      <c r="S18" s="460"/>
      <c r="T18" s="460"/>
      <c r="U18" s="460"/>
      <c r="V18" s="460"/>
      <c r="W18" s="460"/>
      <c r="X18" s="460"/>
      <c r="Y18" s="460"/>
      <c r="Z18" s="460"/>
      <c r="AA18" s="460"/>
      <c r="AB18" s="460"/>
      <c r="AC18" s="45"/>
      <c r="AD18" s="46"/>
      <c r="AE18" s="46"/>
      <c r="AF18" s="46"/>
      <c r="AG18" s="46"/>
      <c r="AH18" s="73">
        <f>SUM(AH3:AH17)</f>
        <v>0</v>
      </c>
    </row>
    <row r="19" spans="1:34" ht="21.75" customHeight="1" x14ac:dyDescent="0.2">
      <c r="A19" s="461"/>
      <c r="B19" s="462"/>
      <c r="C19" s="462"/>
      <c r="D19" s="462"/>
      <c r="E19" s="462"/>
      <c r="F19" s="462"/>
      <c r="G19" s="462"/>
      <c r="H19" s="462"/>
      <c r="I19" s="462"/>
      <c r="J19" s="462"/>
      <c r="K19" s="462"/>
      <c r="L19" s="462"/>
      <c r="M19" s="462"/>
      <c r="N19" s="462"/>
      <c r="O19" s="462"/>
      <c r="P19" s="462"/>
      <c r="Q19" s="462"/>
      <c r="R19" s="462"/>
      <c r="S19" s="462"/>
      <c r="T19" s="462"/>
      <c r="U19" s="462"/>
      <c r="V19" s="462"/>
      <c r="W19" s="462"/>
      <c r="X19" s="462"/>
      <c r="Y19" s="462"/>
      <c r="Z19" s="462"/>
      <c r="AA19" s="462"/>
      <c r="AB19" s="462"/>
      <c r="AC19" s="463" t="s">
        <v>2</v>
      </c>
      <c r="AD19" s="464"/>
      <c r="AE19" s="465">
        <v>0</v>
      </c>
      <c r="AF19" s="465"/>
      <c r="AG19" s="465"/>
      <c r="AH19" s="466"/>
    </row>
    <row r="20" spans="1:34" x14ac:dyDescent="0.2">
      <c r="A20" s="4"/>
      <c r="B20" s="4"/>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row>
  </sheetData>
  <mergeCells count="22">
    <mergeCell ref="A14:B14"/>
    <mergeCell ref="A1:C1"/>
    <mergeCell ref="D1:AC1"/>
    <mergeCell ref="AD1:AH1"/>
    <mergeCell ref="A2:B2"/>
    <mergeCell ref="A3:B3"/>
    <mergeCell ref="A5:B5"/>
    <mergeCell ref="A4:B4"/>
    <mergeCell ref="A6:B6"/>
    <mergeCell ref="A7:B7"/>
    <mergeCell ref="A8:B8"/>
    <mergeCell ref="A12:B12"/>
    <mergeCell ref="A10:B10"/>
    <mergeCell ref="A13:B13"/>
    <mergeCell ref="A9:B9"/>
    <mergeCell ref="A11:B11"/>
    <mergeCell ref="A15:B15"/>
    <mergeCell ref="A17:B17"/>
    <mergeCell ref="A18:AB19"/>
    <mergeCell ref="AC19:AD19"/>
    <mergeCell ref="AE19:AH19"/>
    <mergeCell ref="A16:B16"/>
  </mergeCells>
  <printOptions horizontalCentered="1" verticalCentered="1"/>
  <pageMargins left="0.39370078740157483" right="0.39370078740157483" top="0.74803149606299213" bottom="0.74803149606299213" header="0.31496062992125984" footer="0.51181102362204722"/>
  <pageSetup paperSize="9" scale="96" orientation="landscape" horizontalDpi="200" verticalDpi="200" r:id="rId1"/>
  <headerFooter>
    <oddFooter xml:space="preserve">&amp;C&amp;P de &amp;N&amp;Rwww.cpavitoria06.com   
info@cpavitoria06.com   </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I51"/>
  <sheetViews>
    <sheetView workbookViewId="0">
      <selection activeCell="O13" sqref="O13"/>
    </sheetView>
  </sheetViews>
  <sheetFormatPr baseColWidth="10" defaultRowHeight="12.75" x14ac:dyDescent="0.2"/>
  <cols>
    <col min="1" max="1" width="23" style="5" customWidth="1"/>
    <col min="2" max="5" width="11.42578125" style="5"/>
    <col min="6" max="6" width="12.28515625" style="5" bestFit="1" customWidth="1"/>
    <col min="7" max="16384" width="11.42578125" style="5"/>
  </cols>
  <sheetData>
    <row r="1" spans="1:9" ht="72" customHeight="1" x14ac:dyDescent="0.2">
      <c r="A1" s="135"/>
      <c r="B1" s="236" t="s">
        <v>153</v>
      </c>
      <c r="C1" s="236"/>
      <c r="D1" s="236"/>
      <c r="E1" s="236"/>
      <c r="F1" s="236"/>
      <c r="G1" s="236"/>
      <c r="H1" s="237" t="s">
        <v>152</v>
      </c>
      <c r="I1" s="237"/>
    </row>
    <row r="2" spans="1:9" ht="27" customHeight="1" x14ac:dyDescent="0.2">
      <c r="A2" s="234" t="s">
        <v>154</v>
      </c>
      <c r="B2" s="234"/>
      <c r="C2" s="234"/>
      <c r="D2" s="234"/>
      <c r="E2" s="234"/>
      <c r="F2" s="234"/>
      <c r="G2" s="234"/>
      <c r="H2" s="234"/>
      <c r="I2" s="234"/>
    </row>
    <row r="4" spans="1:9" ht="12.75" customHeight="1" x14ac:dyDescent="0.2">
      <c r="A4" s="480" t="s">
        <v>162</v>
      </c>
      <c r="B4" s="481"/>
      <c r="C4" s="481"/>
      <c r="D4" s="481"/>
      <c r="E4" s="481"/>
      <c r="F4" s="481"/>
      <c r="G4" s="481"/>
      <c r="H4" s="481"/>
      <c r="I4" s="481"/>
    </row>
    <row r="5" spans="1:9" x14ac:dyDescent="0.2">
      <c r="A5" s="481"/>
      <c r="B5" s="481"/>
      <c r="C5" s="481"/>
      <c r="D5" s="481"/>
      <c r="E5" s="481"/>
      <c r="F5" s="481"/>
      <c r="G5" s="481"/>
      <c r="H5" s="481"/>
      <c r="I5" s="481"/>
    </row>
    <row r="8" spans="1:9" ht="23.25" customHeight="1" x14ac:dyDescent="0.2">
      <c r="E8" s="139" t="s">
        <v>156</v>
      </c>
      <c r="F8" s="137" t="s">
        <v>158</v>
      </c>
      <c r="G8" s="141"/>
      <c r="H8" s="141"/>
      <c r="I8" s="141"/>
    </row>
    <row r="9" spans="1:9" ht="13.5" customHeight="1" x14ac:dyDescent="0.2">
      <c r="A9" s="365" t="s">
        <v>151</v>
      </c>
      <c r="B9" s="366"/>
      <c r="C9" s="366"/>
      <c r="D9" s="367"/>
      <c r="E9" s="256"/>
      <c r="F9" s="479">
        <f>(E9+E11+E13)/3</f>
        <v>0</v>
      </c>
      <c r="G9" s="478"/>
      <c r="H9" s="478"/>
      <c r="I9" s="136"/>
    </row>
    <row r="10" spans="1:9" ht="13.5" customHeight="1" x14ac:dyDescent="0.2">
      <c r="A10" s="371"/>
      <c r="B10" s="372"/>
      <c r="C10" s="372"/>
      <c r="D10" s="373"/>
      <c r="E10" s="256"/>
      <c r="F10" s="479"/>
      <c r="G10" s="478"/>
      <c r="H10" s="478"/>
      <c r="I10" s="136"/>
    </row>
    <row r="11" spans="1:9" ht="13.5" customHeight="1" x14ac:dyDescent="0.2">
      <c r="A11" s="365" t="s">
        <v>160</v>
      </c>
      <c r="B11" s="366"/>
      <c r="C11" s="366"/>
      <c r="D11" s="367"/>
      <c r="E11" s="256"/>
      <c r="F11" s="479"/>
      <c r="G11" s="478"/>
      <c r="H11" s="478"/>
      <c r="I11" s="136"/>
    </row>
    <row r="12" spans="1:9" ht="13.5" customHeight="1" x14ac:dyDescent="0.2">
      <c r="A12" s="371"/>
      <c r="B12" s="372"/>
      <c r="C12" s="372"/>
      <c r="D12" s="373"/>
      <c r="E12" s="256"/>
      <c r="F12" s="479"/>
      <c r="G12" s="478"/>
      <c r="H12" s="478"/>
      <c r="I12" s="136"/>
    </row>
    <row r="13" spans="1:9" ht="13.5" customHeight="1" x14ac:dyDescent="0.2">
      <c r="A13" s="365" t="s">
        <v>155</v>
      </c>
      <c r="B13" s="366"/>
      <c r="C13" s="366"/>
      <c r="D13" s="367"/>
      <c r="E13" s="387"/>
      <c r="F13" s="479"/>
      <c r="G13" s="141"/>
      <c r="H13" s="141"/>
      <c r="I13" s="136"/>
    </row>
    <row r="14" spans="1:9" ht="13.5" customHeight="1" x14ac:dyDescent="0.2">
      <c r="A14" s="371"/>
      <c r="B14" s="372"/>
      <c r="C14" s="372"/>
      <c r="D14" s="373"/>
      <c r="E14" s="389"/>
      <c r="F14" s="479"/>
      <c r="G14" s="141"/>
      <c r="H14" s="141"/>
      <c r="I14" s="136"/>
    </row>
    <row r="15" spans="1:9" ht="13.5" customHeight="1" x14ac:dyDescent="0.2">
      <c r="A15" s="134"/>
      <c r="B15" s="134"/>
      <c r="C15" s="134"/>
      <c r="D15" s="134"/>
      <c r="E15" s="133"/>
      <c r="F15" s="133"/>
      <c r="G15" s="133"/>
      <c r="H15" s="133"/>
    </row>
    <row r="16" spans="1:9" x14ac:dyDescent="0.2">
      <c r="E16" s="477" t="s">
        <v>159</v>
      </c>
      <c r="F16" s="477"/>
      <c r="G16" s="477"/>
      <c r="H16" s="477"/>
      <c r="I16" s="477"/>
    </row>
    <row r="17" spans="1:9" x14ac:dyDescent="0.2">
      <c r="E17" s="140"/>
      <c r="F17" s="140"/>
      <c r="G17" s="140"/>
      <c r="H17" s="140"/>
      <c r="I17" s="140"/>
    </row>
    <row r="18" spans="1:9" x14ac:dyDescent="0.2">
      <c r="E18" s="140"/>
      <c r="F18" s="140"/>
      <c r="G18" s="140"/>
      <c r="H18" s="140"/>
      <c r="I18" s="140"/>
    </row>
    <row r="19" spans="1:9" x14ac:dyDescent="0.2">
      <c r="A19" s="476" t="s">
        <v>151</v>
      </c>
      <c r="B19" s="476"/>
      <c r="C19" s="476"/>
      <c r="D19" s="476" t="s">
        <v>163</v>
      </c>
      <c r="E19" s="476"/>
      <c r="F19" s="476"/>
      <c r="G19" s="476"/>
      <c r="H19" s="476"/>
      <c r="I19" s="476"/>
    </row>
    <row r="20" spans="1:9" x14ac:dyDescent="0.2">
      <c r="D20" s="476" t="s">
        <v>164</v>
      </c>
      <c r="E20" s="476"/>
      <c r="F20" s="476"/>
      <c r="G20" s="476"/>
      <c r="H20" s="476"/>
      <c r="I20" s="476"/>
    </row>
    <row r="21" spans="1:9" x14ac:dyDescent="0.2">
      <c r="D21" s="476" t="s">
        <v>165</v>
      </c>
      <c r="E21" s="476"/>
      <c r="F21" s="476"/>
      <c r="G21" s="476"/>
      <c r="H21" s="476"/>
      <c r="I21" s="476"/>
    </row>
    <row r="22" spans="1:9" x14ac:dyDescent="0.2">
      <c r="D22" s="142"/>
      <c r="E22" s="142"/>
      <c r="F22" s="142"/>
      <c r="G22" s="142"/>
      <c r="H22" s="142"/>
      <c r="I22" s="142"/>
    </row>
    <row r="23" spans="1:9" x14ac:dyDescent="0.2">
      <c r="A23" s="476" t="s">
        <v>160</v>
      </c>
      <c r="B23" s="476"/>
      <c r="C23" s="476"/>
      <c r="D23" s="476" t="s">
        <v>166</v>
      </c>
      <c r="E23" s="476"/>
      <c r="F23" s="476"/>
      <c r="G23" s="476"/>
      <c r="H23" s="476"/>
      <c r="I23" s="476"/>
    </row>
    <row r="24" spans="1:9" x14ac:dyDescent="0.2">
      <c r="A24" s="142"/>
      <c r="B24" s="142"/>
      <c r="C24" s="142"/>
      <c r="D24" s="476" t="s">
        <v>167</v>
      </c>
      <c r="E24" s="476"/>
      <c r="F24" s="476"/>
      <c r="G24" s="476"/>
      <c r="H24" s="476"/>
      <c r="I24" s="476"/>
    </row>
    <row r="25" spans="1:9" x14ac:dyDescent="0.2">
      <c r="A25" s="142"/>
      <c r="B25" s="142"/>
      <c r="C25" s="142"/>
      <c r="D25" s="476" t="s">
        <v>168</v>
      </c>
      <c r="E25" s="476"/>
      <c r="F25" s="476"/>
      <c r="G25" s="476"/>
      <c r="H25" s="476"/>
      <c r="I25" s="476"/>
    </row>
    <row r="26" spans="1:9" x14ac:dyDescent="0.2">
      <c r="A26" s="142"/>
      <c r="B26" s="142"/>
      <c r="C26" s="142"/>
      <c r="D26" s="142"/>
      <c r="E26" s="142"/>
      <c r="F26" s="142"/>
      <c r="G26" s="142"/>
      <c r="H26" s="142"/>
      <c r="I26" s="142"/>
    </row>
    <row r="27" spans="1:9" x14ac:dyDescent="0.2">
      <c r="A27" s="476" t="s">
        <v>155</v>
      </c>
      <c r="B27" s="476"/>
      <c r="C27" s="476"/>
      <c r="D27" s="476" t="s">
        <v>169</v>
      </c>
      <c r="E27" s="476"/>
      <c r="F27" s="476"/>
      <c r="G27" s="476"/>
      <c r="H27" s="476"/>
      <c r="I27" s="476"/>
    </row>
    <row r="28" spans="1:9" x14ac:dyDescent="0.2">
      <c r="D28" s="476" t="s">
        <v>170</v>
      </c>
      <c r="E28" s="476"/>
      <c r="F28" s="476"/>
      <c r="G28" s="476"/>
      <c r="H28" s="476"/>
      <c r="I28" s="476"/>
    </row>
    <row r="29" spans="1:9" x14ac:dyDescent="0.2">
      <c r="C29" s="143"/>
      <c r="D29" s="143"/>
      <c r="E29" s="143"/>
      <c r="F29" s="143"/>
    </row>
    <row r="30" spans="1:9" x14ac:dyDescent="0.2">
      <c r="A30" s="138" t="s">
        <v>157</v>
      </c>
      <c r="B30" s="64"/>
    </row>
    <row r="32" spans="1:9" x14ac:dyDescent="0.2">
      <c r="A32" s="256"/>
      <c r="B32" s="256"/>
      <c r="C32" s="256"/>
      <c r="D32" s="256"/>
      <c r="E32" s="256"/>
      <c r="F32" s="256"/>
      <c r="G32" s="256"/>
      <c r="H32" s="256"/>
      <c r="I32" s="256"/>
    </row>
    <row r="33" spans="1:9" x14ac:dyDescent="0.2">
      <c r="A33" s="256"/>
      <c r="B33" s="256"/>
      <c r="C33" s="256"/>
      <c r="D33" s="256"/>
      <c r="E33" s="256"/>
      <c r="F33" s="256"/>
      <c r="G33" s="256"/>
      <c r="H33" s="256"/>
      <c r="I33" s="256"/>
    </row>
    <row r="34" spans="1:9" x14ac:dyDescent="0.2">
      <c r="A34" s="256"/>
      <c r="B34" s="256"/>
      <c r="C34" s="256"/>
      <c r="D34" s="256"/>
      <c r="E34" s="256"/>
      <c r="F34" s="256"/>
      <c r="G34" s="256"/>
      <c r="H34" s="256"/>
      <c r="I34" s="256"/>
    </row>
    <row r="35" spans="1:9" x14ac:dyDescent="0.2">
      <c r="A35" s="256"/>
      <c r="B35" s="256"/>
      <c r="C35" s="256"/>
      <c r="D35" s="256"/>
      <c r="E35" s="256"/>
      <c r="F35" s="256"/>
      <c r="G35" s="256"/>
      <c r="H35" s="256"/>
      <c r="I35" s="256"/>
    </row>
    <row r="36" spans="1:9" x14ac:dyDescent="0.2">
      <c r="A36" s="256"/>
      <c r="B36" s="256"/>
      <c r="C36" s="256"/>
      <c r="D36" s="256"/>
      <c r="E36" s="256"/>
      <c r="F36" s="256"/>
      <c r="G36" s="256"/>
      <c r="H36" s="256"/>
      <c r="I36" s="256"/>
    </row>
    <row r="37" spans="1:9" x14ac:dyDescent="0.2">
      <c r="A37" s="256"/>
      <c r="B37" s="256"/>
      <c r="C37" s="256"/>
      <c r="D37" s="256"/>
      <c r="E37" s="256"/>
      <c r="F37" s="256"/>
      <c r="G37" s="256"/>
      <c r="H37" s="256"/>
      <c r="I37" s="256"/>
    </row>
    <row r="38" spans="1:9" x14ac:dyDescent="0.2">
      <c r="A38" s="256"/>
      <c r="B38" s="256"/>
      <c r="C38" s="256"/>
      <c r="D38" s="256"/>
      <c r="E38" s="256"/>
      <c r="F38" s="256"/>
      <c r="G38" s="256"/>
      <c r="H38" s="256"/>
      <c r="I38" s="256"/>
    </row>
    <row r="39" spans="1:9" x14ac:dyDescent="0.2">
      <c r="A39" s="256"/>
      <c r="B39" s="256"/>
      <c r="C39" s="256"/>
      <c r="D39" s="256"/>
      <c r="E39" s="256"/>
      <c r="F39" s="256"/>
      <c r="G39" s="256"/>
      <c r="H39" s="256"/>
      <c r="I39" s="256"/>
    </row>
    <row r="40" spans="1:9" x14ac:dyDescent="0.2">
      <c r="A40" s="256"/>
      <c r="B40" s="256"/>
      <c r="C40" s="256"/>
      <c r="D40" s="256"/>
      <c r="E40" s="256"/>
      <c r="F40" s="256"/>
      <c r="G40" s="256"/>
      <c r="H40" s="256"/>
      <c r="I40" s="256"/>
    </row>
    <row r="41" spans="1:9" x14ac:dyDescent="0.2">
      <c r="A41" s="256"/>
      <c r="B41" s="256"/>
      <c r="C41" s="256"/>
      <c r="D41" s="256"/>
      <c r="E41" s="256"/>
      <c r="F41" s="256"/>
      <c r="G41" s="256"/>
      <c r="H41" s="256"/>
      <c r="I41" s="256"/>
    </row>
    <row r="42" spans="1:9" x14ac:dyDescent="0.2">
      <c r="A42" s="256"/>
      <c r="B42" s="256"/>
      <c r="C42" s="256"/>
      <c r="D42" s="256"/>
      <c r="E42" s="256"/>
      <c r="F42" s="256"/>
      <c r="G42" s="256"/>
      <c r="H42" s="256"/>
      <c r="I42" s="256"/>
    </row>
    <row r="43" spans="1:9" x14ac:dyDescent="0.2">
      <c r="A43" s="256"/>
      <c r="B43" s="256"/>
      <c r="C43" s="256"/>
      <c r="D43" s="256"/>
      <c r="E43" s="256"/>
      <c r="F43" s="256"/>
      <c r="G43" s="256"/>
      <c r="H43" s="256"/>
      <c r="I43" s="256"/>
    </row>
    <row r="44" spans="1:9" x14ac:dyDescent="0.2">
      <c r="A44" s="256"/>
      <c r="B44" s="256"/>
      <c r="C44" s="256"/>
      <c r="D44" s="256"/>
      <c r="E44" s="256"/>
      <c r="F44" s="256"/>
      <c r="G44" s="256"/>
      <c r="H44" s="256"/>
      <c r="I44" s="256"/>
    </row>
    <row r="45" spans="1:9" x14ac:dyDescent="0.2">
      <c r="A45" s="256"/>
      <c r="B45" s="256"/>
      <c r="C45" s="256"/>
      <c r="D45" s="256"/>
      <c r="E45" s="256"/>
      <c r="F45" s="256"/>
      <c r="G45" s="256"/>
      <c r="H45" s="256"/>
      <c r="I45" s="256"/>
    </row>
    <row r="46" spans="1:9" x14ac:dyDescent="0.2">
      <c r="A46" s="256"/>
      <c r="B46" s="256"/>
      <c r="C46" s="256"/>
      <c r="D46" s="256"/>
      <c r="E46" s="256"/>
      <c r="F46" s="256"/>
      <c r="G46" s="256"/>
      <c r="H46" s="256"/>
      <c r="I46" s="256"/>
    </row>
    <row r="51" spans="1:5" ht="20.25" x14ac:dyDescent="0.2">
      <c r="A51" s="475" t="s">
        <v>161</v>
      </c>
      <c r="B51" s="475"/>
      <c r="C51" s="475"/>
      <c r="D51" s="475"/>
      <c r="E51" s="475"/>
    </row>
  </sheetData>
  <mergeCells count="29">
    <mergeCell ref="B1:G1"/>
    <mergeCell ref="H1:I1"/>
    <mergeCell ref="A2:I2"/>
    <mergeCell ref="E16:I16"/>
    <mergeCell ref="G9:G10"/>
    <mergeCell ref="H9:H10"/>
    <mergeCell ref="E11:E12"/>
    <mergeCell ref="G11:G12"/>
    <mergeCell ref="H11:H12"/>
    <mergeCell ref="F9:F14"/>
    <mergeCell ref="A4:I5"/>
    <mergeCell ref="A9:D10"/>
    <mergeCell ref="A11:D12"/>
    <mergeCell ref="E9:E10"/>
    <mergeCell ref="A13:D14"/>
    <mergeCell ref="E13:E14"/>
    <mergeCell ref="A19:C19"/>
    <mergeCell ref="D19:I19"/>
    <mergeCell ref="D20:I20"/>
    <mergeCell ref="D21:I21"/>
    <mergeCell ref="A23:C23"/>
    <mergeCell ref="D23:I23"/>
    <mergeCell ref="A51:E51"/>
    <mergeCell ref="D24:I24"/>
    <mergeCell ref="D25:I25"/>
    <mergeCell ref="A27:C27"/>
    <mergeCell ref="D27:I27"/>
    <mergeCell ref="D28:I28"/>
    <mergeCell ref="A32:I46"/>
  </mergeCells>
  <pageMargins left="0.25" right="0.25" top="0.75" bottom="0.75" header="0.3" footer="0.3"/>
  <pageSetup paperSize="9" scale="85"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20"/>
  <sheetViews>
    <sheetView workbookViewId="0">
      <selection activeCell="Z13" sqref="Z13"/>
    </sheetView>
  </sheetViews>
  <sheetFormatPr baseColWidth="10" defaultRowHeight="12.75" x14ac:dyDescent="0.2"/>
  <cols>
    <col min="1" max="1" width="12.28515625" style="147" customWidth="1"/>
    <col min="2" max="3" width="6.42578125" style="5" customWidth="1"/>
    <col min="4" max="4" width="10.140625" style="5" customWidth="1"/>
    <col min="5" max="5" width="8.28515625" style="5" customWidth="1"/>
    <col min="6" max="6" width="8.140625" style="5" customWidth="1"/>
    <col min="7" max="14" width="6.42578125" style="5" customWidth="1"/>
    <col min="15" max="15" width="5.28515625" style="5" customWidth="1"/>
    <col min="16" max="16" width="6.42578125" style="5" customWidth="1"/>
    <col min="17" max="17" width="10.7109375" style="5" customWidth="1"/>
    <col min="18" max="19" width="6.42578125" style="5" customWidth="1"/>
    <col min="20" max="20" width="6.5703125" style="5" customWidth="1"/>
    <col min="21" max="21" width="6.42578125" style="5" customWidth="1"/>
    <col min="22" max="22" width="8.5703125" style="5" customWidth="1"/>
    <col min="257" max="257" width="12.28515625" customWidth="1"/>
    <col min="258" max="259" width="6.42578125" customWidth="1"/>
    <col min="260" max="260" width="10.140625" customWidth="1"/>
    <col min="261" max="261" width="8.28515625" customWidth="1"/>
    <col min="262" max="262" width="8.140625" customWidth="1"/>
    <col min="263" max="270" width="6.42578125" customWidth="1"/>
    <col min="271" max="271" width="5.28515625" customWidth="1"/>
    <col min="272" max="272" width="6.42578125" customWidth="1"/>
    <col min="273" max="273" width="10.7109375" customWidth="1"/>
    <col min="274" max="275" width="6.42578125" customWidth="1"/>
    <col min="276" max="276" width="6.5703125" customWidth="1"/>
    <col min="277" max="277" width="6.42578125" customWidth="1"/>
    <col min="278" max="278" width="8.5703125" customWidth="1"/>
    <col min="513" max="513" width="12.28515625" customWidth="1"/>
    <col min="514" max="515" width="6.42578125" customWidth="1"/>
    <col min="516" max="516" width="10.140625" customWidth="1"/>
    <col min="517" max="517" width="8.28515625" customWidth="1"/>
    <col min="518" max="518" width="8.140625" customWidth="1"/>
    <col min="519" max="526" width="6.42578125" customWidth="1"/>
    <col min="527" max="527" width="5.28515625" customWidth="1"/>
    <col min="528" max="528" width="6.42578125" customWidth="1"/>
    <col min="529" max="529" width="10.7109375" customWidth="1"/>
    <col min="530" max="531" width="6.42578125" customWidth="1"/>
    <col min="532" max="532" width="6.5703125" customWidth="1"/>
    <col min="533" max="533" width="6.42578125" customWidth="1"/>
    <col min="534" max="534" width="8.5703125" customWidth="1"/>
    <col min="769" max="769" width="12.28515625" customWidth="1"/>
    <col min="770" max="771" width="6.42578125" customWidth="1"/>
    <col min="772" max="772" width="10.140625" customWidth="1"/>
    <col min="773" max="773" width="8.28515625" customWidth="1"/>
    <col min="774" max="774" width="8.140625" customWidth="1"/>
    <col min="775" max="782" width="6.42578125" customWidth="1"/>
    <col min="783" max="783" width="5.28515625" customWidth="1"/>
    <col min="784" max="784" width="6.42578125" customWidth="1"/>
    <col min="785" max="785" width="10.7109375" customWidth="1"/>
    <col min="786" max="787" width="6.42578125" customWidth="1"/>
    <col min="788" max="788" width="6.5703125" customWidth="1"/>
    <col min="789" max="789" width="6.42578125" customWidth="1"/>
    <col min="790" max="790" width="8.5703125" customWidth="1"/>
    <col min="1025" max="1025" width="12.28515625" customWidth="1"/>
    <col min="1026" max="1027" width="6.42578125" customWidth="1"/>
    <col min="1028" max="1028" width="10.140625" customWidth="1"/>
    <col min="1029" max="1029" width="8.28515625" customWidth="1"/>
    <col min="1030" max="1030" width="8.140625" customWidth="1"/>
    <col min="1031" max="1038" width="6.42578125" customWidth="1"/>
    <col min="1039" max="1039" width="5.28515625" customWidth="1"/>
    <col min="1040" max="1040" width="6.42578125" customWidth="1"/>
    <col min="1041" max="1041" width="10.7109375" customWidth="1"/>
    <col min="1042" max="1043" width="6.42578125" customWidth="1"/>
    <col min="1044" max="1044" width="6.5703125" customWidth="1"/>
    <col min="1045" max="1045" width="6.42578125" customWidth="1"/>
    <col min="1046" max="1046" width="8.5703125" customWidth="1"/>
    <col min="1281" max="1281" width="12.28515625" customWidth="1"/>
    <col min="1282" max="1283" width="6.42578125" customWidth="1"/>
    <col min="1284" max="1284" width="10.140625" customWidth="1"/>
    <col min="1285" max="1285" width="8.28515625" customWidth="1"/>
    <col min="1286" max="1286" width="8.140625" customWidth="1"/>
    <col min="1287" max="1294" width="6.42578125" customWidth="1"/>
    <col min="1295" max="1295" width="5.28515625" customWidth="1"/>
    <col min="1296" max="1296" width="6.42578125" customWidth="1"/>
    <col min="1297" max="1297" width="10.7109375" customWidth="1"/>
    <col min="1298" max="1299" width="6.42578125" customWidth="1"/>
    <col min="1300" max="1300" width="6.5703125" customWidth="1"/>
    <col min="1301" max="1301" width="6.42578125" customWidth="1"/>
    <col min="1302" max="1302" width="8.5703125" customWidth="1"/>
    <col min="1537" max="1537" width="12.28515625" customWidth="1"/>
    <col min="1538" max="1539" width="6.42578125" customWidth="1"/>
    <col min="1540" max="1540" width="10.140625" customWidth="1"/>
    <col min="1541" max="1541" width="8.28515625" customWidth="1"/>
    <col min="1542" max="1542" width="8.140625" customWidth="1"/>
    <col min="1543" max="1550" width="6.42578125" customWidth="1"/>
    <col min="1551" max="1551" width="5.28515625" customWidth="1"/>
    <col min="1552" max="1552" width="6.42578125" customWidth="1"/>
    <col min="1553" max="1553" width="10.7109375" customWidth="1"/>
    <col min="1554" max="1555" width="6.42578125" customWidth="1"/>
    <col min="1556" max="1556" width="6.5703125" customWidth="1"/>
    <col min="1557" max="1557" width="6.42578125" customWidth="1"/>
    <col min="1558" max="1558" width="8.5703125" customWidth="1"/>
    <col min="1793" max="1793" width="12.28515625" customWidth="1"/>
    <col min="1794" max="1795" width="6.42578125" customWidth="1"/>
    <col min="1796" max="1796" width="10.140625" customWidth="1"/>
    <col min="1797" max="1797" width="8.28515625" customWidth="1"/>
    <col min="1798" max="1798" width="8.140625" customWidth="1"/>
    <col min="1799" max="1806" width="6.42578125" customWidth="1"/>
    <col min="1807" max="1807" width="5.28515625" customWidth="1"/>
    <col min="1808" max="1808" width="6.42578125" customWidth="1"/>
    <col min="1809" max="1809" width="10.7109375" customWidth="1"/>
    <col min="1810" max="1811" width="6.42578125" customWidth="1"/>
    <col min="1812" max="1812" width="6.5703125" customWidth="1"/>
    <col min="1813" max="1813" width="6.42578125" customWidth="1"/>
    <col min="1814" max="1814" width="8.5703125" customWidth="1"/>
    <col min="2049" max="2049" width="12.28515625" customWidth="1"/>
    <col min="2050" max="2051" width="6.42578125" customWidth="1"/>
    <col min="2052" max="2052" width="10.140625" customWidth="1"/>
    <col min="2053" max="2053" width="8.28515625" customWidth="1"/>
    <col min="2054" max="2054" width="8.140625" customWidth="1"/>
    <col min="2055" max="2062" width="6.42578125" customWidth="1"/>
    <col min="2063" max="2063" width="5.28515625" customWidth="1"/>
    <col min="2064" max="2064" width="6.42578125" customWidth="1"/>
    <col min="2065" max="2065" width="10.7109375" customWidth="1"/>
    <col min="2066" max="2067" width="6.42578125" customWidth="1"/>
    <col min="2068" max="2068" width="6.5703125" customWidth="1"/>
    <col min="2069" max="2069" width="6.42578125" customWidth="1"/>
    <col min="2070" max="2070" width="8.5703125" customWidth="1"/>
    <col min="2305" max="2305" width="12.28515625" customWidth="1"/>
    <col min="2306" max="2307" width="6.42578125" customWidth="1"/>
    <col min="2308" max="2308" width="10.140625" customWidth="1"/>
    <col min="2309" max="2309" width="8.28515625" customWidth="1"/>
    <col min="2310" max="2310" width="8.140625" customWidth="1"/>
    <col min="2311" max="2318" width="6.42578125" customWidth="1"/>
    <col min="2319" max="2319" width="5.28515625" customWidth="1"/>
    <col min="2320" max="2320" width="6.42578125" customWidth="1"/>
    <col min="2321" max="2321" width="10.7109375" customWidth="1"/>
    <col min="2322" max="2323" width="6.42578125" customWidth="1"/>
    <col min="2324" max="2324" width="6.5703125" customWidth="1"/>
    <col min="2325" max="2325" width="6.42578125" customWidth="1"/>
    <col min="2326" max="2326" width="8.5703125" customWidth="1"/>
    <col min="2561" max="2561" width="12.28515625" customWidth="1"/>
    <col min="2562" max="2563" width="6.42578125" customWidth="1"/>
    <col min="2564" max="2564" width="10.140625" customWidth="1"/>
    <col min="2565" max="2565" width="8.28515625" customWidth="1"/>
    <col min="2566" max="2566" width="8.140625" customWidth="1"/>
    <col min="2567" max="2574" width="6.42578125" customWidth="1"/>
    <col min="2575" max="2575" width="5.28515625" customWidth="1"/>
    <col min="2576" max="2576" width="6.42578125" customWidth="1"/>
    <col min="2577" max="2577" width="10.7109375" customWidth="1"/>
    <col min="2578" max="2579" width="6.42578125" customWidth="1"/>
    <col min="2580" max="2580" width="6.5703125" customWidth="1"/>
    <col min="2581" max="2581" width="6.42578125" customWidth="1"/>
    <col min="2582" max="2582" width="8.5703125" customWidth="1"/>
    <col min="2817" max="2817" width="12.28515625" customWidth="1"/>
    <col min="2818" max="2819" width="6.42578125" customWidth="1"/>
    <col min="2820" max="2820" width="10.140625" customWidth="1"/>
    <col min="2821" max="2821" width="8.28515625" customWidth="1"/>
    <col min="2822" max="2822" width="8.140625" customWidth="1"/>
    <col min="2823" max="2830" width="6.42578125" customWidth="1"/>
    <col min="2831" max="2831" width="5.28515625" customWidth="1"/>
    <col min="2832" max="2832" width="6.42578125" customWidth="1"/>
    <col min="2833" max="2833" width="10.7109375" customWidth="1"/>
    <col min="2834" max="2835" width="6.42578125" customWidth="1"/>
    <col min="2836" max="2836" width="6.5703125" customWidth="1"/>
    <col min="2837" max="2837" width="6.42578125" customWidth="1"/>
    <col min="2838" max="2838" width="8.5703125" customWidth="1"/>
    <col min="3073" max="3073" width="12.28515625" customWidth="1"/>
    <col min="3074" max="3075" width="6.42578125" customWidth="1"/>
    <col min="3076" max="3076" width="10.140625" customWidth="1"/>
    <col min="3077" max="3077" width="8.28515625" customWidth="1"/>
    <col min="3078" max="3078" width="8.140625" customWidth="1"/>
    <col min="3079" max="3086" width="6.42578125" customWidth="1"/>
    <col min="3087" max="3087" width="5.28515625" customWidth="1"/>
    <col min="3088" max="3088" width="6.42578125" customWidth="1"/>
    <col min="3089" max="3089" width="10.7109375" customWidth="1"/>
    <col min="3090" max="3091" width="6.42578125" customWidth="1"/>
    <col min="3092" max="3092" width="6.5703125" customWidth="1"/>
    <col min="3093" max="3093" width="6.42578125" customWidth="1"/>
    <col min="3094" max="3094" width="8.5703125" customWidth="1"/>
    <col min="3329" max="3329" width="12.28515625" customWidth="1"/>
    <col min="3330" max="3331" width="6.42578125" customWidth="1"/>
    <col min="3332" max="3332" width="10.140625" customWidth="1"/>
    <col min="3333" max="3333" width="8.28515625" customWidth="1"/>
    <col min="3334" max="3334" width="8.140625" customWidth="1"/>
    <col min="3335" max="3342" width="6.42578125" customWidth="1"/>
    <col min="3343" max="3343" width="5.28515625" customWidth="1"/>
    <col min="3344" max="3344" width="6.42578125" customWidth="1"/>
    <col min="3345" max="3345" width="10.7109375" customWidth="1"/>
    <col min="3346" max="3347" width="6.42578125" customWidth="1"/>
    <col min="3348" max="3348" width="6.5703125" customWidth="1"/>
    <col min="3349" max="3349" width="6.42578125" customWidth="1"/>
    <col min="3350" max="3350" width="8.5703125" customWidth="1"/>
    <col min="3585" max="3585" width="12.28515625" customWidth="1"/>
    <col min="3586" max="3587" width="6.42578125" customWidth="1"/>
    <col min="3588" max="3588" width="10.140625" customWidth="1"/>
    <col min="3589" max="3589" width="8.28515625" customWidth="1"/>
    <col min="3590" max="3590" width="8.140625" customWidth="1"/>
    <col min="3591" max="3598" width="6.42578125" customWidth="1"/>
    <col min="3599" max="3599" width="5.28515625" customWidth="1"/>
    <col min="3600" max="3600" width="6.42578125" customWidth="1"/>
    <col min="3601" max="3601" width="10.7109375" customWidth="1"/>
    <col min="3602" max="3603" width="6.42578125" customWidth="1"/>
    <col min="3604" max="3604" width="6.5703125" customWidth="1"/>
    <col min="3605" max="3605" width="6.42578125" customWidth="1"/>
    <col min="3606" max="3606" width="8.5703125" customWidth="1"/>
    <col min="3841" max="3841" width="12.28515625" customWidth="1"/>
    <col min="3842" max="3843" width="6.42578125" customWidth="1"/>
    <col min="3844" max="3844" width="10.140625" customWidth="1"/>
    <col min="3845" max="3845" width="8.28515625" customWidth="1"/>
    <col min="3846" max="3846" width="8.140625" customWidth="1"/>
    <col min="3847" max="3854" width="6.42578125" customWidth="1"/>
    <col min="3855" max="3855" width="5.28515625" customWidth="1"/>
    <col min="3856" max="3856" width="6.42578125" customWidth="1"/>
    <col min="3857" max="3857" width="10.7109375" customWidth="1"/>
    <col min="3858" max="3859" width="6.42578125" customWidth="1"/>
    <col min="3860" max="3860" width="6.5703125" customWidth="1"/>
    <col min="3861" max="3861" width="6.42578125" customWidth="1"/>
    <col min="3862" max="3862" width="8.5703125" customWidth="1"/>
    <col min="4097" max="4097" width="12.28515625" customWidth="1"/>
    <col min="4098" max="4099" width="6.42578125" customWidth="1"/>
    <col min="4100" max="4100" width="10.140625" customWidth="1"/>
    <col min="4101" max="4101" width="8.28515625" customWidth="1"/>
    <col min="4102" max="4102" width="8.140625" customWidth="1"/>
    <col min="4103" max="4110" width="6.42578125" customWidth="1"/>
    <col min="4111" max="4111" width="5.28515625" customWidth="1"/>
    <col min="4112" max="4112" width="6.42578125" customWidth="1"/>
    <col min="4113" max="4113" width="10.7109375" customWidth="1"/>
    <col min="4114" max="4115" width="6.42578125" customWidth="1"/>
    <col min="4116" max="4116" width="6.5703125" customWidth="1"/>
    <col min="4117" max="4117" width="6.42578125" customWidth="1"/>
    <col min="4118" max="4118" width="8.5703125" customWidth="1"/>
    <col min="4353" max="4353" width="12.28515625" customWidth="1"/>
    <col min="4354" max="4355" width="6.42578125" customWidth="1"/>
    <col min="4356" max="4356" width="10.140625" customWidth="1"/>
    <col min="4357" max="4357" width="8.28515625" customWidth="1"/>
    <col min="4358" max="4358" width="8.140625" customWidth="1"/>
    <col min="4359" max="4366" width="6.42578125" customWidth="1"/>
    <col min="4367" max="4367" width="5.28515625" customWidth="1"/>
    <col min="4368" max="4368" width="6.42578125" customWidth="1"/>
    <col min="4369" max="4369" width="10.7109375" customWidth="1"/>
    <col min="4370" max="4371" width="6.42578125" customWidth="1"/>
    <col min="4372" max="4372" width="6.5703125" customWidth="1"/>
    <col min="4373" max="4373" width="6.42578125" customWidth="1"/>
    <col min="4374" max="4374" width="8.5703125" customWidth="1"/>
    <col min="4609" max="4609" width="12.28515625" customWidth="1"/>
    <col min="4610" max="4611" width="6.42578125" customWidth="1"/>
    <col min="4612" max="4612" width="10.140625" customWidth="1"/>
    <col min="4613" max="4613" width="8.28515625" customWidth="1"/>
    <col min="4614" max="4614" width="8.140625" customWidth="1"/>
    <col min="4615" max="4622" width="6.42578125" customWidth="1"/>
    <col min="4623" max="4623" width="5.28515625" customWidth="1"/>
    <col min="4624" max="4624" width="6.42578125" customWidth="1"/>
    <col min="4625" max="4625" width="10.7109375" customWidth="1"/>
    <col min="4626" max="4627" width="6.42578125" customWidth="1"/>
    <col min="4628" max="4628" width="6.5703125" customWidth="1"/>
    <col min="4629" max="4629" width="6.42578125" customWidth="1"/>
    <col min="4630" max="4630" width="8.5703125" customWidth="1"/>
    <col min="4865" max="4865" width="12.28515625" customWidth="1"/>
    <col min="4866" max="4867" width="6.42578125" customWidth="1"/>
    <col min="4868" max="4868" width="10.140625" customWidth="1"/>
    <col min="4869" max="4869" width="8.28515625" customWidth="1"/>
    <col min="4870" max="4870" width="8.140625" customWidth="1"/>
    <col min="4871" max="4878" width="6.42578125" customWidth="1"/>
    <col min="4879" max="4879" width="5.28515625" customWidth="1"/>
    <col min="4880" max="4880" width="6.42578125" customWidth="1"/>
    <col min="4881" max="4881" width="10.7109375" customWidth="1"/>
    <col min="4882" max="4883" width="6.42578125" customWidth="1"/>
    <col min="4884" max="4884" width="6.5703125" customWidth="1"/>
    <col min="4885" max="4885" width="6.42578125" customWidth="1"/>
    <col min="4886" max="4886" width="8.5703125" customWidth="1"/>
    <col min="5121" max="5121" width="12.28515625" customWidth="1"/>
    <col min="5122" max="5123" width="6.42578125" customWidth="1"/>
    <col min="5124" max="5124" width="10.140625" customWidth="1"/>
    <col min="5125" max="5125" width="8.28515625" customWidth="1"/>
    <col min="5126" max="5126" width="8.140625" customWidth="1"/>
    <col min="5127" max="5134" width="6.42578125" customWidth="1"/>
    <col min="5135" max="5135" width="5.28515625" customWidth="1"/>
    <col min="5136" max="5136" width="6.42578125" customWidth="1"/>
    <col min="5137" max="5137" width="10.7109375" customWidth="1"/>
    <col min="5138" max="5139" width="6.42578125" customWidth="1"/>
    <col min="5140" max="5140" width="6.5703125" customWidth="1"/>
    <col min="5141" max="5141" width="6.42578125" customWidth="1"/>
    <col min="5142" max="5142" width="8.5703125" customWidth="1"/>
    <col min="5377" max="5377" width="12.28515625" customWidth="1"/>
    <col min="5378" max="5379" width="6.42578125" customWidth="1"/>
    <col min="5380" max="5380" width="10.140625" customWidth="1"/>
    <col min="5381" max="5381" width="8.28515625" customWidth="1"/>
    <col min="5382" max="5382" width="8.140625" customWidth="1"/>
    <col min="5383" max="5390" width="6.42578125" customWidth="1"/>
    <col min="5391" max="5391" width="5.28515625" customWidth="1"/>
    <col min="5392" max="5392" width="6.42578125" customWidth="1"/>
    <col min="5393" max="5393" width="10.7109375" customWidth="1"/>
    <col min="5394" max="5395" width="6.42578125" customWidth="1"/>
    <col min="5396" max="5396" width="6.5703125" customWidth="1"/>
    <col min="5397" max="5397" width="6.42578125" customWidth="1"/>
    <col min="5398" max="5398" width="8.5703125" customWidth="1"/>
    <col min="5633" max="5633" width="12.28515625" customWidth="1"/>
    <col min="5634" max="5635" width="6.42578125" customWidth="1"/>
    <col min="5636" max="5636" width="10.140625" customWidth="1"/>
    <col min="5637" max="5637" width="8.28515625" customWidth="1"/>
    <col min="5638" max="5638" width="8.140625" customWidth="1"/>
    <col min="5639" max="5646" width="6.42578125" customWidth="1"/>
    <col min="5647" max="5647" width="5.28515625" customWidth="1"/>
    <col min="5648" max="5648" width="6.42578125" customWidth="1"/>
    <col min="5649" max="5649" width="10.7109375" customWidth="1"/>
    <col min="5650" max="5651" width="6.42578125" customWidth="1"/>
    <col min="5652" max="5652" width="6.5703125" customWidth="1"/>
    <col min="5653" max="5653" width="6.42578125" customWidth="1"/>
    <col min="5654" max="5654" width="8.5703125" customWidth="1"/>
    <col min="5889" max="5889" width="12.28515625" customWidth="1"/>
    <col min="5890" max="5891" width="6.42578125" customWidth="1"/>
    <col min="5892" max="5892" width="10.140625" customWidth="1"/>
    <col min="5893" max="5893" width="8.28515625" customWidth="1"/>
    <col min="5894" max="5894" width="8.140625" customWidth="1"/>
    <col min="5895" max="5902" width="6.42578125" customWidth="1"/>
    <col min="5903" max="5903" width="5.28515625" customWidth="1"/>
    <col min="5904" max="5904" width="6.42578125" customWidth="1"/>
    <col min="5905" max="5905" width="10.7109375" customWidth="1"/>
    <col min="5906" max="5907" width="6.42578125" customWidth="1"/>
    <col min="5908" max="5908" width="6.5703125" customWidth="1"/>
    <col min="5909" max="5909" width="6.42578125" customWidth="1"/>
    <col min="5910" max="5910" width="8.5703125" customWidth="1"/>
    <col min="6145" max="6145" width="12.28515625" customWidth="1"/>
    <col min="6146" max="6147" width="6.42578125" customWidth="1"/>
    <col min="6148" max="6148" width="10.140625" customWidth="1"/>
    <col min="6149" max="6149" width="8.28515625" customWidth="1"/>
    <col min="6150" max="6150" width="8.140625" customWidth="1"/>
    <col min="6151" max="6158" width="6.42578125" customWidth="1"/>
    <col min="6159" max="6159" width="5.28515625" customWidth="1"/>
    <col min="6160" max="6160" width="6.42578125" customWidth="1"/>
    <col min="6161" max="6161" width="10.7109375" customWidth="1"/>
    <col min="6162" max="6163" width="6.42578125" customWidth="1"/>
    <col min="6164" max="6164" width="6.5703125" customWidth="1"/>
    <col min="6165" max="6165" width="6.42578125" customWidth="1"/>
    <col min="6166" max="6166" width="8.5703125" customWidth="1"/>
    <col min="6401" max="6401" width="12.28515625" customWidth="1"/>
    <col min="6402" max="6403" width="6.42578125" customWidth="1"/>
    <col min="6404" max="6404" width="10.140625" customWidth="1"/>
    <col min="6405" max="6405" width="8.28515625" customWidth="1"/>
    <col min="6406" max="6406" width="8.140625" customWidth="1"/>
    <col min="6407" max="6414" width="6.42578125" customWidth="1"/>
    <col min="6415" max="6415" width="5.28515625" customWidth="1"/>
    <col min="6416" max="6416" width="6.42578125" customWidth="1"/>
    <col min="6417" max="6417" width="10.7109375" customWidth="1"/>
    <col min="6418" max="6419" width="6.42578125" customWidth="1"/>
    <col min="6420" max="6420" width="6.5703125" customWidth="1"/>
    <col min="6421" max="6421" width="6.42578125" customWidth="1"/>
    <col min="6422" max="6422" width="8.5703125" customWidth="1"/>
    <col min="6657" max="6657" width="12.28515625" customWidth="1"/>
    <col min="6658" max="6659" width="6.42578125" customWidth="1"/>
    <col min="6660" max="6660" width="10.140625" customWidth="1"/>
    <col min="6661" max="6661" width="8.28515625" customWidth="1"/>
    <col min="6662" max="6662" width="8.140625" customWidth="1"/>
    <col min="6663" max="6670" width="6.42578125" customWidth="1"/>
    <col min="6671" max="6671" width="5.28515625" customWidth="1"/>
    <col min="6672" max="6672" width="6.42578125" customWidth="1"/>
    <col min="6673" max="6673" width="10.7109375" customWidth="1"/>
    <col min="6674" max="6675" width="6.42578125" customWidth="1"/>
    <col min="6676" max="6676" width="6.5703125" customWidth="1"/>
    <col min="6677" max="6677" width="6.42578125" customWidth="1"/>
    <col min="6678" max="6678" width="8.5703125" customWidth="1"/>
    <col min="6913" max="6913" width="12.28515625" customWidth="1"/>
    <col min="6914" max="6915" width="6.42578125" customWidth="1"/>
    <col min="6916" max="6916" width="10.140625" customWidth="1"/>
    <col min="6917" max="6917" width="8.28515625" customWidth="1"/>
    <col min="6918" max="6918" width="8.140625" customWidth="1"/>
    <col min="6919" max="6926" width="6.42578125" customWidth="1"/>
    <col min="6927" max="6927" width="5.28515625" customWidth="1"/>
    <col min="6928" max="6928" width="6.42578125" customWidth="1"/>
    <col min="6929" max="6929" width="10.7109375" customWidth="1"/>
    <col min="6930" max="6931" width="6.42578125" customWidth="1"/>
    <col min="6932" max="6932" width="6.5703125" customWidth="1"/>
    <col min="6933" max="6933" width="6.42578125" customWidth="1"/>
    <col min="6934" max="6934" width="8.5703125" customWidth="1"/>
    <col min="7169" max="7169" width="12.28515625" customWidth="1"/>
    <col min="7170" max="7171" width="6.42578125" customWidth="1"/>
    <col min="7172" max="7172" width="10.140625" customWidth="1"/>
    <col min="7173" max="7173" width="8.28515625" customWidth="1"/>
    <col min="7174" max="7174" width="8.140625" customWidth="1"/>
    <col min="7175" max="7182" width="6.42578125" customWidth="1"/>
    <col min="7183" max="7183" width="5.28515625" customWidth="1"/>
    <col min="7184" max="7184" width="6.42578125" customWidth="1"/>
    <col min="7185" max="7185" width="10.7109375" customWidth="1"/>
    <col min="7186" max="7187" width="6.42578125" customWidth="1"/>
    <col min="7188" max="7188" width="6.5703125" customWidth="1"/>
    <col min="7189" max="7189" width="6.42578125" customWidth="1"/>
    <col min="7190" max="7190" width="8.5703125" customWidth="1"/>
    <col min="7425" max="7425" width="12.28515625" customWidth="1"/>
    <col min="7426" max="7427" width="6.42578125" customWidth="1"/>
    <col min="7428" max="7428" width="10.140625" customWidth="1"/>
    <col min="7429" max="7429" width="8.28515625" customWidth="1"/>
    <col min="7430" max="7430" width="8.140625" customWidth="1"/>
    <col min="7431" max="7438" width="6.42578125" customWidth="1"/>
    <col min="7439" max="7439" width="5.28515625" customWidth="1"/>
    <col min="7440" max="7440" width="6.42578125" customWidth="1"/>
    <col min="7441" max="7441" width="10.7109375" customWidth="1"/>
    <col min="7442" max="7443" width="6.42578125" customWidth="1"/>
    <col min="7444" max="7444" width="6.5703125" customWidth="1"/>
    <col min="7445" max="7445" width="6.42578125" customWidth="1"/>
    <col min="7446" max="7446" width="8.5703125" customWidth="1"/>
    <col min="7681" max="7681" width="12.28515625" customWidth="1"/>
    <col min="7682" max="7683" width="6.42578125" customWidth="1"/>
    <col min="7684" max="7684" width="10.140625" customWidth="1"/>
    <col min="7685" max="7685" width="8.28515625" customWidth="1"/>
    <col min="7686" max="7686" width="8.140625" customWidth="1"/>
    <col min="7687" max="7694" width="6.42578125" customWidth="1"/>
    <col min="7695" max="7695" width="5.28515625" customWidth="1"/>
    <col min="7696" max="7696" width="6.42578125" customWidth="1"/>
    <col min="7697" max="7697" width="10.7109375" customWidth="1"/>
    <col min="7698" max="7699" width="6.42578125" customWidth="1"/>
    <col min="7700" max="7700" width="6.5703125" customWidth="1"/>
    <col min="7701" max="7701" width="6.42578125" customWidth="1"/>
    <col min="7702" max="7702" width="8.5703125" customWidth="1"/>
    <col min="7937" max="7937" width="12.28515625" customWidth="1"/>
    <col min="7938" max="7939" width="6.42578125" customWidth="1"/>
    <col min="7940" max="7940" width="10.140625" customWidth="1"/>
    <col min="7941" max="7941" width="8.28515625" customWidth="1"/>
    <col min="7942" max="7942" width="8.140625" customWidth="1"/>
    <col min="7943" max="7950" width="6.42578125" customWidth="1"/>
    <col min="7951" max="7951" width="5.28515625" customWidth="1"/>
    <col min="7952" max="7952" width="6.42578125" customWidth="1"/>
    <col min="7953" max="7953" width="10.7109375" customWidth="1"/>
    <col min="7954" max="7955" width="6.42578125" customWidth="1"/>
    <col min="7956" max="7956" width="6.5703125" customWidth="1"/>
    <col min="7957" max="7957" width="6.42578125" customWidth="1"/>
    <col min="7958" max="7958" width="8.5703125" customWidth="1"/>
    <col min="8193" max="8193" width="12.28515625" customWidth="1"/>
    <col min="8194" max="8195" width="6.42578125" customWidth="1"/>
    <col min="8196" max="8196" width="10.140625" customWidth="1"/>
    <col min="8197" max="8197" width="8.28515625" customWidth="1"/>
    <col min="8198" max="8198" width="8.140625" customWidth="1"/>
    <col min="8199" max="8206" width="6.42578125" customWidth="1"/>
    <col min="8207" max="8207" width="5.28515625" customWidth="1"/>
    <col min="8208" max="8208" width="6.42578125" customWidth="1"/>
    <col min="8209" max="8209" width="10.7109375" customWidth="1"/>
    <col min="8210" max="8211" width="6.42578125" customWidth="1"/>
    <col min="8212" max="8212" width="6.5703125" customWidth="1"/>
    <col min="8213" max="8213" width="6.42578125" customWidth="1"/>
    <col min="8214" max="8214" width="8.5703125" customWidth="1"/>
    <col min="8449" max="8449" width="12.28515625" customWidth="1"/>
    <col min="8450" max="8451" width="6.42578125" customWidth="1"/>
    <col min="8452" max="8452" width="10.140625" customWidth="1"/>
    <col min="8453" max="8453" width="8.28515625" customWidth="1"/>
    <col min="8454" max="8454" width="8.140625" customWidth="1"/>
    <col min="8455" max="8462" width="6.42578125" customWidth="1"/>
    <col min="8463" max="8463" width="5.28515625" customWidth="1"/>
    <col min="8464" max="8464" width="6.42578125" customWidth="1"/>
    <col min="8465" max="8465" width="10.7109375" customWidth="1"/>
    <col min="8466" max="8467" width="6.42578125" customWidth="1"/>
    <col min="8468" max="8468" width="6.5703125" customWidth="1"/>
    <col min="8469" max="8469" width="6.42578125" customWidth="1"/>
    <col min="8470" max="8470" width="8.5703125" customWidth="1"/>
    <col min="8705" max="8705" width="12.28515625" customWidth="1"/>
    <col min="8706" max="8707" width="6.42578125" customWidth="1"/>
    <col min="8708" max="8708" width="10.140625" customWidth="1"/>
    <col min="8709" max="8709" width="8.28515625" customWidth="1"/>
    <col min="8710" max="8710" width="8.140625" customWidth="1"/>
    <col min="8711" max="8718" width="6.42578125" customWidth="1"/>
    <col min="8719" max="8719" width="5.28515625" customWidth="1"/>
    <col min="8720" max="8720" width="6.42578125" customWidth="1"/>
    <col min="8721" max="8721" width="10.7109375" customWidth="1"/>
    <col min="8722" max="8723" width="6.42578125" customWidth="1"/>
    <col min="8724" max="8724" width="6.5703125" customWidth="1"/>
    <col min="8725" max="8725" width="6.42578125" customWidth="1"/>
    <col min="8726" max="8726" width="8.5703125" customWidth="1"/>
    <col min="8961" max="8961" width="12.28515625" customWidth="1"/>
    <col min="8962" max="8963" width="6.42578125" customWidth="1"/>
    <col min="8964" max="8964" width="10.140625" customWidth="1"/>
    <col min="8965" max="8965" width="8.28515625" customWidth="1"/>
    <col min="8966" max="8966" width="8.140625" customWidth="1"/>
    <col min="8967" max="8974" width="6.42578125" customWidth="1"/>
    <col min="8975" max="8975" width="5.28515625" customWidth="1"/>
    <col min="8976" max="8976" width="6.42578125" customWidth="1"/>
    <col min="8977" max="8977" width="10.7109375" customWidth="1"/>
    <col min="8978" max="8979" width="6.42578125" customWidth="1"/>
    <col min="8980" max="8980" width="6.5703125" customWidth="1"/>
    <col min="8981" max="8981" width="6.42578125" customWidth="1"/>
    <col min="8982" max="8982" width="8.5703125" customWidth="1"/>
    <col min="9217" max="9217" width="12.28515625" customWidth="1"/>
    <col min="9218" max="9219" width="6.42578125" customWidth="1"/>
    <col min="9220" max="9220" width="10.140625" customWidth="1"/>
    <col min="9221" max="9221" width="8.28515625" customWidth="1"/>
    <col min="9222" max="9222" width="8.140625" customWidth="1"/>
    <col min="9223" max="9230" width="6.42578125" customWidth="1"/>
    <col min="9231" max="9231" width="5.28515625" customWidth="1"/>
    <col min="9232" max="9232" width="6.42578125" customWidth="1"/>
    <col min="9233" max="9233" width="10.7109375" customWidth="1"/>
    <col min="9234" max="9235" width="6.42578125" customWidth="1"/>
    <col min="9236" max="9236" width="6.5703125" customWidth="1"/>
    <col min="9237" max="9237" width="6.42578125" customWidth="1"/>
    <col min="9238" max="9238" width="8.5703125" customWidth="1"/>
    <col min="9473" max="9473" width="12.28515625" customWidth="1"/>
    <col min="9474" max="9475" width="6.42578125" customWidth="1"/>
    <col min="9476" max="9476" width="10.140625" customWidth="1"/>
    <col min="9477" max="9477" width="8.28515625" customWidth="1"/>
    <col min="9478" max="9478" width="8.140625" customWidth="1"/>
    <col min="9479" max="9486" width="6.42578125" customWidth="1"/>
    <col min="9487" max="9487" width="5.28515625" customWidth="1"/>
    <col min="9488" max="9488" width="6.42578125" customWidth="1"/>
    <col min="9489" max="9489" width="10.7109375" customWidth="1"/>
    <col min="9490" max="9491" width="6.42578125" customWidth="1"/>
    <col min="9492" max="9492" width="6.5703125" customWidth="1"/>
    <col min="9493" max="9493" width="6.42578125" customWidth="1"/>
    <col min="9494" max="9494" width="8.5703125" customWidth="1"/>
    <col min="9729" max="9729" width="12.28515625" customWidth="1"/>
    <col min="9730" max="9731" width="6.42578125" customWidth="1"/>
    <col min="9732" max="9732" width="10.140625" customWidth="1"/>
    <col min="9733" max="9733" width="8.28515625" customWidth="1"/>
    <col min="9734" max="9734" width="8.140625" customWidth="1"/>
    <col min="9735" max="9742" width="6.42578125" customWidth="1"/>
    <col min="9743" max="9743" width="5.28515625" customWidth="1"/>
    <col min="9744" max="9744" width="6.42578125" customWidth="1"/>
    <col min="9745" max="9745" width="10.7109375" customWidth="1"/>
    <col min="9746" max="9747" width="6.42578125" customWidth="1"/>
    <col min="9748" max="9748" width="6.5703125" customWidth="1"/>
    <col min="9749" max="9749" width="6.42578125" customWidth="1"/>
    <col min="9750" max="9750" width="8.5703125" customWidth="1"/>
    <col min="9985" max="9985" width="12.28515625" customWidth="1"/>
    <col min="9986" max="9987" width="6.42578125" customWidth="1"/>
    <col min="9988" max="9988" width="10.140625" customWidth="1"/>
    <col min="9989" max="9989" width="8.28515625" customWidth="1"/>
    <col min="9990" max="9990" width="8.140625" customWidth="1"/>
    <col min="9991" max="9998" width="6.42578125" customWidth="1"/>
    <col min="9999" max="9999" width="5.28515625" customWidth="1"/>
    <col min="10000" max="10000" width="6.42578125" customWidth="1"/>
    <col min="10001" max="10001" width="10.7109375" customWidth="1"/>
    <col min="10002" max="10003" width="6.42578125" customWidth="1"/>
    <col min="10004" max="10004" width="6.5703125" customWidth="1"/>
    <col min="10005" max="10005" width="6.42578125" customWidth="1"/>
    <col min="10006" max="10006" width="8.5703125" customWidth="1"/>
    <col min="10241" max="10241" width="12.28515625" customWidth="1"/>
    <col min="10242" max="10243" width="6.42578125" customWidth="1"/>
    <col min="10244" max="10244" width="10.140625" customWidth="1"/>
    <col min="10245" max="10245" width="8.28515625" customWidth="1"/>
    <col min="10246" max="10246" width="8.140625" customWidth="1"/>
    <col min="10247" max="10254" width="6.42578125" customWidth="1"/>
    <col min="10255" max="10255" width="5.28515625" customWidth="1"/>
    <col min="10256" max="10256" width="6.42578125" customWidth="1"/>
    <col min="10257" max="10257" width="10.7109375" customWidth="1"/>
    <col min="10258" max="10259" width="6.42578125" customWidth="1"/>
    <col min="10260" max="10260" width="6.5703125" customWidth="1"/>
    <col min="10261" max="10261" width="6.42578125" customWidth="1"/>
    <col min="10262" max="10262" width="8.5703125" customWidth="1"/>
    <col min="10497" max="10497" width="12.28515625" customWidth="1"/>
    <col min="10498" max="10499" width="6.42578125" customWidth="1"/>
    <col min="10500" max="10500" width="10.140625" customWidth="1"/>
    <col min="10501" max="10501" width="8.28515625" customWidth="1"/>
    <col min="10502" max="10502" width="8.140625" customWidth="1"/>
    <col min="10503" max="10510" width="6.42578125" customWidth="1"/>
    <col min="10511" max="10511" width="5.28515625" customWidth="1"/>
    <col min="10512" max="10512" width="6.42578125" customWidth="1"/>
    <col min="10513" max="10513" width="10.7109375" customWidth="1"/>
    <col min="10514" max="10515" width="6.42578125" customWidth="1"/>
    <col min="10516" max="10516" width="6.5703125" customWidth="1"/>
    <col min="10517" max="10517" width="6.42578125" customWidth="1"/>
    <col min="10518" max="10518" width="8.5703125" customWidth="1"/>
    <col min="10753" max="10753" width="12.28515625" customWidth="1"/>
    <col min="10754" max="10755" width="6.42578125" customWidth="1"/>
    <col min="10756" max="10756" width="10.140625" customWidth="1"/>
    <col min="10757" max="10757" width="8.28515625" customWidth="1"/>
    <col min="10758" max="10758" width="8.140625" customWidth="1"/>
    <col min="10759" max="10766" width="6.42578125" customWidth="1"/>
    <col min="10767" max="10767" width="5.28515625" customWidth="1"/>
    <col min="10768" max="10768" width="6.42578125" customWidth="1"/>
    <col min="10769" max="10769" width="10.7109375" customWidth="1"/>
    <col min="10770" max="10771" width="6.42578125" customWidth="1"/>
    <col min="10772" max="10772" width="6.5703125" customWidth="1"/>
    <col min="10773" max="10773" width="6.42578125" customWidth="1"/>
    <col min="10774" max="10774" width="8.5703125" customWidth="1"/>
    <col min="11009" max="11009" width="12.28515625" customWidth="1"/>
    <col min="11010" max="11011" width="6.42578125" customWidth="1"/>
    <col min="11012" max="11012" width="10.140625" customWidth="1"/>
    <col min="11013" max="11013" width="8.28515625" customWidth="1"/>
    <col min="11014" max="11014" width="8.140625" customWidth="1"/>
    <col min="11015" max="11022" width="6.42578125" customWidth="1"/>
    <col min="11023" max="11023" width="5.28515625" customWidth="1"/>
    <col min="11024" max="11024" width="6.42578125" customWidth="1"/>
    <col min="11025" max="11025" width="10.7109375" customWidth="1"/>
    <col min="11026" max="11027" width="6.42578125" customWidth="1"/>
    <col min="11028" max="11028" width="6.5703125" customWidth="1"/>
    <col min="11029" max="11029" width="6.42578125" customWidth="1"/>
    <col min="11030" max="11030" width="8.5703125" customWidth="1"/>
    <col min="11265" max="11265" width="12.28515625" customWidth="1"/>
    <col min="11266" max="11267" width="6.42578125" customWidth="1"/>
    <col min="11268" max="11268" width="10.140625" customWidth="1"/>
    <col min="11269" max="11269" width="8.28515625" customWidth="1"/>
    <col min="11270" max="11270" width="8.140625" customWidth="1"/>
    <col min="11271" max="11278" width="6.42578125" customWidth="1"/>
    <col min="11279" max="11279" width="5.28515625" customWidth="1"/>
    <col min="11280" max="11280" width="6.42578125" customWidth="1"/>
    <col min="11281" max="11281" width="10.7109375" customWidth="1"/>
    <col min="11282" max="11283" width="6.42578125" customWidth="1"/>
    <col min="11284" max="11284" width="6.5703125" customWidth="1"/>
    <col min="11285" max="11285" width="6.42578125" customWidth="1"/>
    <col min="11286" max="11286" width="8.5703125" customWidth="1"/>
    <col min="11521" max="11521" width="12.28515625" customWidth="1"/>
    <col min="11522" max="11523" width="6.42578125" customWidth="1"/>
    <col min="11524" max="11524" width="10.140625" customWidth="1"/>
    <col min="11525" max="11525" width="8.28515625" customWidth="1"/>
    <col min="11526" max="11526" width="8.140625" customWidth="1"/>
    <col min="11527" max="11534" width="6.42578125" customWidth="1"/>
    <col min="11535" max="11535" width="5.28515625" customWidth="1"/>
    <col min="11536" max="11536" width="6.42578125" customWidth="1"/>
    <col min="11537" max="11537" width="10.7109375" customWidth="1"/>
    <col min="11538" max="11539" width="6.42578125" customWidth="1"/>
    <col min="11540" max="11540" width="6.5703125" customWidth="1"/>
    <col min="11541" max="11541" width="6.42578125" customWidth="1"/>
    <col min="11542" max="11542" width="8.5703125" customWidth="1"/>
    <col min="11777" max="11777" width="12.28515625" customWidth="1"/>
    <col min="11778" max="11779" width="6.42578125" customWidth="1"/>
    <col min="11780" max="11780" width="10.140625" customWidth="1"/>
    <col min="11781" max="11781" width="8.28515625" customWidth="1"/>
    <col min="11782" max="11782" width="8.140625" customWidth="1"/>
    <col min="11783" max="11790" width="6.42578125" customWidth="1"/>
    <col min="11791" max="11791" width="5.28515625" customWidth="1"/>
    <col min="11792" max="11792" width="6.42578125" customWidth="1"/>
    <col min="11793" max="11793" width="10.7109375" customWidth="1"/>
    <col min="11794" max="11795" width="6.42578125" customWidth="1"/>
    <col min="11796" max="11796" width="6.5703125" customWidth="1"/>
    <col min="11797" max="11797" width="6.42578125" customWidth="1"/>
    <col min="11798" max="11798" width="8.5703125" customWidth="1"/>
    <col min="12033" max="12033" width="12.28515625" customWidth="1"/>
    <col min="12034" max="12035" width="6.42578125" customWidth="1"/>
    <col min="12036" max="12036" width="10.140625" customWidth="1"/>
    <col min="12037" max="12037" width="8.28515625" customWidth="1"/>
    <col min="12038" max="12038" width="8.140625" customWidth="1"/>
    <col min="12039" max="12046" width="6.42578125" customWidth="1"/>
    <col min="12047" max="12047" width="5.28515625" customWidth="1"/>
    <col min="12048" max="12048" width="6.42578125" customWidth="1"/>
    <col min="12049" max="12049" width="10.7109375" customWidth="1"/>
    <col min="12050" max="12051" width="6.42578125" customWidth="1"/>
    <col min="12052" max="12052" width="6.5703125" customWidth="1"/>
    <col min="12053" max="12053" width="6.42578125" customWidth="1"/>
    <col min="12054" max="12054" width="8.5703125" customWidth="1"/>
    <col min="12289" max="12289" width="12.28515625" customWidth="1"/>
    <col min="12290" max="12291" width="6.42578125" customWidth="1"/>
    <col min="12292" max="12292" width="10.140625" customWidth="1"/>
    <col min="12293" max="12293" width="8.28515625" customWidth="1"/>
    <col min="12294" max="12294" width="8.140625" customWidth="1"/>
    <col min="12295" max="12302" width="6.42578125" customWidth="1"/>
    <col min="12303" max="12303" width="5.28515625" customWidth="1"/>
    <col min="12304" max="12304" width="6.42578125" customWidth="1"/>
    <col min="12305" max="12305" width="10.7109375" customWidth="1"/>
    <col min="12306" max="12307" width="6.42578125" customWidth="1"/>
    <col min="12308" max="12308" width="6.5703125" customWidth="1"/>
    <col min="12309" max="12309" width="6.42578125" customWidth="1"/>
    <col min="12310" max="12310" width="8.5703125" customWidth="1"/>
    <col min="12545" max="12545" width="12.28515625" customWidth="1"/>
    <col min="12546" max="12547" width="6.42578125" customWidth="1"/>
    <col min="12548" max="12548" width="10.140625" customWidth="1"/>
    <col min="12549" max="12549" width="8.28515625" customWidth="1"/>
    <col min="12550" max="12550" width="8.140625" customWidth="1"/>
    <col min="12551" max="12558" width="6.42578125" customWidth="1"/>
    <col min="12559" max="12559" width="5.28515625" customWidth="1"/>
    <col min="12560" max="12560" width="6.42578125" customWidth="1"/>
    <col min="12561" max="12561" width="10.7109375" customWidth="1"/>
    <col min="12562" max="12563" width="6.42578125" customWidth="1"/>
    <col min="12564" max="12564" width="6.5703125" customWidth="1"/>
    <col min="12565" max="12565" width="6.42578125" customWidth="1"/>
    <col min="12566" max="12566" width="8.5703125" customWidth="1"/>
    <col min="12801" max="12801" width="12.28515625" customWidth="1"/>
    <col min="12802" max="12803" width="6.42578125" customWidth="1"/>
    <col min="12804" max="12804" width="10.140625" customWidth="1"/>
    <col min="12805" max="12805" width="8.28515625" customWidth="1"/>
    <col min="12806" max="12806" width="8.140625" customWidth="1"/>
    <col min="12807" max="12814" width="6.42578125" customWidth="1"/>
    <col min="12815" max="12815" width="5.28515625" customWidth="1"/>
    <col min="12816" max="12816" width="6.42578125" customWidth="1"/>
    <col min="12817" max="12817" width="10.7109375" customWidth="1"/>
    <col min="12818" max="12819" width="6.42578125" customWidth="1"/>
    <col min="12820" max="12820" width="6.5703125" customWidth="1"/>
    <col min="12821" max="12821" width="6.42578125" customWidth="1"/>
    <col min="12822" max="12822" width="8.5703125" customWidth="1"/>
    <col min="13057" max="13057" width="12.28515625" customWidth="1"/>
    <col min="13058" max="13059" width="6.42578125" customWidth="1"/>
    <col min="13060" max="13060" width="10.140625" customWidth="1"/>
    <col min="13061" max="13061" width="8.28515625" customWidth="1"/>
    <col min="13062" max="13062" width="8.140625" customWidth="1"/>
    <col min="13063" max="13070" width="6.42578125" customWidth="1"/>
    <col min="13071" max="13071" width="5.28515625" customWidth="1"/>
    <col min="13072" max="13072" width="6.42578125" customWidth="1"/>
    <col min="13073" max="13073" width="10.7109375" customWidth="1"/>
    <col min="13074" max="13075" width="6.42578125" customWidth="1"/>
    <col min="13076" max="13076" width="6.5703125" customWidth="1"/>
    <col min="13077" max="13077" width="6.42578125" customWidth="1"/>
    <col min="13078" max="13078" width="8.5703125" customWidth="1"/>
    <col min="13313" max="13313" width="12.28515625" customWidth="1"/>
    <col min="13314" max="13315" width="6.42578125" customWidth="1"/>
    <col min="13316" max="13316" width="10.140625" customWidth="1"/>
    <col min="13317" max="13317" width="8.28515625" customWidth="1"/>
    <col min="13318" max="13318" width="8.140625" customWidth="1"/>
    <col min="13319" max="13326" width="6.42578125" customWidth="1"/>
    <col min="13327" max="13327" width="5.28515625" customWidth="1"/>
    <col min="13328" max="13328" width="6.42578125" customWidth="1"/>
    <col min="13329" max="13329" width="10.7109375" customWidth="1"/>
    <col min="13330" max="13331" width="6.42578125" customWidth="1"/>
    <col min="13332" max="13332" width="6.5703125" customWidth="1"/>
    <col min="13333" max="13333" width="6.42578125" customWidth="1"/>
    <col min="13334" max="13334" width="8.5703125" customWidth="1"/>
    <col min="13569" max="13569" width="12.28515625" customWidth="1"/>
    <col min="13570" max="13571" width="6.42578125" customWidth="1"/>
    <col min="13572" max="13572" width="10.140625" customWidth="1"/>
    <col min="13573" max="13573" width="8.28515625" customWidth="1"/>
    <col min="13574" max="13574" width="8.140625" customWidth="1"/>
    <col min="13575" max="13582" width="6.42578125" customWidth="1"/>
    <col min="13583" max="13583" width="5.28515625" customWidth="1"/>
    <col min="13584" max="13584" width="6.42578125" customWidth="1"/>
    <col min="13585" max="13585" width="10.7109375" customWidth="1"/>
    <col min="13586" max="13587" width="6.42578125" customWidth="1"/>
    <col min="13588" max="13588" width="6.5703125" customWidth="1"/>
    <col min="13589" max="13589" width="6.42578125" customWidth="1"/>
    <col min="13590" max="13590" width="8.5703125" customWidth="1"/>
    <col min="13825" max="13825" width="12.28515625" customWidth="1"/>
    <col min="13826" max="13827" width="6.42578125" customWidth="1"/>
    <col min="13828" max="13828" width="10.140625" customWidth="1"/>
    <col min="13829" max="13829" width="8.28515625" customWidth="1"/>
    <col min="13830" max="13830" width="8.140625" customWidth="1"/>
    <col min="13831" max="13838" width="6.42578125" customWidth="1"/>
    <col min="13839" max="13839" width="5.28515625" customWidth="1"/>
    <col min="13840" max="13840" width="6.42578125" customWidth="1"/>
    <col min="13841" max="13841" width="10.7109375" customWidth="1"/>
    <col min="13842" max="13843" width="6.42578125" customWidth="1"/>
    <col min="13844" max="13844" width="6.5703125" customWidth="1"/>
    <col min="13845" max="13845" width="6.42578125" customWidth="1"/>
    <col min="13846" max="13846" width="8.5703125" customWidth="1"/>
    <col min="14081" max="14081" width="12.28515625" customWidth="1"/>
    <col min="14082" max="14083" width="6.42578125" customWidth="1"/>
    <col min="14084" max="14084" width="10.140625" customWidth="1"/>
    <col min="14085" max="14085" width="8.28515625" customWidth="1"/>
    <col min="14086" max="14086" width="8.140625" customWidth="1"/>
    <col min="14087" max="14094" width="6.42578125" customWidth="1"/>
    <col min="14095" max="14095" width="5.28515625" customWidth="1"/>
    <col min="14096" max="14096" width="6.42578125" customWidth="1"/>
    <col min="14097" max="14097" width="10.7109375" customWidth="1"/>
    <col min="14098" max="14099" width="6.42578125" customWidth="1"/>
    <col min="14100" max="14100" width="6.5703125" customWidth="1"/>
    <col min="14101" max="14101" width="6.42578125" customWidth="1"/>
    <col min="14102" max="14102" width="8.5703125" customWidth="1"/>
    <col min="14337" max="14337" width="12.28515625" customWidth="1"/>
    <col min="14338" max="14339" width="6.42578125" customWidth="1"/>
    <col min="14340" max="14340" width="10.140625" customWidth="1"/>
    <col min="14341" max="14341" width="8.28515625" customWidth="1"/>
    <col min="14342" max="14342" width="8.140625" customWidth="1"/>
    <col min="14343" max="14350" width="6.42578125" customWidth="1"/>
    <col min="14351" max="14351" width="5.28515625" customWidth="1"/>
    <col min="14352" max="14352" width="6.42578125" customWidth="1"/>
    <col min="14353" max="14353" width="10.7109375" customWidth="1"/>
    <col min="14354" max="14355" width="6.42578125" customWidth="1"/>
    <col min="14356" max="14356" width="6.5703125" customWidth="1"/>
    <col min="14357" max="14357" width="6.42578125" customWidth="1"/>
    <col min="14358" max="14358" width="8.5703125" customWidth="1"/>
    <col min="14593" max="14593" width="12.28515625" customWidth="1"/>
    <col min="14594" max="14595" width="6.42578125" customWidth="1"/>
    <col min="14596" max="14596" width="10.140625" customWidth="1"/>
    <col min="14597" max="14597" width="8.28515625" customWidth="1"/>
    <col min="14598" max="14598" width="8.140625" customWidth="1"/>
    <col min="14599" max="14606" width="6.42578125" customWidth="1"/>
    <col min="14607" max="14607" width="5.28515625" customWidth="1"/>
    <col min="14608" max="14608" width="6.42578125" customWidth="1"/>
    <col min="14609" max="14609" width="10.7109375" customWidth="1"/>
    <col min="14610" max="14611" width="6.42578125" customWidth="1"/>
    <col min="14612" max="14612" width="6.5703125" customWidth="1"/>
    <col min="14613" max="14613" width="6.42578125" customWidth="1"/>
    <col min="14614" max="14614" width="8.5703125" customWidth="1"/>
    <col min="14849" max="14849" width="12.28515625" customWidth="1"/>
    <col min="14850" max="14851" width="6.42578125" customWidth="1"/>
    <col min="14852" max="14852" width="10.140625" customWidth="1"/>
    <col min="14853" max="14853" width="8.28515625" customWidth="1"/>
    <col min="14854" max="14854" width="8.140625" customWidth="1"/>
    <col min="14855" max="14862" width="6.42578125" customWidth="1"/>
    <col min="14863" max="14863" width="5.28515625" customWidth="1"/>
    <col min="14864" max="14864" width="6.42578125" customWidth="1"/>
    <col min="14865" max="14865" width="10.7109375" customWidth="1"/>
    <col min="14866" max="14867" width="6.42578125" customWidth="1"/>
    <col min="14868" max="14868" width="6.5703125" customWidth="1"/>
    <col min="14869" max="14869" width="6.42578125" customWidth="1"/>
    <col min="14870" max="14870" width="8.5703125" customWidth="1"/>
    <col min="15105" max="15105" width="12.28515625" customWidth="1"/>
    <col min="15106" max="15107" width="6.42578125" customWidth="1"/>
    <col min="15108" max="15108" width="10.140625" customWidth="1"/>
    <col min="15109" max="15109" width="8.28515625" customWidth="1"/>
    <col min="15110" max="15110" width="8.140625" customWidth="1"/>
    <col min="15111" max="15118" width="6.42578125" customWidth="1"/>
    <col min="15119" max="15119" width="5.28515625" customWidth="1"/>
    <col min="15120" max="15120" width="6.42578125" customWidth="1"/>
    <col min="15121" max="15121" width="10.7109375" customWidth="1"/>
    <col min="15122" max="15123" width="6.42578125" customWidth="1"/>
    <col min="15124" max="15124" width="6.5703125" customWidth="1"/>
    <col min="15125" max="15125" width="6.42578125" customWidth="1"/>
    <col min="15126" max="15126" width="8.5703125" customWidth="1"/>
    <col min="15361" max="15361" width="12.28515625" customWidth="1"/>
    <col min="15362" max="15363" width="6.42578125" customWidth="1"/>
    <col min="15364" max="15364" width="10.140625" customWidth="1"/>
    <col min="15365" max="15365" width="8.28515625" customWidth="1"/>
    <col min="15366" max="15366" width="8.140625" customWidth="1"/>
    <col min="15367" max="15374" width="6.42578125" customWidth="1"/>
    <col min="15375" max="15375" width="5.28515625" customWidth="1"/>
    <col min="15376" max="15376" width="6.42578125" customWidth="1"/>
    <col min="15377" max="15377" width="10.7109375" customWidth="1"/>
    <col min="15378" max="15379" width="6.42578125" customWidth="1"/>
    <col min="15380" max="15380" width="6.5703125" customWidth="1"/>
    <col min="15381" max="15381" width="6.42578125" customWidth="1"/>
    <col min="15382" max="15382" width="8.5703125" customWidth="1"/>
    <col min="15617" max="15617" width="12.28515625" customWidth="1"/>
    <col min="15618" max="15619" width="6.42578125" customWidth="1"/>
    <col min="15620" max="15620" width="10.140625" customWidth="1"/>
    <col min="15621" max="15621" width="8.28515625" customWidth="1"/>
    <col min="15622" max="15622" width="8.140625" customWidth="1"/>
    <col min="15623" max="15630" width="6.42578125" customWidth="1"/>
    <col min="15631" max="15631" width="5.28515625" customWidth="1"/>
    <col min="15632" max="15632" width="6.42578125" customWidth="1"/>
    <col min="15633" max="15633" width="10.7109375" customWidth="1"/>
    <col min="15634" max="15635" width="6.42578125" customWidth="1"/>
    <col min="15636" max="15636" width="6.5703125" customWidth="1"/>
    <col min="15637" max="15637" width="6.42578125" customWidth="1"/>
    <col min="15638" max="15638" width="8.5703125" customWidth="1"/>
    <col min="15873" max="15873" width="12.28515625" customWidth="1"/>
    <col min="15874" max="15875" width="6.42578125" customWidth="1"/>
    <col min="15876" max="15876" width="10.140625" customWidth="1"/>
    <col min="15877" max="15877" width="8.28515625" customWidth="1"/>
    <col min="15878" max="15878" width="8.140625" customWidth="1"/>
    <col min="15879" max="15886" width="6.42578125" customWidth="1"/>
    <col min="15887" max="15887" width="5.28515625" customWidth="1"/>
    <col min="15888" max="15888" width="6.42578125" customWidth="1"/>
    <col min="15889" max="15889" width="10.7109375" customWidth="1"/>
    <col min="15890" max="15891" width="6.42578125" customWidth="1"/>
    <col min="15892" max="15892" width="6.5703125" customWidth="1"/>
    <col min="15893" max="15893" width="6.42578125" customWidth="1"/>
    <col min="15894" max="15894" width="8.5703125" customWidth="1"/>
    <col min="16129" max="16129" width="12.28515625" customWidth="1"/>
    <col min="16130" max="16131" width="6.42578125" customWidth="1"/>
    <col min="16132" max="16132" width="10.140625" customWidth="1"/>
    <col min="16133" max="16133" width="8.28515625" customWidth="1"/>
    <col min="16134" max="16134" width="8.140625" customWidth="1"/>
    <col min="16135" max="16142" width="6.42578125" customWidth="1"/>
    <col min="16143" max="16143" width="5.28515625" customWidth="1"/>
    <col min="16144" max="16144" width="6.42578125" customWidth="1"/>
    <col min="16145" max="16145" width="10.7109375" customWidth="1"/>
    <col min="16146" max="16147" width="6.42578125" customWidth="1"/>
    <col min="16148" max="16148" width="6.5703125" customWidth="1"/>
    <col min="16149" max="16149" width="6.42578125" customWidth="1"/>
    <col min="16150" max="16150" width="8.5703125" customWidth="1"/>
  </cols>
  <sheetData>
    <row r="1" spans="1:22" s="5" customFormat="1" ht="36" customHeight="1" x14ac:dyDescent="0.2">
      <c r="A1" s="256"/>
      <c r="B1" s="256"/>
      <c r="C1" s="256"/>
      <c r="D1" s="256"/>
      <c r="E1" s="256"/>
      <c r="F1" s="482" t="s">
        <v>171</v>
      </c>
      <c r="G1" s="482"/>
      <c r="H1" s="482"/>
      <c r="I1" s="482"/>
      <c r="J1" s="482"/>
      <c r="K1" s="482"/>
      <c r="L1" s="482"/>
      <c r="M1" s="482"/>
      <c r="N1" s="482"/>
      <c r="O1" s="483" t="s">
        <v>172</v>
      </c>
      <c r="P1" s="483"/>
      <c r="Q1" s="483"/>
      <c r="R1" s="484"/>
      <c r="S1" s="484"/>
      <c r="T1" s="484"/>
      <c r="U1" s="484"/>
      <c r="V1" s="484"/>
    </row>
    <row r="2" spans="1:22" s="5" customFormat="1" ht="36" customHeight="1" x14ac:dyDescent="0.2">
      <c r="A2" s="256"/>
      <c r="B2" s="256"/>
      <c r="C2" s="256"/>
      <c r="D2" s="256"/>
      <c r="E2" s="256"/>
      <c r="F2" s="482"/>
      <c r="G2" s="482"/>
      <c r="H2" s="482"/>
      <c r="I2" s="482"/>
      <c r="J2" s="482"/>
      <c r="K2" s="482"/>
      <c r="L2" s="482"/>
      <c r="M2" s="482"/>
      <c r="N2" s="482"/>
      <c r="O2" s="483" t="s">
        <v>173</v>
      </c>
      <c r="P2" s="483"/>
      <c r="Q2" s="483"/>
      <c r="R2" s="485"/>
      <c r="S2" s="484"/>
      <c r="T2" s="484"/>
      <c r="U2" s="484"/>
      <c r="V2" s="484"/>
    </row>
    <row r="3" spans="1:22" s="5" customFormat="1" ht="34.5" customHeight="1" x14ac:dyDescent="0.2">
      <c r="A3" s="486" t="s">
        <v>174</v>
      </c>
      <c r="B3" s="487"/>
      <c r="C3" s="487"/>
      <c r="D3" s="488"/>
      <c r="E3" s="489"/>
      <c r="F3" s="489"/>
      <c r="G3" s="489"/>
      <c r="H3" s="489"/>
      <c r="I3" s="489"/>
      <c r="J3" s="489"/>
      <c r="K3" s="489"/>
      <c r="L3" s="489"/>
      <c r="M3" s="489"/>
      <c r="N3" s="489"/>
      <c r="O3" s="489"/>
      <c r="P3" s="489"/>
      <c r="Q3" s="489"/>
      <c r="R3" s="489"/>
      <c r="S3" s="489"/>
      <c r="T3" s="489"/>
      <c r="U3" s="489"/>
      <c r="V3" s="489"/>
    </row>
    <row r="4" spans="1:22" s="5" customFormat="1" ht="30" customHeight="1" x14ac:dyDescent="0.2">
      <c r="A4" s="486" t="s">
        <v>175</v>
      </c>
      <c r="B4" s="487"/>
      <c r="C4" s="487"/>
      <c r="D4" s="488"/>
      <c r="E4" s="490"/>
      <c r="F4" s="490"/>
      <c r="G4" s="490"/>
      <c r="H4" s="490"/>
      <c r="I4" s="490"/>
      <c r="J4" s="490"/>
      <c r="K4" s="490"/>
      <c r="L4" s="490"/>
      <c r="M4" s="490"/>
      <c r="N4" s="490"/>
      <c r="O4" s="490"/>
      <c r="P4" s="490"/>
      <c r="Q4" s="490"/>
      <c r="R4" s="490"/>
      <c r="S4" s="490"/>
      <c r="T4" s="490"/>
      <c r="U4" s="490"/>
      <c r="V4" s="490"/>
    </row>
    <row r="5" spans="1:22" s="5" customFormat="1" ht="30" customHeight="1" x14ac:dyDescent="0.2">
      <c r="A5" s="486" t="s">
        <v>176</v>
      </c>
      <c r="B5" s="487"/>
      <c r="C5" s="487"/>
      <c r="D5" s="488"/>
      <c r="E5" s="490"/>
      <c r="F5" s="490"/>
      <c r="G5" s="490"/>
      <c r="H5" s="490"/>
      <c r="I5" s="490"/>
      <c r="J5" s="490"/>
      <c r="K5" s="490"/>
      <c r="L5" s="490"/>
      <c r="M5" s="490"/>
      <c r="N5" s="490"/>
      <c r="O5" s="490"/>
      <c r="P5" s="490"/>
      <c r="Q5" s="490"/>
      <c r="R5" s="490"/>
      <c r="S5" s="490"/>
      <c r="T5" s="490"/>
      <c r="U5" s="490"/>
      <c r="V5" s="490"/>
    </row>
    <row r="6" spans="1:22" s="149" customFormat="1" ht="38.25" customHeight="1" x14ac:dyDescent="0.2">
      <c r="A6" s="148" t="s">
        <v>177</v>
      </c>
      <c r="B6" s="491" t="s">
        <v>178</v>
      </c>
      <c r="C6" s="491"/>
      <c r="D6" s="491"/>
      <c r="E6" s="491"/>
      <c r="F6" s="491"/>
      <c r="G6" s="491"/>
      <c r="H6" s="491"/>
      <c r="I6" s="491"/>
      <c r="J6" s="491"/>
      <c r="K6" s="491"/>
      <c r="L6" s="491"/>
      <c r="M6" s="491"/>
      <c r="N6" s="492" t="s">
        <v>179</v>
      </c>
      <c r="O6" s="492"/>
      <c r="P6" s="492"/>
      <c r="Q6" s="492"/>
      <c r="R6" s="492" t="s">
        <v>180</v>
      </c>
      <c r="S6" s="492"/>
      <c r="T6" s="492"/>
      <c r="U6" s="492"/>
      <c r="V6" s="492"/>
    </row>
    <row r="7" spans="1:22" s="146" customFormat="1" ht="33.75" customHeight="1" x14ac:dyDescent="0.2">
      <c r="A7" s="145">
        <v>1</v>
      </c>
      <c r="B7" s="493"/>
      <c r="C7" s="493"/>
      <c r="D7" s="493"/>
      <c r="E7" s="493"/>
      <c r="F7" s="493"/>
      <c r="G7" s="493"/>
      <c r="H7" s="493"/>
      <c r="I7" s="493"/>
      <c r="J7" s="493"/>
      <c r="K7" s="493"/>
      <c r="L7" s="493"/>
      <c r="M7" s="493"/>
      <c r="N7" s="256"/>
      <c r="O7" s="256"/>
      <c r="P7" s="256"/>
      <c r="Q7" s="256"/>
      <c r="R7" s="403"/>
      <c r="S7" s="256"/>
      <c r="T7" s="256"/>
      <c r="U7" s="256"/>
      <c r="V7" s="256"/>
    </row>
    <row r="8" spans="1:22" s="146" customFormat="1" ht="33.75" customHeight="1" x14ac:dyDescent="0.2">
      <c r="A8" s="145">
        <v>2</v>
      </c>
      <c r="B8" s="493"/>
      <c r="C8" s="493"/>
      <c r="D8" s="493"/>
      <c r="E8" s="493"/>
      <c r="F8" s="493"/>
      <c r="G8" s="493"/>
      <c r="H8" s="493"/>
      <c r="I8" s="493"/>
      <c r="J8" s="493"/>
      <c r="K8" s="493"/>
      <c r="L8" s="493"/>
      <c r="M8" s="493"/>
      <c r="N8" s="256"/>
      <c r="O8" s="256"/>
      <c r="P8" s="256"/>
      <c r="Q8" s="256"/>
      <c r="R8" s="403"/>
      <c r="S8" s="256"/>
      <c r="T8" s="256"/>
      <c r="U8" s="256"/>
      <c r="V8" s="256"/>
    </row>
    <row r="9" spans="1:22" s="146" customFormat="1" ht="33.75" customHeight="1" x14ac:dyDescent="0.2">
      <c r="A9" s="145">
        <v>3</v>
      </c>
      <c r="B9" s="493"/>
      <c r="C9" s="493"/>
      <c r="D9" s="493"/>
      <c r="E9" s="493"/>
      <c r="F9" s="493"/>
      <c r="G9" s="493"/>
      <c r="H9" s="493"/>
      <c r="I9" s="493"/>
      <c r="J9" s="493"/>
      <c r="K9" s="493"/>
      <c r="L9" s="493"/>
      <c r="M9" s="493"/>
      <c r="N9" s="256"/>
      <c r="O9" s="256"/>
      <c r="P9" s="256"/>
      <c r="Q9" s="256"/>
      <c r="R9" s="256"/>
      <c r="S9" s="256"/>
      <c r="T9" s="256"/>
      <c r="U9" s="256"/>
      <c r="V9" s="256"/>
    </row>
    <row r="10" spans="1:22" s="146" customFormat="1" ht="33.75" customHeight="1" x14ac:dyDescent="0.2">
      <c r="A10" s="145">
        <v>4</v>
      </c>
      <c r="B10" s="493"/>
      <c r="C10" s="493"/>
      <c r="D10" s="493"/>
      <c r="E10" s="493"/>
      <c r="F10" s="493"/>
      <c r="G10" s="493"/>
      <c r="H10" s="493"/>
      <c r="I10" s="493"/>
      <c r="J10" s="493"/>
      <c r="K10" s="493"/>
      <c r="L10" s="493"/>
      <c r="M10" s="493"/>
      <c r="N10" s="256"/>
      <c r="O10" s="256"/>
      <c r="P10" s="256"/>
      <c r="Q10" s="256"/>
      <c r="R10" s="256"/>
      <c r="S10" s="256"/>
      <c r="T10" s="256"/>
      <c r="U10" s="256"/>
      <c r="V10" s="256"/>
    </row>
    <row r="11" spans="1:22" s="146" customFormat="1" ht="33.75" customHeight="1" x14ac:dyDescent="0.2">
      <c r="A11" s="145">
        <v>5</v>
      </c>
      <c r="B11" s="493"/>
      <c r="C11" s="493"/>
      <c r="D11" s="493"/>
      <c r="E11" s="493"/>
      <c r="F11" s="493"/>
      <c r="G11" s="493"/>
      <c r="H11" s="493"/>
      <c r="I11" s="493"/>
      <c r="J11" s="493"/>
      <c r="K11" s="493"/>
      <c r="L11" s="493"/>
      <c r="M11" s="493"/>
      <c r="N11" s="256"/>
      <c r="O11" s="256"/>
      <c r="P11" s="256"/>
      <c r="Q11" s="256"/>
      <c r="R11" s="256"/>
      <c r="S11" s="256"/>
      <c r="T11" s="256"/>
      <c r="U11" s="256"/>
      <c r="V11" s="256"/>
    </row>
    <row r="12" spans="1:22" s="146" customFormat="1" ht="33.75" customHeight="1" x14ac:dyDescent="0.2">
      <c r="A12" s="145">
        <v>6</v>
      </c>
      <c r="B12" s="493"/>
      <c r="C12" s="493"/>
      <c r="D12" s="493"/>
      <c r="E12" s="493"/>
      <c r="F12" s="493"/>
      <c r="G12" s="493"/>
      <c r="H12" s="493"/>
      <c r="I12" s="493"/>
      <c r="J12" s="493"/>
      <c r="K12" s="493"/>
      <c r="L12" s="493"/>
      <c r="M12" s="493"/>
      <c r="N12" s="256"/>
      <c r="O12" s="256"/>
      <c r="P12" s="256"/>
      <c r="Q12" s="256"/>
      <c r="R12" s="256"/>
      <c r="S12" s="256"/>
      <c r="T12" s="256"/>
      <c r="U12" s="256"/>
      <c r="V12" s="256"/>
    </row>
    <row r="13" spans="1:22" s="146" customFormat="1" ht="33.75" customHeight="1" x14ac:dyDescent="0.2">
      <c r="A13" s="145">
        <v>7</v>
      </c>
      <c r="B13" s="493"/>
      <c r="C13" s="493"/>
      <c r="D13" s="493"/>
      <c r="E13" s="493"/>
      <c r="F13" s="493"/>
      <c r="G13" s="493"/>
      <c r="H13" s="493"/>
      <c r="I13" s="493"/>
      <c r="J13" s="493"/>
      <c r="K13" s="493"/>
      <c r="L13" s="493"/>
      <c r="M13" s="493"/>
      <c r="N13" s="256"/>
      <c r="O13" s="256"/>
      <c r="P13" s="256"/>
      <c r="Q13" s="256"/>
      <c r="R13" s="256"/>
      <c r="S13" s="256"/>
      <c r="T13" s="256"/>
      <c r="U13" s="256"/>
      <c r="V13" s="256"/>
    </row>
    <row r="14" spans="1:22" s="146" customFormat="1" ht="33.75" customHeight="1" x14ac:dyDescent="0.2">
      <c r="A14" s="145">
        <v>8</v>
      </c>
      <c r="B14" s="493"/>
      <c r="C14" s="493"/>
      <c r="D14" s="493"/>
      <c r="E14" s="493"/>
      <c r="F14" s="493"/>
      <c r="G14" s="493"/>
      <c r="H14" s="493"/>
      <c r="I14" s="493"/>
      <c r="J14" s="493"/>
      <c r="K14" s="493"/>
      <c r="L14" s="493"/>
      <c r="M14" s="493"/>
      <c r="N14" s="256"/>
      <c r="O14" s="256"/>
      <c r="P14" s="256"/>
      <c r="Q14" s="256"/>
      <c r="R14" s="256"/>
      <c r="S14" s="256"/>
      <c r="T14" s="256"/>
      <c r="U14" s="256"/>
      <c r="V14" s="256"/>
    </row>
    <row r="15" spans="1:22" s="146" customFormat="1" ht="33.75" customHeight="1" x14ac:dyDescent="0.2">
      <c r="A15" s="145">
        <v>9</v>
      </c>
      <c r="B15" s="493"/>
      <c r="C15" s="493"/>
      <c r="D15" s="493"/>
      <c r="E15" s="493"/>
      <c r="F15" s="493"/>
      <c r="G15" s="493"/>
      <c r="H15" s="493"/>
      <c r="I15" s="493"/>
      <c r="J15" s="493"/>
      <c r="K15" s="493"/>
      <c r="L15" s="493"/>
      <c r="M15" s="493"/>
      <c r="N15" s="256"/>
      <c r="O15" s="256"/>
      <c r="P15" s="256"/>
      <c r="Q15" s="256"/>
      <c r="R15" s="256"/>
      <c r="S15" s="256"/>
      <c r="T15" s="256"/>
      <c r="U15" s="256"/>
      <c r="V15" s="256"/>
    </row>
    <row r="16" spans="1:22" s="146" customFormat="1" ht="33.75" customHeight="1" x14ac:dyDescent="0.2">
      <c r="A16" s="145">
        <v>10</v>
      </c>
      <c r="B16" s="493"/>
      <c r="C16" s="493"/>
      <c r="D16" s="493"/>
      <c r="E16" s="493"/>
      <c r="F16" s="493"/>
      <c r="G16" s="493"/>
      <c r="H16" s="493"/>
      <c r="I16" s="493"/>
      <c r="J16" s="493"/>
      <c r="K16" s="493"/>
      <c r="L16" s="493"/>
      <c r="M16" s="493"/>
      <c r="N16" s="256"/>
      <c r="O16" s="256"/>
      <c r="P16" s="256"/>
      <c r="Q16" s="256"/>
      <c r="R16" s="256"/>
      <c r="S16" s="256"/>
      <c r="T16" s="256"/>
      <c r="U16" s="256"/>
      <c r="V16" s="256"/>
    </row>
    <row r="17" spans="1:22" s="5" customFormat="1" x14ac:dyDescent="0.2">
      <c r="A17" s="147"/>
    </row>
    <row r="18" spans="1:22" s="5" customFormat="1" x14ac:dyDescent="0.2">
      <c r="A18" s="476" t="s">
        <v>181</v>
      </c>
      <c r="B18" s="476"/>
      <c r="C18" s="476"/>
      <c r="D18" s="476"/>
      <c r="E18" s="476"/>
      <c r="F18" s="476"/>
      <c r="G18" s="476"/>
      <c r="H18" s="476"/>
      <c r="I18" s="476"/>
      <c r="J18" s="476"/>
      <c r="K18" s="476"/>
      <c r="L18" s="476"/>
      <c r="M18" s="476"/>
      <c r="N18" s="476"/>
      <c r="O18" s="476"/>
      <c r="P18" s="476"/>
      <c r="Q18" s="476"/>
      <c r="R18" s="476"/>
      <c r="S18" s="476"/>
      <c r="T18" s="476"/>
      <c r="U18" s="476"/>
      <c r="V18" s="476"/>
    </row>
    <row r="19" spans="1:22" s="5" customFormat="1" x14ac:dyDescent="0.2">
      <c r="A19" s="147"/>
    </row>
    <row r="20" spans="1:22" s="5" customFormat="1" x14ac:dyDescent="0.2">
      <c r="A20" s="476" t="s">
        <v>182</v>
      </c>
      <c r="B20" s="476"/>
      <c r="C20" s="476"/>
      <c r="D20" s="476"/>
      <c r="E20" s="476"/>
      <c r="F20" s="476"/>
      <c r="G20" s="476"/>
      <c r="H20" s="476"/>
      <c r="I20" s="476"/>
      <c r="J20" s="476"/>
      <c r="K20" s="476"/>
      <c r="L20" s="476"/>
      <c r="M20" s="476"/>
      <c r="N20" s="476"/>
      <c r="O20" s="476"/>
      <c r="P20" s="476"/>
      <c r="Q20" s="476"/>
      <c r="R20" s="476"/>
      <c r="S20" s="476"/>
      <c r="T20" s="476"/>
      <c r="U20" s="476"/>
      <c r="V20" s="476"/>
    </row>
  </sheetData>
  <mergeCells count="48">
    <mergeCell ref="B16:M16"/>
    <mergeCell ref="N16:Q16"/>
    <mergeCell ref="R16:V16"/>
    <mergeCell ref="B14:M14"/>
    <mergeCell ref="N14:Q14"/>
    <mergeCell ref="R14:V14"/>
    <mergeCell ref="B15:M15"/>
    <mergeCell ref="N15:Q15"/>
    <mergeCell ref="R15:V15"/>
    <mergeCell ref="B12:M12"/>
    <mergeCell ref="N12:Q12"/>
    <mergeCell ref="R12:V12"/>
    <mergeCell ref="B13:M13"/>
    <mergeCell ref="N13:Q13"/>
    <mergeCell ref="R13:V13"/>
    <mergeCell ref="B10:M10"/>
    <mergeCell ref="N10:Q10"/>
    <mergeCell ref="R10:V10"/>
    <mergeCell ref="B11:M11"/>
    <mergeCell ref="N11:Q11"/>
    <mergeCell ref="R11:V11"/>
    <mergeCell ref="B8:M8"/>
    <mergeCell ref="N8:Q8"/>
    <mergeCell ref="R8:V8"/>
    <mergeCell ref="B9:M9"/>
    <mergeCell ref="N9:Q9"/>
    <mergeCell ref="R9:V9"/>
    <mergeCell ref="N6:Q6"/>
    <mergeCell ref="R6:V6"/>
    <mergeCell ref="B7:M7"/>
    <mergeCell ref="N7:Q7"/>
    <mergeCell ref="R7:V7"/>
    <mergeCell ref="A18:V18"/>
    <mergeCell ref="A20:V20"/>
    <mergeCell ref="A1:C2"/>
    <mergeCell ref="D1:E2"/>
    <mergeCell ref="F1:N2"/>
    <mergeCell ref="O1:Q1"/>
    <mergeCell ref="R1:V1"/>
    <mergeCell ref="O2:Q2"/>
    <mergeCell ref="R2:V2"/>
    <mergeCell ref="A3:D3"/>
    <mergeCell ref="E3:V3"/>
    <mergeCell ref="A4:D4"/>
    <mergeCell ref="E4:V4"/>
    <mergeCell ref="A5:D5"/>
    <mergeCell ref="E5:V5"/>
    <mergeCell ref="B6:M6"/>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19"/>
  <sheetViews>
    <sheetView tabSelected="1" workbookViewId="0">
      <selection activeCell="H30" sqref="H30"/>
    </sheetView>
  </sheetViews>
  <sheetFormatPr baseColWidth="10" defaultRowHeight="12.75" x14ac:dyDescent="0.2"/>
  <sheetData>
    <row r="1" spans="1:22" ht="15.75" customHeight="1" x14ac:dyDescent="0.2">
      <c r="A1" s="256"/>
      <c r="B1" s="256"/>
      <c r="C1" s="256"/>
      <c r="D1" s="256"/>
      <c r="E1" s="256"/>
      <c r="F1" s="506" t="s">
        <v>183</v>
      </c>
      <c r="G1" s="506"/>
      <c r="H1" s="506"/>
      <c r="I1" s="506"/>
      <c r="J1" s="506"/>
      <c r="K1" s="506"/>
      <c r="L1" s="506"/>
      <c r="M1" s="506"/>
      <c r="N1" s="506"/>
      <c r="O1" s="498" t="s">
        <v>184</v>
      </c>
      <c r="P1" s="498"/>
      <c r="Q1" s="498"/>
      <c r="R1" s="484"/>
      <c r="S1" s="484"/>
      <c r="T1" s="484"/>
      <c r="U1" s="484"/>
      <c r="V1" s="484"/>
    </row>
    <row r="2" spans="1:22" ht="15.75" customHeight="1" x14ac:dyDescent="0.2">
      <c r="A2" s="256"/>
      <c r="B2" s="256"/>
      <c r="C2" s="256"/>
      <c r="D2" s="256"/>
      <c r="E2" s="256"/>
      <c r="F2" s="506"/>
      <c r="G2" s="506"/>
      <c r="H2" s="506"/>
      <c r="I2" s="506"/>
      <c r="J2" s="506"/>
      <c r="K2" s="506"/>
      <c r="L2" s="506"/>
      <c r="M2" s="506"/>
      <c r="N2" s="506"/>
      <c r="O2" s="498" t="s">
        <v>185</v>
      </c>
      <c r="P2" s="498"/>
      <c r="Q2" s="498"/>
      <c r="R2" s="485"/>
      <c r="S2" s="484"/>
      <c r="T2" s="484"/>
      <c r="U2" s="484"/>
      <c r="V2" s="484"/>
    </row>
    <row r="3" spans="1:22" ht="12.75" customHeight="1" x14ac:dyDescent="0.2">
      <c r="A3" s="256"/>
      <c r="B3" s="256"/>
      <c r="C3" s="256"/>
      <c r="D3" s="256"/>
      <c r="E3" s="256"/>
      <c r="F3" s="506"/>
      <c r="G3" s="506"/>
      <c r="H3" s="506"/>
      <c r="I3" s="506"/>
      <c r="J3" s="506"/>
      <c r="K3" s="506"/>
      <c r="L3" s="506"/>
      <c r="M3" s="506"/>
      <c r="N3" s="506"/>
      <c r="O3" s="498" t="s">
        <v>186</v>
      </c>
      <c r="P3" s="498"/>
      <c r="Q3" s="498"/>
      <c r="R3" s="507" t="s">
        <v>187</v>
      </c>
      <c r="S3" s="507"/>
      <c r="T3" s="507"/>
      <c r="U3" s="507"/>
      <c r="V3" s="507"/>
    </row>
    <row r="4" spans="1:22" ht="15.75" customHeight="1" x14ac:dyDescent="0.2">
      <c r="A4" s="256"/>
      <c r="B4" s="256"/>
      <c r="C4" s="256"/>
      <c r="D4" s="256"/>
      <c r="E4" s="256"/>
      <c r="F4" s="506"/>
      <c r="G4" s="506"/>
      <c r="H4" s="506"/>
      <c r="I4" s="506"/>
      <c r="J4" s="506"/>
      <c r="K4" s="506"/>
      <c r="L4" s="506"/>
      <c r="M4" s="506"/>
      <c r="N4" s="506"/>
      <c r="O4" s="498" t="s">
        <v>188</v>
      </c>
      <c r="P4" s="498"/>
      <c r="Q4" s="498"/>
      <c r="R4" s="485"/>
      <c r="S4" s="484"/>
      <c r="T4" s="484"/>
      <c r="U4" s="484"/>
      <c r="V4" s="484"/>
    </row>
    <row r="5" spans="1:22" ht="12.75" customHeight="1" x14ac:dyDescent="0.2">
      <c r="A5" s="500" t="s">
        <v>189</v>
      </c>
      <c r="B5" s="500"/>
      <c r="C5" s="500"/>
      <c r="D5" s="151"/>
      <c r="E5" s="490" t="s">
        <v>190</v>
      </c>
      <c r="F5" s="490"/>
      <c r="G5" s="501" t="s">
        <v>191</v>
      </c>
      <c r="H5" s="502"/>
      <c r="I5" s="502"/>
      <c r="J5" s="502"/>
      <c r="K5" s="502"/>
      <c r="L5" s="502"/>
      <c r="M5" s="502"/>
      <c r="N5" s="502"/>
      <c r="O5" s="502"/>
      <c r="P5" s="502"/>
      <c r="Q5" s="502"/>
      <c r="R5" s="502"/>
      <c r="S5" s="490" t="s">
        <v>192</v>
      </c>
      <c r="T5" s="490"/>
      <c r="U5" s="500" t="s">
        <v>193</v>
      </c>
      <c r="V5" s="503"/>
    </row>
    <row r="6" spans="1:22" ht="12.75" customHeight="1" x14ac:dyDescent="0.2">
      <c r="A6" s="489"/>
      <c r="B6" s="489"/>
      <c r="C6" s="489"/>
      <c r="D6" s="489"/>
      <c r="E6" s="504"/>
      <c r="F6" s="489"/>
      <c r="G6" s="502"/>
      <c r="H6" s="502"/>
      <c r="I6" s="502"/>
      <c r="J6" s="502"/>
      <c r="K6" s="502"/>
      <c r="L6" s="502"/>
      <c r="M6" s="502"/>
      <c r="N6" s="502"/>
      <c r="O6" s="502"/>
      <c r="P6" s="502"/>
      <c r="Q6" s="502"/>
      <c r="R6" s="502"/>
      <c r="S6" s="505"/>
      <c r="T6" s="505"/>
      <c r="U6" s="256"/>
      <c r="V6" s="256"/>
    </row>
    <row r="7" spans="1:22" ht="12.75" customHeight="1" x14ac:dyDescent="0.2">
      <c r="A7" s="496" t="s">
        <v>194</v>
      </c>
      <c r="B7" s="497"/>
      <c r="C7" s="497"/>
      <c r="D7" s="497"/>
      <c r="E7" s="497"/>
      <c r="F7" s="497"/>
      <c r="G7" s="497"/>
      <c r="H7" s="498" t="s">
        <v>195</v>
      </c>
      <c r="I7" s="498"/>
      <c r="J7" s="498"/>
      <c r="K7" s="498"/>
      <c r="L7" s="498"/>
      <c r="M7" s="498"/>
      <c r="N7" s="498"/>
      <c r="O7" s="498"/>
      <c r="P7" s="498"/>
      <c r="Q7" s="498"/>
      <c r="R7" s="499" t="s">
        <v>196</v>
      </c>
      <c r="S7" s="499"/>
      <c r="T7" s="499"/>
      <c r="U7" s="499"/>
      <c r="V7" s="499"/>
    </row>
    <row r="8" spans="1:22" x14ac:dyDescent="0.2">
      <c r="A8" s="500" t="s">
        <v>197</v>
      </c>
      <c r="B8" s="500"/>
      <c r="C8" s="500"/>
      <c r="D8" s="500"/>
      <c r="E8" s="500" t="s">
        <v>198</v>
      </c>
      <c r="F8" s="500"/>
      <c r="G8" s="500"/>
      <c r="H8" s="500"/>
      <c r="I8" s="500" t="s">
        <v>199</v>
      </c>
      <c r="J8" s="500"/>
      <c r="K8" s="500"/>
      <c r="L8" s="500"/>
      <c r="M8" s="500"/>
      <c r="N8" s="500" t="s">
        <v>198</v>
      </c>
      <c r="O8" s="500"/>
      <c r="P8" s="500"/>
      <c r="Q8" s="500"/>
      <c r="R8" s="500" t="s">
        <v>200</v>
      </c>
      <c r="S8" s="500"/>
      <c r="T8" s="500"/>
      <c r="U8" s="500"/>
      <c r="V8" s="500"/>
    </row>
    <row r="9" spans="1:22" ht="15.75" customHeight="1" x14ac:dyDescent="0.2">
      <c r="A9" s="152" t="s">
        <v>177</v>
      </c>
      <c r="B9" s="494" t="s">
        <v>201</v>
      </c>
      <c r="C9" s="494"/>
      <c r="D9" s="494"/>
      <c r="E9" s="494"/>
      <c r="F9" s="494"/>
      <c r="G9" s="494"/>
      <c r="H9" s="494"/>
      <c r="I9" s="494"/>
      <c r="J9" s="494"/>
      <c r="K9" s="494"/>
      <c r="L9" s="494"/>
      <c r="M9" s="494"/>
      <c r="N9" s="495" t="s">
        <v>179</v>
      </c>
      <c r="O9" s="495"/>
      <c r="P9" s="495"/>
      <c r="Q9" s="495"/>
      <c r="R9" s="495" t="s">
        <v>180</v>
      </c>
      <c r="S9" s="495"/>
      <c r="T9" s="495"/>
      <c r="U9" s="495"/>
      <c r="V9" s="495"/>
    </row>
    <row r="10" spans="1:22" ht="15.75" x14ac:dyDescent="0.2">
      <c r="A10" s="150">
        <v>1</v>
      </c>
      <c r="B10" s="493"/>
      <c r="C10" s="493"/>
      <c r="D10" s="493"/>
      <c r="E10" s="493"/>
      <c r="F10" s="493"/>
      <c r="G10" s="493"/>
      <c r="H10" s="493"/>
      <c r="I10" s="493"/>
      <c r="J10" s="493"/>
      <c r="K10" s="493"/>
      <c r="L10" s="493"/>
      <c r="M10" s="493"/>
      <c r="N10" s="256"/>
      <c r="O10" s="256"/>
      <c r="P10" s="256"/>
      <c r="Q10" s="256"/>
      <c r="R10" s="403"/>
      <c r="S10" s="256"/>
      <c r="T10" s="256"/>
      <c r="U10" s="256"/>
      <c r="V10" s="256"/>
    </row>
    <row r="11" spans="1:22" ht="15.75" x14ac:dyDescent="0.2">
      <c r="A11" s="150">
        <v>2</v>
      </c>
      <c r="B11" s="493"/>
      <c r="C11" s="493"/>
      <c r="D11" s="493"/>
      <c r="E11" s="493"/>
      <c r="F11" s="493"/>
      <c r="G11" s="493"/>
      <c r="H11" s="493"/>
      <c r="I11" s="493"/>
      <c r="J11" s="493"/>
      <c r="K11" s="493"/>
      <c r="L11" s="493"/>
      <c r="M11" s="493"/>
      <c r="N11" s="256"/>
      <c r="O11" s="256"/>
      <c r="P11" s="256"/>
      <c r="Q11" s="256"/>
      <c r="R11" s="403"/>
      <c r="S11" s="256"/>
      <c r="T11" s="256"/>
      <c r="U11" s="256"/>
      <c r="V11" s="256"/>
    </row>
    <row r="12" spans="1:22" ht="15.75" x14ac:dyDescent="0.2">
      <c r="A12" s="150">
        <v>3</v>
      </c>
      <c r="B12" s="493"/>
      <c r="C12" s="493"/>
      <c r="D12" s="493"/>
      <c r="E12" s="493"/>
      <c r="F12" s="493"/>
      <c r="G12" s="493"/>
      <c r="H12" s="493"/>
      <c r="I12" s="493"/>
      <c r="J12" s="493"/>
      <c r="K12" s="493"/>
      <c r="L12" s="493"/>
      <c r="M12" s="493"/>
      <c r="N12" s="256"/>
      <c r="O12" s="256"/>
      <c r="P12" s="256"/>
      <c r="Q12" s="256"/>
      <c r="R12" s="256"/>
      <c r="S12" s="256"/>
      <c r="T12" s="256"/>
      <c r="U12" s="256"/>
      <c r="V12" s="256"/>
    </row>
    <row r="13" spans="1:22" ht="15.75" x14ac:dyDescent="0.2">
      <c r="A13" s="150">
        <v>4</v>
      </c>
      <c r="B13" s="493"/>
      <c r="C13" s="493"/>
      <c r="D13" s="493"/>
      <c r="E13" s="493"/>
      <c r="F13" s="493"/>
      <c r="G13" s="493"/>
      <c r="H13" s="493"/>
      <c r="I13" s="493"/>
      <c r="J13" s="493"/>
      <c r="K13" s="493"/>
      <c r="L13" s="493"/>
      <c r="M13" s="493"/>
      <c r="N13" s="256"/>
      <c r="O13" s="256"/>
      <c r="P13" s="256"/>
      <c r="Q13" s="256"/>
      <c r="R13" s="256"/>
      <c r="S13" s="256"/>
      <c r="T13" s="256"/>
      <c r="U13" s="256"/>
      <c r="V13" s="256"/>
    </row>
    <row r="14" spans="1:22" ht="15.75" x14ac:dyDescent="0.2">
      <c r="A14" s="150">
        <v>5</v>
      </c>
      <c r="B14" s="493"/>
      <c r="C14" s="493"/>
      <c r="D14" s="493"/>
      <c r="E14" s="493"/>
      <c r="F14" s="493"/>
      <c r="G14" s="493"/>
      <c r="H14" s="493"/>
      <c r="I14" s="493"/>
      <c r="J14" s="493"/>
      <c r="K14" s="493"/>
      <c r="L14" s="493"/>
      <c r="M14" s="493"/>
      <c r="N14" s="256"/>
      <c r="O14" s="256"/>
      <c r="P14" s="256"/>
      <c r="Q14" s="256"/>
      <c r="R14" s="256"/>
      <c r="S14" s="256"/>
      <c r="T14" s="256"/>
      <c r="U14" s="256"/>
      <c r="V14" s="256"/>
    </row>
    <row r="15" spans="1:22" ht="15.75" x14ac:dyDescent="0.2">
      <c r="A15" s="150">
        <v>6</v>
      </c>
      <c r="B15" s="493"/>
      <c r="C15" s="493"/>
      <c r="D15" s="493"/>
      <c r="E15" s="493"/>
      <c r="F15" s="493"/>
      <c r="G15" s="493"/>
      <c r="H15" s="493"/>
      <c r="I15" s="493"/>
      <c r="J15" s="493"/>
      <c r="K15" s="493"/>
      <c r="L15" s="493"/>
      <c r="M15" s="493"/>
      <c r="N15" s="256"/>
      <c r="O15" s="256"/>
      <c r="P15" s="256"/>
      <c r="Q15" s="256"/>
      <c r="R15" s="256"/>
      <c r="S15" s="256"/>
      <c r="T15" s="256"/>
      <c r="U15" s="256"/>
      <c r="V15" s="256"/>
    </row>
    <row r="16" spans="1:22" ht="15.75" x14ac:dyDescent="0.2">
      <c r="A16" s="150">
        <v>7</v>
      </c>
      <c r="B16" s="493"/>
      <c r="C16" s="493"/>
      <c r="D16" s="493"/>
      <c r="E16" s="493"/>
      <c r="F16" s="493"/>
      <c r="G16" s="493"/>
      <c r="H16" s="493"/>
      <c r="I16" s="493"/>
      <c r="J16" s="493"/>
      <c r="K16" s="493"/>
      <c r="L16" s="493"/>
      <c r="M16" s="493"/>
      <c r="N16" s="256"/>
      <c r="O16" s="256"/>
      <c r="P16" s="256"/>
      <c r="Q16" s="256"/>
      <c r="R16" s="256"/>
      <c r="S16" s="256"/>
      <c r="T16" s="256"/>
      <c r="U16" s="256"/>
      <c r="V16" s="256"/>
    </row>
    <row r="17" spans="1:22" ht="15.75" x14ac:dyDescent="0.2">
      <c r="A17" s="150">
        <v>8</v>
      </c>
      <c r="B17" s="493"/>
      <c r="C17" s="493"/>
      <c r="D17" s="493"/>
      <c r="E17" s="493"/>
      <c r="F17" s="493"/>
      <c r="G17" s="493"/>
      <c r="H17" s="493"/>
      <c r="I17" s="493"/>
      <c r="J17" s="493"/>
      <c r="K17" s="493"/>
      <c r="L17" s="493"/>
      <c r="M17" s="493"/>
      <c r="N17" s="256"/>
      <c r="O17" s="256"/>
      <c r="P17" s="256"/>
      <c r="Q17" s="256"/>
      <c r="R17" s="256"/>
      <c r="S17" s="256"/>
      <c r="T17" s="256"/>
      <c r="U17" s="256"/>
      <c r="V17" s="256"/>
    </row>
    <row r="18" spans="1:22" ht="15.75" x14ac:dyDescent="0.2">
      <c r="A18" s="153">
        <v>9</v>
      </c>
      <c r="B18" s="493"/>
      <c r="C18" s="493"/>
      <c r="D18" s="493"/>
      <c r="E18" s="493"/>
      <c r="F18" s="493"/>
      <c r="G18" s="493"/>
      <c r="H18" s="493"/>
      <c r="I18" s="493"/>
      <c r="J18" s="493"/>
      <c r="K18" s="493"/>
      <c r="L18" s="493"/>
      <c r="M18" s="493"/>
      <c r="N18" s="256"/>
      <c r="O18" s="256"/>
      <c r="P18" s="256"/>
      <c r="Q18" s="256"/>
      <c r="R18" s="256"/>
      <c r="S18" s="256"/>
      <c r="T18" s="256"/>
      <c r="U18" s="256"/>
      <c r="V18" s="256"/>
    </row>
    <row r="19" spans="1:22" ht="15.75" x14ac:dyDescent="0.2">
      <c r="A19" s="150">
        <v>10</v>
      </c>
      <c r="B19" s="493"/>
      <c r="C19" s="493"/>
      <c r="D19" s="493"/>
      <c r="E19" s="493"/>
      <c r="F19" s="493"/>
      <c r="G19" s="493"/>
      <c r="H19" s="493"/>
      <c r="I19" s="493"/>
      <c r="J19" s="493"/>
      <c r="K19" s="493"/>
      <c r="L19" s="493"/>
      <c r="M19" s="493"/>
      <c r="N19" s="256"/>
      <c r="O19" s="256"/>
      <c r="P19" s="256"/>
      <c r="Q19" s="256"/>
      <c r="R19" s="256"/>
      <c r="S19" s="256"/>
      <c r="T19" s="256"/>
      <c r="U19" s="256"/>
      <c r="V19" s="256"/>
    </row>
  </sheetData>
  <mergeCells count="60">
    <mergeCell ref="A1:E4"/>
    <mergeCell ref="F1:N4"/>
    <mergeCell ref="O1:Q1"/>
    <mergeCell ref="R1:V1"/>
    <mergeCell ref="O2:Q2"/>
    <mergeCell ref="R2:V2"/>
    <mergeCell ref="O3:Q3"/>
    <mergeCell ref="R3:V3"/>
    <mergeCell ref="O4:Q4"/>
    <mergeCell ref="R4:V4"/>
    <mergeCell ref="A5:C5"/>
    <mergeCell ref="E5:F5"/>
    <mergeCell ref="G5:R6"/>
    <mergeCell ref="S5:T5"/>
    <mergeCell ref="U5:V5"/>
    <mergeCell ref="A6:D6"/>
    <mergeCell ref="E6:F6"/>
    <mergeCell ref="S6:T6"/>
    <mergeCell ref="U6:V6"/>
    <mergeCell ref="A7:G7"/>
    <mergeCell ref="H7:Q7"/>
    <mergeCell ref="R7:V7"/>
    <mergeCell ref="A8:D8"/>
    <mergeCell ref="E8:H8"/>
    <mergeCell ref="I8:M8"/>
    <mergeCell ref="N8:Q8"/>
    <mergeCell ref="R8:V8"/>
    <mergeCell ref="B9:M9"/>
    <mergeCell ref="N9:Q9"/>
    <mergeCell ref="R9:V9"/>
    <mergeCell ref="B10:M10"/>
    <mergeCell ref="N10:Q10"/>
    <mergeCell ref="R10:V10"/>
    <mergeCell ref="B11:M11"/>
    <mergeCell ref="N11:Q11"/>
    <mergeCell ref="R11:V11"/>
    <mergeCell ref="B12:M12"/>
    <mergeCell ref="N12:Q12"/>
    <mergeCell ref="R12:V12"/>
    <mergeCell ref="B13:M13"/>
    <mergeCell ref="N13:Q13"/>
    <mergeCell ref="R13:V13"/>
    <mergeCell ref="B14:M14"/>
    <mergeCell ref="N14:Q14"/>
    <mergeCell ref="R14:V14"/>
    <mergeCell ref="B15:M15"/>
    <mergeCell ref="N15:Q15"/>
    <mergeCell ref="R15:V15"/>
    <mergeCell ref="B16:M16"/>
    <mergeCell ref="N16:Q16"/>
    <mergeCell ref="R16:V16"/>
    <mergeCell ref="B17:M17"/>
    <mergeCell ref="N17:Q17"/>
    <mergeCell ref="R17:V17"/>
    <mergeCell ref="B19:M19"/>
    <mergeCell ref="N19:Q19"/>
    <mergeCell ref="R19:V19"/>
    <mergeCell ref="B18:M18"/>
    <mergeCell ref="N18:Q18"/>
    <mergeCell ref="R18:V18"/>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4</vt:i4>
      </vt:variant>
    </vt:vector>
  </HeadingPairs>
  <TitlesOfParts>
    <vt:vector size="14" baseType="lpstr">
      <vt:lpstr>Validación</vt:lpstr>
      <vt:lpstr>Orden de Pedido</vt:lpstr>
      <vt:lpstr>Instrucción de trabajo</vt:lpstr>
      <vt:lpstr>Información</vt:lpstr>
      <vt:lpstr>Grafico</vt:lpstr>
      <vt:lpstr>Recuento final</vt:lpstr>
      <vt:lpstr>Estimación de horas y costes</vt:lpstr>
      <vt:lpstr>Valoración del servicio</vt:lpstr>
      <vt:lpstr>Hoja1</vt:lpstr>
      <vt:lpstr>Hoja2</vt:lpstr>
      <vt:lpstr>'Instrucción de trabajo'!Área_de_impresión</vt:lpstr>
      <vt:lpstr>'Orden de Pedido'!Área_de_impresión</vt:lpstr>
      <vt:lpstr>Validación!Área_de_impresión</vt:lpstr>
      <vt:lpstr>'Instrucción de trabajo'!Títulos_a_imprimir</vt:lpstr>
    </vt:vector>
  </TitlesOfParts>
  <Company>Faurecia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Fco Javier Muñoz</dc:creator>
  <cp:lastModifiedBy>Xabier Molero Martín</cp:lastModifiedBy>
  <cp:lastPrinted>2015-07-27T13:07:07Z</cp:lastPrinted>
  <dcterms:created xsi:type="dcterms:W3CDTF">2007-01-22T12:13:31Z</dcterms:created>
  <dcterms:modified xsi:type="dcterms:W3CDTF">2015-11-29T16:30:55Z</dcterms:modified>
</cp:coreProperties>
</file>