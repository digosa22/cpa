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285" windowWidth="12510" windowHeight="7230" tabRatio="735"/>
  </bookViews>
  <sheets>
    <sheet name="Validación" sheetId="20" r:id="rId1"/>
    <sheet name="Orden de Pedido" sheetId="19" r:id="rId2"/>
    <sheet name="Instrucción de trabajo" sheetId="22" r:id="rId3"/>
    <sheet name="Información" sheetId="10" r:id="rId4"/>
    <sheet name="Grafico" sheetId="15" r:id="rId5"/>
    <sheet name="Recuento final" sheetId="23" r:id="rId6"/>
    <sheet name="Estimación de horas y costes" sheetId="14" r:id="rId7"/>
    <sheet name="Valoración del servicio" sheetId="24" r:id="rId8"/>
    <sheet name="Registro personal formado" sheetId="26" r:id="rId9"/>
    <sheet name="Gama de retrabajos" sheetId="27" r:id="rId10"/>
  </sheets>
  <definedNames>
    <definedName name="_xlnm.Print_Area" localSheetId="2">'Instrucción de trabajo'!$A$1:$I$127</definedName>
    <definedName name="_xlnm.Print_Area" localSheetId="1">'Orden de Pedido'!$A$1:$H$42</definedName>
    <definedName name="_xlnm.Print_Area" localSheetId="0">Validación!$A$1:$I$54</definedName>
    <definedName name="HTML_CodePage" hidden="1">1252</definedName>
    <definedName name="HTML_Control" localSheetId="3" hidden="1">{"'Verr-enseig-ex'!$M$22:$M$23"}</definedName>
    <definedName name="HTML_Control" localSheetId="2" hidden="1">{"'Verr-enseig-ex'!$M$22:$M$23"}</definedName>
    <definedName name="HTML_Control" hidden="1">{"'Verr-enseig-ex'!$M$22:$M$23"}</definedName>
    <definedName name="HTML_Description" hidden="1">""</definedName>
    <definedName name="HTML_Email" hidden="1">""</definedName>
    <definedName name="HTML_Header" hidden="1">"Verr-enseig-ex"</definedName>
    <definedName name="HTML_LastUpdate" hidden="1">"28/07/99"</definedName>
    <definedName name="HTML_LineAfter" hidden="1">FALSE</definedName>
    <definedName name="HTML_LineBefore" hidden="1">FALSE</definedName>
    <definedName name="HTML_Name" hidden="1">"Lee H. Troup"</definedName>
    <definedName name="HTML_OBDlg2" hidden="1">TRUE</definedName>
    <definedName name="HTML_OBDlg4" hidden="1">TRUE</definedName>
    <definedName name="HTML_OS" hidden="1">0</definedName>
    <definedName name="HTML_PathFile" hidden="1">"C:\Mes documents\MonHTML.htm"</definedName>
    <definedName name="HTML_Title" hidden="1">"Problem-solving"</definedName>
    <definedName name="_xlnm.Print_Titles" localSheetId="2">'Instrucción de trabajo'!$11:$15</definedName>
  </definedNames>
  <calcPr calcId="144525"/>
</workbook>
</file>

<file path=xl/calcChain.xml><?xml version="1.0" encoding="utf-8"?>
<calcChain xmlns="http://schemas.openxmlformats.org/spreadsheetml/2006/main">
  <c r="C4" i="22" l="1"/>
  <c r="C3" i="22"/>
  <c r="C2" i="22"/>
  <c r="F4" i="22"/>
  <c r="F3" i="22"/>
  <c r="E4" i="22"/>
  <c r="E3" i="22"/>
  <c r="H3" i="22"/>
  <c r="C7" i="22"/>
  <c r="C5" i="22"/>
  <c r="C11" i="22" s="1"/>
  <c r="C12" i="22"/>
  <c r="B14" i="22"/>
  <c r="F41" i="19"/>
  <c r="H42" i="19"/>
  <c r="G42" i="19"/>
  <c r="F42" i="19"/>
  <c r="H41" i="19"/>
  <c r="G41" i="19"/>
  <c r="C41" i="19"/>
  <c r="E42" i="19"/>
  <c r="D42" i="19"/>
  <c r="C42" i="19"/>
  <c r="E41" i="19"/>
  <c r="D41" i="19"/>
  <c r="A41" i="19"/>
  <c r="H28" i="19"/>
  <c r="G28" i="19"/>
  <c r="B7" i="20"/>
  <c r="G54" i="20"/>
  <c r="G53" i="20"/>
  <c r="G52" i="20"/>
  <c r="A14" i="20"/>
  <c r="B12" i="20"/>
  <c r="B11" i="20"/>
  <c r="B10" i="20"/>
  <c r="B9" i="20"/>
  <c r="B6" i="20"/>
  <c r="B5" i="20"/>
  <c r="B4" i="20"/>
  <c r="B3" i="20"/>
  <c r="I10" i="22"/>
  <c r="I7" i="22"/>
  <c r="H10" i="22"/>
  <c r="H9" i="22"/>
  <c r="H8" i="22"/>
  <c r="H7" i="22"/>
  <c r="AG16" i="14" l="1"/>
  <c r="AG11" i="14"/>
  <c r="AG9" i="14"/>
  <c r="AG17" i="14"/>
  <c r="AG15" i="14"/>
  <c r="AG14" i="14"/>
  <c r="AG13" i="14"/>
  <c r="AG12" i="14"/>
  <c r="AG10" i="14"/>
  <c r="AG8" i="14"/>
  <c r="AG7" i="14"/>
  <c r="AG6" i="14"/>
  <c r="AG4" i="14"/>
  <c r="AG5" i="14"/>
  <c r="AG3" i="14"/>
  <c r="F9" i="24" l="1"/>
  <c r="G3" i="23"/>
  <c r="F3" i="23"/>
  <c r="E3" i="23"/>
  <c r="H3" i="23" s="1"/>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AM15" i="10"/>
  <c r="AL12" i="10"/>
  <c r="AK12" i="10"/>
  <c r="AJ12" i="10"/>
  <c r="AJ18" i="10" s="1"/>
  <c r="AI12" i="10"/>
  <c r="AI18" i="10" s="1"/>
  <c r="AH12" i="10"/>
  <c r="AH18" i="10"/>
  <c r="AG12" i="10"/>
  <c r="AF12" i="10"/>
  <c r="AF18" i="10" s="1"/>
  <c r="AE12" i="10"/>
  <c r="AD12" i="10"/>
  <c r="AC12" i="10"/>
  <c r="AB12" i="10"/>
  <c r="AA12" i="10"/>
  <c r="AA18" i="10" s="1"/>
  <c r="Z12" i="10"/>
  <c r="Z18" i="10"/>
  <c r="Y12" i="10"/>
  <c r="X12" i="10"/>
  <c r="X18" i="10" s="1"/>
  <c r="W12" i="10"/>
  <c r="W18" i="10" s="1"/>
  <c r="V12" i="10"/>
  <c r="U12" i="10"/>
  <c r="T12" i="10"/>
  <c r="T18" i="10" s="1"/>
  <c r="S12" i="10"/>
  <c r="S18" i="10" s="1"/>
  <c r="R12" i="10"/>
  <c r="Q12" i="10"/>
  <c r="P12" i="10"/>
  <c r="P18" i="10" s="1"/>
  <c r="O12" i="10"/>
  <c r="N12" i="10"/>
  <c r="N18" i="10" s="1"/>
  <c r="M12" i="10"/>
  <c r="M10" i="10" s="1"/>
  <c r="L12" i="10"/>
  <c r="L10" i="10" s="1"/>
  <c r="K12" i="10"/>
  <c r="K18" i="10" s="1"/>
  <c r="J12" i="10"/>
  <c r="I12" i="10"/>
  <c r="AM11" i="10"/>
  <c r="AL10" i="10"/>
  <c r="AL16" i="10" s="1"/>
  <c r="AJ10" i="10"/>
  <c r="AJ16" i="10" s="1"/>
  <c r="AI10" i="10"/>
  <c r="AI16" i="10" s="1"/>
  <c r="AH10" i="10"/>
  <c r="AH16" i="10" s="1"/>
  <c r="AF10" i="10"/>
  <c r="AF16" i="10" s="1"/>
  <c r="AE10" i="10"/>
  <c r="AE16" i="10" s="1"/>
  <c r="AD10" i="10"/>
  <c r="AD16" i="10" s="1"/>
  <c r="AB10" i="10"/>
  <c r="AB16" i="10" s="1"/>
  <c r="AA10" i="10"/>
  <c r="AA16" i="10" s="1"/>
  <c r="Z10" i="10"/>
  <c r="Z16" i="10" s="1"/>
  <c r="X10" i="10"/>
  <c r="X16" i="10" s="1"/>
  <c r="W10" i="10"/>
  <c r="W16" i="10" s="1"/>
  <c r="V10" i="10"/>
  <c r="V16" i="10" s="1"/>
  <c r="T10" i="10"/>
  <c r="T16" i="10" s="1"/>
  <c r="S10" i="10"/>
  <c r="S16" i="10" s="1"/>
  <c r="R10" i="10"/>
  <c r="R16" i="10" s="1"/>
  <c r="P10" i="10"/>
  <c r="P16" i="10" s="1"/>
  <c r="K10" i="10"/>
  <c r="K16" i="10" s="1"/>
  <c r="AM8" i="10"/>
  <c r="AM7" i="10"/>
  <c r="AM6" i="10"/>
  <c r="AM5" i="10"/>
  <c r="AM4" i="10"/>
  <c r="AM3" i="10"/>
  <c r="Q18" i="10"/>
  <c r="U18" i="10"/>
  <c r="Y18" i="10"/>
  <c r="AC18" i="10"/>
  <c r="AG18" i="10"/>
  <c r="AK18" i="10"/>
  <c r="Q10" i="10"/>
  <c r="Q16" i="10" s="1"/>
  <c r="U10" i="10"/>
  <c r="U16" i="10" s="1"/>
  <c r="Y10" i="10"/>
  <c r="Y16" i="10" s="1"/>
  <c r="AC10" i="10"/>
  <c r="AC16" i="10" s="1"/>
  <c r="AG10" i="10"/>
  <c r="AG16" i="10" s="1"/>
  <c r="AK10" i="10"/>
  <c r="AK16" i="10" s="1"/>
  <c r="AG18" i="14"/>
  <c r="O10" i="10"/>
  <c r="O16" i="10"/>
  <c r="O18" i="10"/>
  <c r="N10" i="10"/>
  <c r="N16" i="10" s="1"/>
  <c r="K13" i="10"/>
  <c r="AM19" i="10"/>
  <c r="M18" i="10"/>
  <c r="L18" i="10"/>
  <c r="J10" i="10"/>
  <c r="J16" i="10" s="1"/>
  <c r="J18" i="10"/>
  <c r="I10" i="10"/>
  <c r="I13" i="10" s="1"/>
  <c r="I18" i="10"/>
  <c r="AM12" i="10"/>
  <c r="AM18" i="10" s="1"/>
  <c r="O13" i="10"/>
  <c r="M13" i="10" l="1"/>
  <c r="M16" i="10"/>
  <c r="R13" i="10"/>
  <c r="V13" i="10"/>
  <c r="Y13" i="10"/>
  <c r="AB13" i="10"/>
  <c r="AE13" i="10"/>
  <c r="AH13" i="10"/>
  <c r="AL13" i="10"/>
  <c r="J13" i="10"/>
  <c r="AC13" i="10"/>
  <c r="Q13" i="10"/>
  <c r="W13" i="10"/>
  <c r="Z13" i="10"/>
  <c r="AD13" i="10"/>
  <c r="AG13" i="10"/>
  <c r="N13" i="10"/>
  <c r="R18" i="10"/>
  <c r="U13" i="10"/>
  <c r="AE18" i="10"/>
  <c r="AK13" i="10"/>
  <c r="L16" i="10"/>
  <c r="L13" i="10"/>
  <c r="AB18" i="10"/>
  <c r="AJ13" i="10"/>
  <c r="AF13" i="10"/>
  <c r="X13" i="10"/>
  <c r="T13" i="10"/>
  <c r="P13" i="10"/>
  <c r="AI13" i="10"/>
  <c r="AA13" i="10"/>
  <c r="S13" i="10"/>
  <c r="I16" i="10"/>
  <c r="V18" i="10"/>
  <c r="AD18" i="10"/>
  <c r="AL18" i="10"/>
  <c r="AM10" i="10"/>
  <c r="AM16" i="10" l="1"/>
  <c r="AM13" i="10"/>
</calcChain>
</file>

<file path=xl/sharedStrings.xml><?xml version="1.0" encoding="utf-8"?>
<sst xmlns="http://schemas.openxmlformats.org/spreadsheetml/2006/main" count="246" uniqueCount="191">
  <si>
    <t>TOTAL</t>
  </si>
  <si>
    <t xml:space="preserve"> </t>
  </si>
  <si>
    <t>TOTAL:</t>
  </si>
  <si>
    <t>Hora Nocturna</t>
  </si>
  <si>
    <t>Hora Normal</t>
  </si>
  <si>
    <t>PIEZAS REVISADAS</t>
  </si>
  <si>
    <t>PIEZAS OK</t>
  </si>
  <si>
    <t>PIEZAS NOK</t>
  </si>
  <si>
    <t>PIEZAS RECUPERADAS</t>
  </si>
  <si>
    <t>% PIEZAS NOK</t>
  </si>
  <si>
    <t>% PIEZAS RECUPERADAS</t>
  </si>
  <si>
    <t>TOTAL PIEZAS NOK</t>
  </si>
  <si>
    <t>INFORMACIÓN</t>
  </si>
  <si>
    <t>Fecha</t>
  </si>
  <si>
    <t>PERSONA DE CONTACTO:</t>
  </si>
  <si>
    <t>DEPARTAMENTO:</t>
  </si>
  <si>
    <t>TELÉFONO:</t>
  </si>
  <si>
    <t>E-MAIL:</t>
  </si>
  <si>
    <t>FECHA:</t>
  </si>
  <si>
    <t>RESPONSABLE DE LA ACCIÓN</t>
  </si>
  <si>
    <t>MOTIVO CONTRATACIÓN:</t>
  </si>
  <si>
    <t>FACTURACIÓN</t>
  </si>
  <si>
    <t>EMPRESA:</t>
  </si>
  <si>
    <t>NIF:</t>
  </si>
  <si>
    <t>DIRECCIÓN:</t>
  </si>
  <si>
    <t>WEB:</t>
  </si>
  <si>
    <t>NOMBRE DEL BANCO:</t>
  </si>
  <si>
    <t>Nº DE CUENTA:</t>
  </si>
  <si>
    <t>I.B.A.N.</t>
  </si>
  <si>
    <t>B.I.C</t>
  </si>
  <si>
    <t>TARIFA:</t>
  </si>
  <si>
    <t>FORMA DE PAGO:</t>
  </si>
  <si>
    <t>Transferencia Bancaria</t>
  </si>
  <si>
    <t>LIMITE PAGO:</t>
  </si>
  <si>
    <t>30 Días</t>
  </si>
  <si>
    <t>Este documento indica la conformidad del cliente para la realización de los servicios solicitados. La empresa CPA Vitoria 06 S.L. comenzara sus servicios una vez se firme esta hoja. Las tarifas aplicables al servicio demandado serán las del año en curso. El IVA no esta incluido en las tarifas. 
La forma de pago será mediante pagaré, cheque o transferencia con vencimiento a 30 días de la fecha de emisión de factura. El retraso en el pago conllevará el pago de unos intereses de demora del 1% mensual.  La prestación de servicios se realizará en las instalaciones de Mercedes Benz Vitoria ubicada en Vitoria-Gasteiz (Álava) en la calle las Arenas 1,  C.P: 01015. Los derechos y autorizaciones de accesos a datos, sistemas informáticos y documentación mensual a vigilancia serán tramitados por CPA Vitoria 06 sin coste alguno para el cliente. En caso necesario se facturarán los materiales y la maquinaria específicos para dicho trabajo                                                                                                                                                                                                                                                                                  Tras firmar este acuerdo, si surgiesen servicios adicionales que no se han tenido en cuenta, y fuesen estrictamente necesarios para desempeñar nuestros servicios; CPA Vitoria 06 pactará las condiciones previamente con el CLIENTE.</t>
  </si>
  <si>
    <t>Gerente/Director:</t>
  </si>
  <si>
    <t xml:space="preserve"> Sr. Javier Burgos Villameriel</t>
  </si>
  <si>
    <t>Departamento:</t>
  </si>
  <si>
    <t>Fecha:</t>
  </si>
  <si>
    <t>Nº de Acción:</t>
  </si>
  <si>
    <t>Números de Chasis:</t>
  </si>
  <si>
    <t>Fecha Inicio:</t>
  </si>
  <si>
    <t>Responsable CPA:</t>
  </si>
  <si>
    <t>Fecha Fin:</t>
  </si>
  <si>
    <t>Nombre de la pieza:</t>
  </si>
  <si>
    <t>Controles de Calidad</t>
  </si>
  <si>
    <t>Piezas</t>
  </si>
  <si>
    <t>Contenedor</t>
  </si>
  <si>
    <t>Referencias:</t>
  </si>
  <si>
    <t xml:space="preserve">Verde Ok  </t>
  </si>
  <si>
    <t>Blanco Ok</t>
  </si>
  <si>
    <t>Otros Ok</t>
  </si>
  <si>
    <t>Rojo Nok</t>
  </si>
  <si>
    <t>Persona de Contacto:</t>
  </si>
  <si>
    <t>Teléfono</t>
  </si>
  <si>
    <t>E-Mail:</t>
  </si>
  <si>
    <t>Fecha de Solicitud:</t>
  </si>
  <si>
    <t>Empresa:</t>
  </si>
  <si>
    <t>Dirección:</t>
  </si>
  <si>
    <t>C.P.:</t>
  </si>
  <si>
    <t>País:</t>
  </si>
  <si>
    <t>Población</t>
  </si>
  <si>
    <t>Apdo. Correos</t>
  </si>
  <si>
    <t>C.P.</t>
  </si>
  <si>
    <t>C.P. Empresa:</t>
  </si>
  <si>
    <t>INSTRUCCIÓN DEL SERVICIO</t>
  </si>
  <si>
    <t>Descripción</t>
  </si>
  <si>
    <t>SEGURIDAD/EPI´S</t>
  </si>
  <si>
    <t>INFORMACIÓN DE LOS RESULTADOS</t>
  </si>
  <si>
    <t>Calzado de seguridad:</t>
  </si>
  <si>
    <t>Frecuencia</t>
  </si>
  <si>
    <t>Gafas de seguridad:</t>
  </si>
  <si>
    <t>Chaleco reflectante:</t>
  </si>
  <si>
    <t>Tapones:</t>
  </si>
  <si>
    <t>Guantes:</t>
  </si>
  <si>
    <t>Verificador:</t>
  </si>
  <si>
    <t>Aprobado por responsable CPA:</t>
  </si>
  <si>
    <t>Recomendador</t>
  </si>
  <si>
    <t>Recomendado por:</t>
  </si>
  <si>
    <t>RECOMENDADOR</t>
  </si>
  <si>
    <t>DATOS GENERALES CLIENTE</t>
  </si>
  <si>
    <t>RECOMENDADOR DE APERTURA ACCIÓN</t>
  </si>
  <si>
    <t>Formulario de Validación</t>
  </si>
  <si>
    <t xml:space="preserve">Autoriza: </t>
  </si>
  <si>
    <t>Orden de Pedido</t>
  </si>
  <si>
    <t>Información de Resultados</t>
  </si>
  <si>
    <t>Gráfico de Evolución</t>
  </si>
  <si>
    <t>Tiempo invertido y Costes</t>
  </si>
  <si>
    <t>Tipo de Hora</t>
  </si>
  <si>
    <t>Instrucción de trabajo</t>
  </si>
  <si>
    <t>Nº</t>
  </si>
  <si>
    <t>Nº de acción</t>
  </si>
  <si>
    <t xml:space="preserve">Nombre de la pieza </t>
  </si>
  <si>
    <t>TOTAL PIEZAS OK</t>
  </si>
  <si>
    <t>PC-01-FOR-07 REV.00</t>
  </si>
  <si>
    <t>PC-01-FOR-03 REV.01</t>
  </si>
  <si>
    <t>*La firma del este documento autoriza y valida toda la documentación del archivo entregado a cliente</t>
  </si>
  <si>
    <t>PC-01-FOR-04 REV.01</t>
  </si>
  <si>
    <t>Diaria</t>
  </si>
  <si>
    <t>Semanal</t>
  </si>
  <si>
    <t>Mensual</t>
  </si>
  <si>
    <t>Otros</t>
  </si>
  <si>
    <t>PC-01-FOR-05 REV.02</t>
  </si>
  <si>
    <t xml:space="preserve">  Operario:</t>
  </si>
  <si>
    <t>OTROS</t>
  </si>
  <si>
    <t>Aplica</t>
  </si>
  <si>
    <t xml:space="preserve"> NO Aplica</t>
  </si>
  <si>
    <t>Petición del material</t>
  </si>
  <si>
    <t>Comprobar que las referencias son correctas en piezas, talón logistico y contenedor</t>
  </si>
  <si>
    <t>CONTROL</t>
  </si>
  <si>
    <t>Selección de piezas</t>
  </si>
  <si>
    <t>Retrabajo en piezas</t>
  </si>
  <si>
    <t>Trasvase</t>
  </si>
  <si>
    <t>PC-01-FOR-06 REV.01</t>
  </si>
  <si>
    <t>TIPO DE DEFECTOS</t>
  </si>
  <si>
    <t>SELECCIÓN</t>
  </si>
  <si>
    <t>RETRABAJOS</t>
  </si>
  <si>
    <t>RESULTADO                                   FINAL A CLIENTE</t>
  </si>
  <si>
    <t>Gastos logisticos</t>
  </si>
  <si>
    <t>PC-01-FOR-09 REV.01</t>
  </si>
  <si>
    <t xml:space="preserve">H. Especialista Normal </t>
  </si>
  <si>
    <t>H. Especialista Festiva</t>
  </si>
  <si>
    <t xml:space="preserve">H. Especial. Nocturna </t>
  </si>
  <si>
    <t>Hora de Coordinación</t>
  </si>
  <si>
    <t>H. de Administración</t>
  </si>
  <si>
    <t>RECUENTO FINAL</t>
  </si>
  <si>
    <t>PC-01-FOR-08 REV.01</t>
  </si>
  <si>
    <t>Nª de Lote</t>
  </si>
  <si>
    <t>Referencias</t>
  </si>
  <si>
    <t>Color</t>
  </si>
  <si>
    <t>Ok</t>
  </si>
  <si>
    <t>Nok</t>
  </si>
  <si>
    <t>Retrabajado</t>
  </si>
  <si>
    <t>Total</t>
  </si>
  <si>
    <t>Hora extra</t>
  </si>
  <si>
    <t>Hora sábados</t>
  </si>
  <si>
    <t>Hora festivos</t>
  </si>
  <si>
    <t>Organización y puesta en marcha del servicio</t>
  </si>
  <si>
    <t>PC-01-FOR-10 REV.00</t>
  </si>
  <si>
    <t>Valoración del servicio prestado</t>
  </si>
  <si>
    <t>Encuesta de satisfacción individual</t>
  </si>
  <si>
    <t>Ejecución y eficacia del servicio</t>
  </si>
  <si>
    <t>VALOR</t>
  </si>
  <si>
    <t>Observaciones:</t>
  </si>
  <si>
    <t>RESULTADO</t>
  </si>
  <si>
    <r>
      <rPr>
        <b/>
        <sz val="10"/>
        <rFont val="Calibri"/>
        <family val="2"/>
      </rPr>
      <t>1</t>
    </r>
    <r>
      <rPr>
        <sz val="10"/>
        <rFont val="Calibri"/>
        <family val="2"/>
      </rPr>
      <t xml:space="preserve">: Muy insatisfecho; </t>
    </r>
    <r>
      <rPr>
        <b/>
        <sz val="10"/>
        <rFont val="Calibri"/>
        <family val="2"/>
      </rPr>
      <t>2</t>
    </r>
    <r>
      <rPr>
        <sz val="10"/>
        <rFont val="Calibri"/>
        <family val="2"/>
      </rPr>
      <t xml:space="preserve">: Insatisfecho; </t>
    </r>
    <r>
      <rPr>
        <b/>
        <sz val="10"/>
        <rFont val="Calibri"/>
        <family val="2"/>
      </rPr>
      <t>3</t>
    </r>
    <r>
      <rPr>
        <sz val="10"/>
        <rFont val="Calibri"/>
        <family val="2"/>
      </rPr>
      <t xml:space="preserve">: Satisfecho; </t>
    </r>
    <r>
      <rPr>
        <b/>
        <sz val="10"/>
        <rFont val="Calibri"/>
        <family val="2"/>
      </rPr>
      <t>4</t>
    </r>
    <r>
      <rPr>
        <sz val="10"/>
        <rFont val="Calibri"/>
        <family val="2"/>
      </rPr>
      <t>: Muy satisfecho</t>
    </r>
  </si>
  <si>
    <t>Información, comunicación y gestión diaria</t>
  </si>
  <si>
    <t>Gracias por su colaboración</t>
  </si>
  <si>
    <t>Le agradecemos nos conceda unos minutos para hacerle unas preguntas acerca de su grado de satisfacción sobre CPA VITORIA 06 S.L
Valore en una escala del 1 al 4 (siendo 4 “muy satisfecho” y 1 “muy insatisfecho”) los siguientes aspectos:</t>
  </si>
  <si>
    <t>a) Rapidez y eficacia de la organzaición</t>
  </si>
  <si>
    <t xml:space="preserve">b) Tiempo (Menor de 8h) de la puesta en marcha del servicio </t>
  </si>
  <si>
    <t>c) Documentación del servicio (Instrucción de trabajo, referencias...)</t>
  </si>
  <si>
    <t>a) Cantidad y calidad de la información del servicio</t>
  </si>
  <si>
    <t>b) Comunicación diaria fluida</t>
  </si>
  <si>
    <t>c) Gestión diaria; personal formado, documentación actualizada, rechazo...</t>
  </si>
  <si>
    <t>a) Correcto seguimiento de la instrucción de trabajo</t>
  </si>
  <si>
    <t xml:space="preserve">b) Eficacia del servicio </t>
  </si>
  <si>
    <t>REGISTRO                        PERSONAL FORMADO</t>
  </si>
  <si>
    <t xml:space="preserve"> Performed/ Owner by   Realizado por:</t>
  </si>
  <si>
    <t xml:space="preserve"> Date / Fecha:</t>
  </si>
  <si>
    <t xml:space="preserve"> Customer / Cliente: </t>
  </si>
  <si>
    <t xml:space="preserve"> Part  / Pieza:</t>
  </si>
  <si>
    <t xml:space="preserve"> Part numbers / Referencia pieza:</t>
  </si>
  <si>
    <t>Order / Nº</t>
  </si>
  <si>
    <t>Training Record. Company Employee's Name  /                                                                                      Registro de formación. Nombre persona de compañía revisión-retrabajo</t>
  </si>
  <si>
    <t>Signature / Firma</t>
  </si>
  <si>
    <t>Date /Fecha</t>
  </si>
  <si>
    <t>GAMA DE RETRABAJOS/ CLASIFICACIONES</t>
  </si>
  <si>
    <t>Performed/ Owner by Realizado por:</t>
  </si>
  <si>
    <t>Date / Fecha:</t>
  </si>
  <si>
    <t>Customer Released by / Liberado por cliente (SAS):</t>
  </si>
  <si>
    <t>Signature</t>
  </si>
  <si>
    <t>Date / Fecha de liberación:</t>
  </si>
  <si>
    <t>Complaint Nb. / Nº reclamación</t>
  </si>
  <si>
    <t>Compl. Date / Fecha reclamación</t>
  </si>
  <si>
    <t xml:space="preserve">Part numbers / Referencia pieza:
</t>
  </si>
  <si>
    <t>Starting Date / Fecha comienzo</t>
  </si>
  <si>
    <t>Time / Tiempo</t>
  </si>
  <si>
    <t xml:space="preserve">Customer / Cliente: </t>
  </si>
  <si>
    <t>Outsourcing Company Name / Nombre compañía externa revisión-retrabajo: CPA Vitoria 06</t>
  </si>
  <si>
    <t>Safety (S) or Reglamentation (R )</t>
  </si>
  <si>
    <t xml:space="preserve">Primer PNR: </t>
  </si>
  <si>
    <t>Nº Albaran:</t>
  </si>
  <si>
    <t>Último PNR:</t>
  </si>
  <si>
    <t xml:space="preserve">Identificación retrabajo: Nº </t>
  </si>
  <si>
    <t>Outsourcing Company Employee's Name. Training Record / Nombre persona de compañía externa revisión-retrabajo. Registro de formación.</t>
  </si>
  <si>
    <t>H. Especialista Extra</t>
  </si>
  <si>
    <t>H. Especialista Sábados</t>
  </si>
  <si>
    <t>Otros1</t>
  </si>
  <si>
    <t>Otros2</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</si>
</sst>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C0A]d\-mmm\-yy;@"/>
    <numFmt numFmtId="165" formatCode="0.0"/>
    <numFmt numFmtId="166" formatCode="[$-C0A]d\-mmm;@"/>
    <numFmt numFmtId="167" formatCode="dd\-mm\-yy;@"/>
    <numFmt numFmtId="168" formatCode="#,##0.00\ &quot;€&quot;"/>
    <numFmt numFmtId="169" formatCode="dd/mm/yy;@"/>
  </numFmts>
  <fonts count="53" x14ac:knownFonts="1">
    <font>
      <sz val="10"/>
      <name val="Arial"/>
    </font>
    <font>
      <u/>
      <sz val="10"/>
      <color indexed="12"/>
      <name val="Arial"/>
      <family val="2"/>
    </font>
    <font>
      <sz val="8"/>
      <name val="Arial"/>
      <family val="2"/>
    </font>
    <font>
      <sz val="14"/>
      <name val="Arial"/>
      <family val="2"/>
    </font>
    <font>
      <b/>
      <sz val="10"/>
      <name val="Arial"/>
      <family val="2"/>
    </font>
    <font>
      <sz val="10"/>
      <name val="Arial"/>
      <family val="2"/>
    </font>
    <font>
      <sz val="12"/>
      <name val="Arial"/>
      <family val="2"/>
    </font>
    <font>
      <sz val="22"/>
      <name val="Arial"/>
      <family val="2"/>
    </font>
    <font>
      <b/>
      <sz val="22"/>
      <name val="Arial"/>
      <family val="2"/>
    </font>
    <font>
      <b/>
      <sz val="18"/>
      <name val="Arial"/>
      <family val="2"/>
    </font>
    <font>
      <sz val="24"/>
      <name val="Arial"/>
      <family val="2"/>
    </font>
    <font>
      <b/>
      <sz val="24"/>
      <name val="Arial"/>
      <family val="2"/>
    </font>
    <font>
      <b/>
      <sz val="20"/>
      <name val="Arial"/>
      <family val="2"/>
    </font>
    <font>
      <sz val="20"/>
      <name val="Arial"/>
      <family val="2"/>
    </font>
    <font>
      <sz val="20"/>
      <color indexed="10"/>
      <name val="Arial"/>
      <family val="2"/>
    </font>
    <font>
      <b/>
      <sz val="24"/>
      <color indexed="10"/>
      <name val="Arial"/>
      <family val="2"/>
    </font>
    <font>
      <b/>
      <sz val="18"/>
      <color indexed="11"/>
      <name val="Arial"/>
      <family val="2"/>
    </font>
    <font>
      <b/>
      <sz val="18"/>
      <color indexed="47"/>
      <name val="Arial"/>
      <family val="2"/>
    </font>
    <font>
      <b/>
      <sz val="12"/>
      <color indexed="12"/>
      <name val="Arial"/>
      <family val="2"/>
    </font>
    <font>
      <sz val="9"/>
      <name val="Arial"/>
      <family val="2"/>
    </font>
    <font>
      <sz val="48"/>
      <name val="Arial"/>
      <family val="2"/>
    </font>
    <font>
      <sz val="11"/>
      <name val="Arial"/>
      <family val="2"/>
    </font>
    <font>
      <u/>
      <sz val="8"/>
      <name val="Arial"/>
      <family val="2"/>
    </font>
    <font>
      <u/>
      <sz val="10"/>
      <name val="Arial"/>
      <family val="2"/>
    </font>
    <font>
      <b/>
      <sz val="26"/>
      <name val="Arial"/>
      <family val="2"/>
    </font>
    <font>
      <b/>
      <sz val="16"/>
      <name val="Arial"/>
      <family val="2"/>
    </font>
    <font>
      <b/>
      <sz val="15"/>
      <name val="Arial"/>
      <family val="2"/>
    </font>
    <font>
      <sz val="10"/>
      <name val="Calibri"/>
      <family val="2"/>
    </font>
    <font>
      <b/>
      <sz val="10"/>
      <name val="Calibri"/>
      <family val="2"/>
    </font>
    <font>
      <sz val="16"/>
      <name val="Arial"/>
      <family val="2"/>
    </font>
    <font>
      <sz val="20"/>
      <color rgb="FFFF0000"/>
      <name val="Arial"/>
      <family val="2"/>
    </font>
    <font>
      <sz val="11"/>
      <color theme="1"/>
      <name val="Arial"/>
      <family val="2"/>
    </font>
    <font>
      <b/>
      <sz val="10"/>
      <color rgb="FF00B050"/>
      <name val="Arial"/>
      <family val="2"/>
    </font>
    <font>
      <b/>
      <sz val="10"/>
      <color rgb="FFFF0000"/>
      <name val="Arial"/>
      <family val="2"/>
    </font>
    <font>
      <sz val="10"/>
      <color rgb="FF00B050"/>
      <name val="Arial"/>
      <family val="2"/>
    </font>
    <font>
      <sz val="10"/>
      <color rgb="FFFF0000"/>
      <name val="Arial"/>
      <family val="2"/>
    </font>
    <font>
      <sz val="11"/>
      <color theme="3"/>
      <name val="Arial"/>
      <family val="2"/>
    </font>
    <font>
      <u/>
      <sz val="10"/>
      <color rgb="FF0070C0"/>
      <name val="Arial"/>
      <family val="2"/>
    </font>
    <font>
      <sz val="10"/>
      <color rgb="FF0070C0"/>
      <name val="Arial"/>
      <family val="2"/>
    </font>
    <font>
      <sz val="10"/>
      <color theme="4" tint="-0.249977111117893"/>
      <name val="Arial"/>
      <family val="2"/>
    </font>
    <font>
      <u/>
      <sz val="10"/>
      <color theme="4" tint="-0.249977111117893"/>
      <name val="Arial"/>
      <family val="2"/>
    </font>
    <font>
      <sz val="10"/>
      <color theme="1"/>
      <name val="Arial"/>
      <family val="2"/>
    </font>
    <font>
      <sz val="10"/>
      <name val="Calibri"/>
      <family val="2"/>
      <scheme val="minor"/>
    </font>
    <font>
      <b/>
      <sz val="24"/>
      <color rgb="FFFF0000"/>
      <name val="Arial"/>
      <family val="2"/>
    </font>
    <font>
      <b/>
      <sz val="12"/>
      <color rgb="FFFF0000"/>
      <name val="Arial"/>
      <family val="2"/>
    </font>
    <font>
      <sz val="20"/>
      <color theme="1"/>
      <name val="Arial Black"/>
      <family val="2"/>
    </font>
    <font>
      <b/>
      <sz val="10"/>
      <color theme="1"/>
      <name val="Times New Roman"/>
      <family val="1"/>
    </font>
    <font>
      <sz val="12"/>
      <color theme="1"/>
      <name val="Times New Roman"/>
      <family val="1"/>
    </font>
    <font>
      <sz val="10"/>
      <color theme="1"/>
      <name val="Times New Roman"/>
      <family val="1"/>
    </font>
    <font>
      <b/>
      <sz val="12"/>
      <color theme="1"/>
      <name val="Times New Roman"/>
      <family val="1"/>
    </font>
    <font>
      <sz val="6"/>
      <color theme="1"/>
      <name val="Times New Roman"/>
      <family val="1"/>
    </font>
    <font>
      <sz val="14"/>
      <color theme="1"/>
      <name val="Times New Roman"/>
      <family val="1"/>
    </font>
    <font>
      <i/>
      <sz val="10"/>
      <color theme="1"/>
      <name val="Times New Roman"/>
      <family val="1"/>
    </font>
  </fonts>
  <fills count="18">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0"/>
        <bgColor indexed="64"/>
      </patternFill>
    </fill>
    <fill>
      <patternFill patternType="solid">
        <fgColor indexed="1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0000"/>
        <bgColor indexed="64"/>
      </patternFill>
    </fill>
    <fill>
      <patternFill patternType="solid">
        <fgColor theme="0" tint="-0.249977111117893"/>
        <bgColor indexed="64"/>
      </patternFill>
    </fill>
    <fill>
      <patternFill patternType="solid">
        <fgColor rgb="FFFFFF00"/>
        <bgColor indexed="64"/>
      </patternFill>
    </fill>
    <fill>
      <patternFill patternType="solid">
        <fgColor rgb="FF92D050"/>
        <bgColor indexed="64"/>
      </patternFill>
    </fill>
    <fill>
      <patternFill patternType="solid">
        <fgColor rgb="FFB6FCB6"/>
        <bgColor indexed="64"/>
      </patternFill>
    </fill>
    <fill>
      <patternFill patternType="solid">
        <fgColor theme="4" tint="0.39997558519241921"/>
        <bgColor indexed="64"/>
      </patternFill>
    </fill>
    <fill>
      <patternFill patternType="solid">
        <fgColor rgb="FF5F86A1"/>
        <bgColor indexed="64"/>
      </patternFill>
    </fill>
    <fill>
      <patternFill patternType="solid">
        <fgColor rgb="FF99FFCC"/>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style="dotted">
        <color indexed="64"/>
      </right>
      <top style="thin">
        <color indexed="64"/>
      </top>
      <bottom style="dotted">
        <color indexed="64"/>
      </bottom>
      <diagonal/>
    </border>
    <border>
      <left style="dotted">
        <color indexed="64"/>
      </left>
      <right style="thin">
        <color indexed="64"/>
      </right>
      <top style="thin">
        <color indexed="64"/>
      </top>
      <bottom style="dotted">
        <color indexed="64"/>
      </bottom>
      <diagonal/>
    </border>
    <border>
      <left style="thin">
        <color indexed="64"/>
      </left>
      <right style="dotted">
        <color indexed="64"/>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thin">
        <color indexed="64"/>
      </left>
      <right/>
      <top/>
      <bottom style="thin">
        <color indexed="64"/>
      </bottom>
      <diagonal/>
    </border>
    <border>
      <left style="dotted">
        <color indexed="64"/>
      </left>
      <right style="dotted">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bottom/>
      <diagonal/>
    </border>
    <border>
      <left/>
      <right/>
      <top/>
      <bottom style="thin">
        <color indexed="64"/>
      </bottom>
      <diagonal/>
    </border>
    <border>
      <left style="dotted">
        <color indexed="64"/>
      </left>
      <right style="thin">
        <color indexed="64"/>
      </right>
      <top/>
      <bottom style="dotted">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style="dotted">
        <color indexed="64"/>
      </right>
      <top/>
      <bottom style="dotted">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thin">
        <color indexed="64"/>
      </right>
      <top style="dotted">
        <color indexed="64"/>
      </top>
      <bottom style="dotted">
        <color indexed="64"/>
      </bottom>
      <diagonal/>
    </border>
    <border>
      <left style="dotted">
        <color indexed="64"/>
      </left>
      <right/>
      <top style="thin">
        <color indexed="64"/>
      </top>
      <bottom style="dotted">
        <color indexed="64"/>
      </bottom>
      <diagonal/>
    </border>
    <border>
      <left style="dotted">
        <color indexed="64"/>
      </left>
      <right/>
      <top style="dotted">
        <color indexed="64"/>
      </top>
      <bottom style="dotted">
        <color indexed="64"/>
      </bottom>
      <diagonal/>
    </border>
    <border>
      <left/>
      <right/>
      <top style="dotted">
        <color indexed="64"/>
      </top>
      <bottom style="dotted">
        <color indexed="64"/>
      </bottom>
      <diagonal/>
    </border>
    <border>
      <left style="dotted">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dotted">
        <color indexed="64"/>
      </left>
      <right/>
      <top style="thin">
        <color indexed="64"/>
      </top>
      <bottom/>
      <diagonal/>
    </border>
    <border>
      <left style="thin">
        <color indexed="64"/>
      </left>
      <right style="dotted">
        <color indexed="64"/>
      </right>
      <top style="thin">
        <color indexed="64"/>
      </top>
      <bottom/>
      <diagonal/>
    </border>
    <border>
      <left/>
      <right style="dotted">
        <color indexed="64"/>
      </right>
      <top style="dotted">
        <color indexed="64"/>
      </top>
      <bottom style="dotted">
        <color indexed="64"/>
      </bottom>
      <diagonal/>
    </border>
    <border>
      <left style="thin">
        <color indexed="64"/>
      </left>
      <right style="dotted">
        <color indexed="64"/>
      </right>
      <top/>
      <bottom style="thin">
        <color indexed="64"/>
      </bottom>
      <diagonal/>
    </border>
    <border>
      <left style="dotted">
        <color indexed="64"/>
      </left>
      <right/>
      <top/>
      <bottom style="thin">
        <color indexed="64"/>
      </bottom>
      <diagonal/>
    </border>
    <border>
      <left style="thin">
        <color indexed="64"/>
      </left>
      <right style="thin">
        <color indexed="64"/>
      </right>
      <top/>
      <bottom/>
      <diagonal/>
    </border>
    <border>
      <left style="thin">
        <color indexed="64"/>
      </left>
      <right style="dotted">
        <color indexed="64"/>
      </right>
      <top/>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s>
  <cellStyleXfs count="3">
    <xf numFmtId="0" fontId="0" fillId="0" borderId="0"/>
    <xf numFmtId="0" fontId="1" fillId="0" borderId="0" applyNumberFormat="0" applyFill="0" applyBorder="0" applyAlignment="0" applyProtection="0">
      <alignment vertical="top"/>
      <protection locked="0"/>
    </xf>
    <xf numFmtId="0" fontId="5" fillId="0" borderId="0"/>
  </cellStyleXfs>
  <cellXfs count="520">
    <xf numFmtId="0" fontId="0" fillId="0" borderId="0" xfId="0"/>
    <xf numFmtId="0" fontId="6" fillId="0" borderId="0" xfId="0" applyFont="1" applyAlignment="1">
      <alignment horizontal="center" vertical="center"/>
    </xf>
    <xf numFmtId="0" fontId="3"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lignment horizontal="left" vertical="center" wrapText="1"/>
    </xf>
    <xf numFmtId="0" fontId="0" fillId="0" borderId="0" xfId="0" applyAlignment="1">
      <alignment vertical="center"/>
    </xf>
    <xf numFmtId="1" fontId="30" fillId="6" borderId="1" xfId="0" applyNumberFormat="1" applyFont="1" applyFill="1" applyBorder="1" applyAlignment="1">
      <alignment horizontal="center" vertical="center" shrinkToFit="1"/>
    </xf>
    <xf numFmtId="0" fontId="31" fillId="0" borderId="0" xfId="0" applyFont="1"/>
    <xf numFmtId="0" fontId="5" fillId="0" borderId="1" xfId="0" applyFont="1" applyFill="1" applyBorder="1" applyAlignment="1">
      <alignment horizontal="left" vertical="center"/>
    </xf>
    <xf numFmtId="0" fontId="4" fillId="0" borderId="1" xfId="0" applyFont="1" applyBorder="1" applyAlignment="1">
      <alignment horizontal="left" vertical="center" wrapText="1"/>
    </xf>
    <xf numFmtId="0" fontId="4" fillId="0" borderId="2" xfId="0" applyFont="1" applyBorder="1" applyAlignment="1">
      <alignment vertical="center"/>
    </xf>
    <xf numFmtId="0" fontId="4" fillId="0" borderId="3" xfId="0" applyFont="1" applyBorder="1" applyAlignment="1">
      <alignment vertical="center"/>
    </xf>
    <xf numFmtId="0" fontId="4" fillId="0" borderId="4" xfId="0" applyFont="1" applyBorder="1" applyAlignment="1">
      <alignment vertical="center"/>
    </xf>
    <xf numFmtId="0" fontId="4" fillId="0" borderId="5" xfId="0" applyFont="1" applyBorder="1" applyAlignment="1">
      <alignment vertical="center"/>
    </xf>
    <xf numFmtId="0" fontId="5" fillId="0" borderId="6" xfId="0" applyFont="1" applyBorder="1" applyAlignment="1">
      <alignment vertical="center"/>
    </xf>
    <xf numFmtId="0" fontId="5" fillId="0" borderId="7" xfId="0" applyFont="1" applyBorder="1" applyAlignment="1">
      <alignment vertical="center"/>
    </xf>
    <xf numFmtId="0" fontId="5" fillId="0" borderId="8" xfId="0" applyFont="1" applyBorder="1" applyAlignment="1">
      <alignment horizontal="right" vertical="center"/>
    </xf>
    <xf numFmtId="0" fontId="0" fillId="0" borderId="6" xfId="0" applyBorder="1" applyAlignment="1">
      <alignment horizontal="right" vertical="center"/>
    </xf>
    <xf numFmtId="0" fontId="0" fillId="0" borderId="6" xfId="0" applyBorder="1" applyAlignment="1">
      <alignment vertical="center"/>
    </xf>
    <xf numFmtId="0" fontId="5" fillId="0" borderId="9" xfId="0" applyFont="1" applyBorder="1" applyAlignment="1">
      <alignment vertical="center"/>
    </xf>
    <xf numFmtId="0" fontId="5" fillId="0" borderId="10" xfId="0" applyFont="1" applyBorder="1" applyAlignment="1">
      <alignment horizontal="right" vertical="center"/>
    </xf>
    <xf numFmtId="0" fontId="0" fillId="0" borderId="11" xfId="0" applyBorder="1" applyAlignment="1">
      <alignment horizontal="right" vertical="center"/>
    </xf>
    <xf numFmtId="0" fontId="4" fillId="0" borderId="2" xfId="0" applyFont="1" applyFill="1" applyBorder="1" applyAlignment="1">
      <alignment horizontal="left" vertical="center"/>
    </xf>
    <xf numFmtId="0" fontId="4" fillId="0" borderId="7" xfId="0" applyFont="1" applyFill="1" applyBorder="1" applyAlignment="1">
      <alignment horizontal="left" vertical="center"/>
    </xf>
    <xf numFmtId="0" fontId="4" fillId="0" borderId="9" xfId="0" applyFont="1" applyFill="1" applyBorder="1" applyAlignment="1">
      <alignment horizontal="left" vertical="center" wrapText="1"/>
    </xf>
    <xf numFmtId="0" fontId="4" fillId="0" borderId="12" xfId="0" applyFont="1" applyFill="1" applyBorder="1" applyAlignment="1">
      <alignment horizontal="left" vertical="center"/>
    </xf>
    <xf numFmtId="0" fontId="4" fillId="0" borderId="7" xfId="0" applyFont="1" applyBorder="1" applyAlignment="1">
      <alignment horizontal="left" vertical="center"/>
    </xf>
    <xf numFmtId="0" fontId="5" fillId="0" borderId="0" xfId="0" applyFont="1" applyFill="1" applyBorder="1" applyAlignment="1">
      <alignment vertical="center"/>
    </xf>
    <xf numFmtId="0" fontId="5" fillId="0" borderId="13" xfId="0" applyFont="1" applyFill="1" applyBorder="1" applyAlignment="1">
      <alignment vertical="center"/>
    </xf>
    <xf numFmtId="0" fontId="5" fillId="0" borderId="0" xfId="0" applyFont="1" applyFill="1" applyBorder="1" applyAlignment="1">
      <alignment horizontal="left" vertical="center"/>
    </xf>
    <xf numFmtId="0" fontId="4" fillId="0" borderId="9" xfId="0" applyFont="1" applyFill="1" applyBorder="1" applyAlignment="1">
      <alignment horizontal="left" vertical="center"/>
    </xf>
    <xf numFmtId="0" fontId="5" fillId="0" borderId="14" xfId="0" applyFont="1" applyFill="1" applyBorder="1" applyAlignment="1">
      <alignment horizontal="left" vertical="center"/>
    </xf>
    <xf numFmtId="0" fontId="5" fillId="0" borderId="14" xfId="0" applyFont="1" applyFill="1" applyBorder="1" applyAlignment="1">
      <alignment vertical="center"/>
    </xf>
    <xf numFmtId="0" fontId="5" fillId="0" borderId="11" xfId="0" applyFont="1" applyFill="1" applyBorder="1" applyAlignment="1">
      <alignment vertical="center"/>
    </xf>
    <xf numFmtId="0" fontId="5" fillId="7" borderId="1" xfId="0" applyFont="1" applyFill="1" applyBorder="1" applyAlignment="1">
      <alignment horizontal="center" vertical="center" wrapText="1"/>
    </xf>
    <xf numFmtId="49" fontId="19" fillId="0" borderId="15" xfId="0" applyNumberFormat="1" applyFont="1" applyBorder="1" applyAlignment="1" applyProtection="1">
      <alignment horizontal="center" vertical="center" wrapText="1"/>
    </xf>
    <xf numFmtId="0" fontId="2" fillId="7" borderId="1" xfId="0" applyFont="1" applyFill="1" applyBorder="1" applyAlignment="1">
      <alignment horizontal="center" vertical="center" wrapText="1"/>
    </xf>
    <xf numFmtId="165" fontId="2" fillId="2" borderId="1" xfId="0" applyNumberFormat="1" applyFont="1" applyFill="1" applyBorder="1" applyAlignment="1">
      <alignment horizontal="center" vertical="center"/>
    </xf>
    <xf numFmtId="165" fontId="2" fillId="2" borderId="1" xfId="0" applyNumberFormat="1" applyFont="1" applyFill="1" applyBorder="1" applyAlignment="1">
      <alignment horizontal="center" vertical="center" shrinkToFit="1"/>
    </xf>
    <xf numFmtId="0" fontId="5" fillId="0" borderId="16" xfId="0" applyFont="1" applyFill="1" applyBorder="1" applyAlignment="1">
      <alignment horizontal="left" vertical="center"/>
    </xf>
    <xf numFmtId="0" fontId="5" fillId="0" borderId="12" xfId="0" applyFont="1" applyFill="1" applyBorder="1" applyAlignment="1">
      <alignment horizontal="left" vertical="center"/>
    </xf>
    <xf numFmtId="0" fontId="5" fillId="0" borderId="1" xfId="0" applyFont="1" applyFill="1" applyBorder="1" applyAlignment="1">
      <alignment horizontal="left" vertical="center" wrapText="1"/>
    </xf>
    <xf numFmtId="0" fontId="12" fillId="0" borderId="1" xfId="0" applyFont="1" applyFill="1" applyBorder="1" applyAlignment="1">
      <alignment vertical="center" wrapText="1"/>
    </xf>
    <xf numFmtId="0" fontId="2" fillId="0" borderId="12" xfId="0" applyFont="1" applyBorder="1"/>
    <xf numFmtId="0" fontId="2" fillId="0" borderId="17" xfId="0" applyFont="1" applyBorder="1"/>
    <xf numFmtId="0" fontId="0" fillId="0" borderId="0" xfId="0" applyAlignment="1">
      <alignment horizontal="center" vertical="center" wrapText="1"/>
    </xf>
    <xf numFmtId="0" fontId="0" fillId="0" borderId="1" xfId="0" applyBorder="1" applyAlignment="1">
      <alignment horizontal="center"/>
    </xf>
    <xf numFmtId="0" fontId="0" fillId="0" borderId="1" xfId="0" applyBorder="1" applyAlignment="1">
      <alignment horizontal="center" vertical="center" wrapText="1"/>
    </xf>
    <xf numFmtId="0" fontId="21" fillId="8" borderId="1" xfId="0" applyFont="1" applyFill="1" applyBorder="1" applyAlignment="1">
      <alignment horizontal="left" vertical="center"/>
    </xf>
    <xf numFmtId="0" fontId="21" fillId="0" borderId="0" xfId="0" applyFont="1"/>
    <xf numFmtId="0" fontId="5" fillId="0" borderId="1" xfId="0" applyFont="1" applyBorder="1"/>
    <xf numFmtId="0" fontId="5" fillId="0" borderId="0" xfId="0" applyFont="1"/>
    <xf numFmtId="0" fontId="5" fillId="0" borderId="6" xfId="0" applyFont="1" applyBorder="1" applyAlignment="1">
      <alignment horizontal="right" vertical="center"/>
    </xf>
    <xf numFmtId="0" fontId="5" fillId="0" borderId="11" xfId="0" applyFont="1" applyBorder="1" applyAlignment="1">
      <alignment horizontal="right" vertical="center"/>
    </xf>
    <xf numFmtId="14" fontId="5" fillId="0" borderId="18" xfId="0" applyNumberFormat="1" applyFont="1" applyBorder="1" applyAlignment="1" applyProtection="1">
      <alignment vertical="center" wrapText="1"/>
    </xf>
    <xf numFmtId="49" fontId="5" fillId="0" borderId="19" xfId="0" applyNumberFormat="1" applyFont="1" applyBorder="1" applyAlignment="1">
      <alignment horizontal="center" vertical="center" wrapText="1"/>
    </xf>
    <xf numFmtId="14" fontId="5" fillId="0" borderId="20" xfId="0" applyNumberFormat="1" applyFont="1" applyBorder="1" applyAlignment="1">
      <alignment vertical="center" wrapText="1"/>
    </xf>
    <xf numFmtId="14" fontId="5" fillId="0" borderId="4" xfId="0" applyNumberFormat="1" applyFont="1" applyBorder="1" applyAlignment="1">
      <alignment vertical="center" wrapText="1"/>
    </xf>
    <xf numFmtId="49" fontId="5" fillId="0" borderId="5" xfId="0" applyNumberFormat="1" applyFont="1" applyBorder="1" applyAlignment="1">
      <alignment vertical="center" wrapText="1"/>
    </xf>
    <xf numFmtId="0" fontId="5" fillId="0" borderId="0" xfId="0" applyFont="1" applyAlignment="1">
      <alignment horizontal="left" vertical="top"/>
    </xf>
    <xf numFmtId="0" fontId="5" fillId="0" borderId="0" xfId="0" applyFont="1" applyAlignment="1">
      <alignment vertical="center"/>
    </xf>
    <xf numFmtId="164" fontId="9" fillId="10" borderId="1" xfId="0" applyNumberFormat="1" applyFont="1" applyFill="1" applyBorder="1" applyAlignment="1">
      <alignment horizontal="center" vertical="center" textRotation="90" wrapText="1"/>
    </xf>
    <xf numFmtId="3" fontId="12" fillId="4" borderId="1" xfId="0" applyNumberFormat="1" applyFont="1" applyFill="1" applyBorder="1" applyAlignment="1">
      <alignment horizontal="center" vertical="center" shrinkToFit="1"/>
    </xf>
    <xf numFmtId="1" fontId="14" fillId="0" borderId="1" xfId="0" applyNumberFormat="1" applyFont="1" applyFill="1" applyBorder="1" applyAlignment="1">
      <alignment horizontal="center" vertical="center"/>
    </xf>
    <xf numFmtId="166" fontId="2" fillId="11" borderId="1" xfId="0" applyNumberFormat="1" applyFont="1" applyFill="1" applyBorder="1" applyAlignment="1">
      <alignment horizontal="center" vertical="center" textRotation="90" wrapText="1"/>
    </xf>
    <xf numFmtId="167" fontId="2" fillId="11" borderId="1" xfId="0" applyNumberFormat="1" applyFont="1" applyFill="1" applyBorder="1" applyAlignment="1">
      <alignment horizontal="center" vertical="center" textRotation="90" wrapText="1"/>
    </xf>
    <xf numFmtId="2" fontId="2" fillId="2" borderId="1" xfId="0" applyNumberFormat="1" applyFont="1" applyFill="1" applyBorder="1" applyAlignment="1">
      <alignment horizontal="center" vertical="center" shrinkToFit="1"/>
    </xf>
    <xf numFmtId="165" fontId="2" fillId="12" borderId="1" xfId="0" applyNumberFormat="1" applyFont="1" applyFill="1" applyBorder="1" applyAlignment="1">
      <alignment horizontal="center" vertical="center" shrinkToFit="1"/>
    </xf>
    <xf numFmtId="49" fontId="4" fillId="0" borderId="1" xfId="0" applyNumberFormat="1" applyFont="1" applyBorder="1" applyAlignment="1">
      <alignment vertical="center"/>
    </xf>
    <xf numFmtId="0" fontId="5" fillId="0" borderId="1" xfId="0" applyFont="1" applyBorder="1" applyAlignment="1">
      <alignment horizontal="center" vertical="center"/>
    </xf>
    <xf numFmtId="0" fontId="4" fillId="0" borderId="1" xfId="0" applyFont="1" applyBorder="1" applyAlignment="1">
      <alignment horizontal="center" vertical="center"/>
    </xf>
    <xf numFmtId="0" fontId="0" fillId="0" borderId="1" xfId="0" applyBorder="1" applyAlignment="1">
      <alignment horizontal="center" vertical="center"/>
    </xf>
    <xf numFmtId="0" fontId="5" fillId="0" borderId="1" xfId="0" applyFont="1" applyBorder="1" applyAlignment="1" applyProtection="1">
      <alignment horizontal="center" vertical="center"/>
      <protection locked="0"/>
    </xf>
    <xf numFmtId="0" fontId="5" fillId="0" borderId="21" xfId="0" applyFont="1" applyBorder="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0" fontId="0" fillId="8" borderId="1" xfId="0" applyFill="1" applyBorder="1" applyAlignment="1">
      <alignment horizontal="center" vertical="center" wrapText="1"/>
    </xf>
    <xf numFmtId="0" fontId="4" fillId="13" borderId="1" xfId="0" applyFont="1" applyFill="1" applyBorder="1" applyAlignment="1">
      <alignment horizontal="center" vertical="center"/>
    </xf>
    <xf numFmtId="0" fontId="4" fillId="10" borderId="1" xfId="0" applyFont="1" applyFill="1" applyBorder="1" applyAlignment="1">
      <alignment horizontal="center" vertical="center"/>
    </xf>
    <xf numFmtId="0" fontId="0" fillId="0" borderId="22" xfId="0" applyBorder="1" applyAlignment="1">
      <alignment horizontal="center" vertical="center"/>
    </xf>
    <xf numFmtId="0" fontId="0" fillId="0" borderId="0" xfId="0" applyAlignment="1">
      <alignment horizontal="center" vertical="center"/>
    </xf>
    <xf numFmtId="166" fontId="10" fillId="8" borderId="1" xfId="0" applyNumberFormat="1" applyFont="1" applyFill="1" applyBorder="1" applyAlignment="1">
      <alignment horizontal="center" vertical="center" textRotation="90" wrapText="1"/>
    </xf>
    <xf numFmtId="0" fontId="10" fillId="0" borderId="0" xfId="0" applyFont="1" applyAlignment="1">
      <alignment vertical="center"/>
    </xf>
    <xf numFmtId="1" fontId="13" fillId="8" borderId="23" xfId="0" applyNumberFormat="1" applyFont="1" applyFill="1" applyBorder="1" applyAlignment="1">
      <alignment horizontal="center" vertical="center"/>
    </xf>
    <xf numFmtId="1" fontId="13" fillId="8" borderId="24" xfId="0" applyNumberFormat="1" applyFont="1" applyFill="1" applyBorder="1" applyAlignment="1">
      <alignment horizontal="center" vertical="center"/>
    </xf>
    <xf numFmtId="1" fontId="13" fillId="8" borderId="25" xfId="0" applyNumberFormat="1" applyFont="1" applyFill="1" applyBorder="1" applyAlignment="1">
      <alignment horizontal="center" vertical="center"/>
    </xf>
    <xf numFmtId="0" fontId="3" fillId="0" borderId="0" xfId="0" applyFont="1" applyAlignment="1">
      <alignment vertical="center"/>
    </xf>
    <xf numFmtId="1" fontId="13" fillId="0" borderId="26" xfId="0" applyNumberFormat="1" applyFont="1" applyFill="1" applyBorder="1" applyAlignment="1">
      <alignment horizontal="center" vertical="center"/>
    </xf>
    <xf numFmtId="1" fontId="13" fillId="0" borderId="27" xfId="0" applyNumberFormat="1" applyFont="1" applyFill="1" applyBorder="1" applyAlignment="1">
      <alignment horizontal="center" vertical="center"/>
    </xf>
    <xf numFmtId="1" fontId="14" fillId="0" borderId="28" xfId="0" applyNumberFormat="1" applyFont="1" applyFill="1" applyBorder="1" applyAlignment="1">
      <alignment horizontal="center" vertical="center"/>
    </xf>
    <xf numFmtId="165" fontId="16" fillId="6" borderId="29" xfId="0" applyNumberFormat="1" applyFont="1" applyFill="1" applyBorder="1" applyAlignment="1">
      <alignment horizontal="center" vertical="center"/>
    </xf>
    <xf numFmtId="165" fontId="16" fillId="6" borderId="30" xfId="0" applyNumberFormat="1" applyFont="1" applyFill="1" applyBorder="1" applyAlignment="1">
      <alignment horizontal="center" vertical="center"/>
    </xf>
    <xf numFmtId="0" fontId="8" fillId="6" borderId="0" xfId="0" applyFont="1" applyFill="1" applyBorder="1" applyAlignment="1">
      <alignment horizontal="center" vertical="center" textRotation="90" wrapText="1"/>
    </xf>
    <xf numFmtId="49" fontId="15" fillId="6" borderId="0" xfId="0" applyNumberFormat="1" applyFont="1" applyFill="1" applyBorder="1" applyAlignment="1">
      <alignment horizontal="center" vertical="center"/>
    </xf>
    <xf numFmtId="1" fontId="14" fillId="6" borderId="0" xfId="0" applyNumberFormat="1" applyFont="1" applyFill="1" applyBorder="1" applyAlignment="1">
      <alignment horizontal="center" vertical="center"/>
    </xf>
    <xf numFmtId="0" fontId="3" fillId="6" borderId="0" xfId="0" applyFont="1" applyFill="1" applyBorder="1" applyAlignment="1">
      <alignment horizontal="center" vertical="center"/>
    </xf>
    <xf numFmtId="0" fontId="3" fillId="6" borderId="0" xfId="0" applyFont="1" applyFill="1" applyBorder="1" applyAlignment="1">
      <alignment vertical="center"/>
    </xf>
    <xf numFmtId="1" fontId="13" fillId="9" borderId="31" xfId="0" applyNumberFormat="1" applyFont="1" applyFill="1" applyBorder="1" applyAlignment="1">
      <alignment horizontal="center" vertical="center"/>
    </xf>
    <xf numFmtId="1" fontId="13" fillId="9" borderId="26" xfId="0" applyNumberFormat="1" applyFont="1" applyFill="1" applyBorder="1" applyAlignment="1">
      <alignment horizontal="center" vertical="center"/>
    </xf>
    <xf numFmtId="1" fontId="13" fillId="9" borderId="27" xfId="0" applyNumberFormat="1" applyFont="1" applyFill="1" applyBorder="1" applyAlignment="1">
      <alignment horizontal="center" vertical="center"/>
    </xf>
    <xf numFmtId="165" fontId="17" fillId="9" borderId="32" xfId="0" applyNumberFormat="1" applyFont="1" applyFill="1" applyBorder="1" applyAlignment="1">
      <alignment horizontal="center" vertical="center"/>
    </xf>
    <xf numFmtId="1" fontId="17" fillId="9" borderId="29" xfId="0" applyNumberFormat="1" applyFont="1" applyFill="1" applyBorder="1" applyAlignment="1">
      <alignment horizontal="center" vertical="center"/>
    </xf>
    <xf numFmtId="165" fontId="17" fillId="9" borderId="30" xfId="0" applyNumberFormat="1" applyFont="1" applyFill="1" applyBorder="1" applyAlignment="1">
      <alignment horizontal="center" vertical="center"/>
    </xf>
    <xf numFmtId="0" fontId="26" fillId="6" borderId="0" xfId="0" applyFont="1" applyFill="1" applyBorder="1" applyAlignment="1">
      <alignment horizontal="center" vertical="center" textRotation="90" wrapText="1"/>
    </xf>
    <xf numFmtId="49" fontId="8" fillId="6" borderId="0" xfId="0" applyNumberFormat="1" applyFont="1" applyFill="1" applyBorder="1" applyAlignment="1">
      <alignment horizontal="center" vertical="center"/>
    </xf>
    <xf numFmtId="165" fontId="17" fillId="6" borderId="0" xfId="0" applyNumberFormat="1" applyFont="1" applyFill="1" applyBorder="1" applyAlignment="1">
      <alignment horizontal="center" vertical="center"/>
    </xf>
    <xf numFmtId="1" fontId="17" fillId="6" borderId="0" xfId="0" applyNumberFormat="1" applyFont="1" applyFill="1" applyBorder="1" applyAlignment="1">
      <alignment horizontal="center" vertical="center"/>
    </xf>
    <xf numFmtId="1" fontId="13" fillId="10" borderId="33" xfId="0" applyNumberFormat="1" applyFont="1" applyFill="1" applyBorder="1" applyAlignment="1">
      <alignment horizontal="center" vertical="center"/>
    </xf>
    <xf numFmtId="1" fontId="13" fillId="10" borderId="26" xfId="0" applyNumberFormat="1" applyFont="1" applyFill="1" applyBorder="1" applyAlignment="1">
      <alignment horizontal="center" vertical="center"/>
    </xf>
    <xf numFmtId="1" fontId="13" fillId="10" borderId="27" xfId="0" applyNumberFormat="1" applyFont="1" applyFill="1" applyBorder="1" applyAlignment="1">
      <alignment horizontal="center" vertical="center"/>
    </xf>
    <xf numFmtId="1" fontId="13" fillId="5" borderId="34" xfId="0" applyNumberFormat="1" applyFont="1" applyFill="1" applyBorder="1" applyAlignment="1">
      <alignment horizontal="center" vertical="center"/>
    </xf>
    <xf numFmtId="1" fontId="13" fillId="5" borderId="29" xfId="0" applyNumberFormat="1" applyFont="1" applyFill="1" applyBorder="1" applyAlignment="1">
      <alignment horizontal="center" vertical="center"/>
    </xf>
    <xf numFmtId="1" fontId="13" fillId="5" borderId="30" xfId="0" applyNumberFormat="1" applyFont="1" applyFill="1" applyBorder="1" applyAlignment="1">
      <alignment horizontal="center" vertical="center"/>
    </xf>
    <xf numFmtId="0" fontId="4" fillId="11" borderId="22" xfId="0" applyFont="1" applyFill="1" applyBorder="1" applyAlignment="1">
      <alignment horizontal="center"/>
    </xf>
    <xf numFmtId="0" fontId="32" fillId="11" borderId="1" xfId="0" applyFont="1" applyFill="1" applyBorder="1" applyAlignment="1">
      <alignment horizontal="center"/>
    </xf>
    <xf numFmtId="0" fontId="33" fillId="11" borderId="1" xfId="0" applyFont="1" applyFill="1" applyBorder="1" applyAlignment="1">
      <alignment horizontal="center"/>
    </xf>
    <xf numFmtId="0" fontId="4" fillId="11" borderId="1" xfId="0" applyFont="1" applyFill="1" applyBorder="1" applyAlignment="1">
      <alignment horizontal="center"/>
    </xf>
    <xf numFmtId="0" fontId="0" fillId="0" borderId="16" xfId="0" applyBorder="1"/>
    <xf numFmtId="0" fontId="5" fillId="0" borderId="35" xfId="0" applyFont="1" applyBorder="1"/>
    <xf numFmtId="0" fontId="0" fillId="0" borderId="35" xfId="0" applyBorder="1"/>
    <xf numFmtId="0" fontId="0" fillId="0" borderId="21" xfId="0" applyBorder="1"/>
    <xf numFmtId="0" fontId="34" fillId="11" borderId="21" xfId="0" applyFont="1" applyFill="1" applyBorder="1" applyAlignment="1">
      <alignment horizontal="center"/>
    </xf>
    <xf numFmtId="0" fontId="35" fillId="11" borderId="1" xfId="0" applyFont="1" applyFill="1" applyBorder="1" applyAlignment="1">
      <alignment horizontal="center"/>
    </xf>
    <xf numFmtId="0" fontId="5" fillId="11" borderId="1" xfId="0" applyFont="1" applyFill="1" applyBorder="1" applyAlignment="1">
      <alignment horizontal="center"/>
    </xf>
    <xf numFmtId="0" fontId="0" fillId="0" borderId="36" xfId="0" applyBorder="1"/>
    <xf numFmtId="0" fontId="0" fillId="0" borderId="1" xfId="0" applyBorder="1"/>
    <xf numFmtId="2" fontId="2" fillId="7" borderId="1" xfId="0" applyNumberFormat="1" applyFont="1" applyFill="1" applyBorder="1" applyAlignment="1">
      <alignment horizontal="center" vertical="center" shrinkToFit="1"/>
    </xf>
    <xf numFmtId="0" fontId="4" fillId="0" borderId="2" xfId="0" applyFont="1" applyBorder="1" applyAlignment="1">
      <alignment horizontal="center" vertical="center"/>
    </xf>
    <xf numFmtId="0" fontId="5" fillId="0" borderId="1" xfId="0" applyFont="1" applyBorder="1" applyAlignment="1">
      <alignment vertical="center"/>
    </xf>
    <xf numFmtId="0" fontId="0" fillId="6" borderId="0" xfId="0" applyFill="1" applyBorder="1" applyAlignment="1">
      <alignment vertical="center"/>
    </xf>
    <xf numFmtId="0" fontId="4" fillId="14" borderId="1" xfId="0" applyFont="1" applyFill="1" applyBorder="1" applyAlignment="1">
      <alignment horizontal="center" vertical="center"/>
    </xf>
    <xf numFmtId="0" fontId="5" fillId="8" borderId="1" xfId="0" applyFont="1" applyFill="1" applyBorder="1" applyAlignment="1">
      <alignment horizontal="center" vertical="center"/>
    </xf>
    <xf numFmtId="0" fontId="0" fillId="6" borderId="0" xfId="0" applyFill="1" applyBorder="1" applyAlignment="1">
      <alignment horizontal="center" vertical="center"/>
    </xf>
    <xf numFmtId="14" fontId="5" fillId="0" borderId="18" xfId="0" applyNumberFormat="1" applyFont="1" applyBorder="1" applyAlignment="1">
      <alignment horizontal="center" vertical="center" wrapText="1"/>
    </xf>
    <xf numFmtId="0" fontId="5" fillId="0" borderId="8" xfId="0" applyNumberFormat="1" applyFont="1" applyBorder="1" applyAlignment="1">
      <alignment horizontal="right" vertical="center"/>
    </xf>
    <xf numFmtId="0" fontId="5" fillId="0" borderId="15" xfId="0" applyNumberFormat="1" applyFont="1" applyBorder="1" applyAlignment="1">
      <alignment horizontal="center" vertical="center" wrapText="1"/>
    </xf>
    <xf numFmtId="0" fontId="5" fillId="6" borderId="0" xfId="0" applyFont="1" applyFill="1"/>
    <xf numFmtId="14" fontId="5" fillId="6" borderId="0" xfId="0" applyNumberFormat="1" applyFont="1" applyFill="1"/>
    <xf numFmtId="0" fontId="0" fillId="6" borderId="0" xfId="0" applyFill="1"/>
    <xf numFmtId="0" fontId="0" fillId="6" borderId="0" xfId="0" applyFill="1" applyAlignment="1">
      <alignment vertical="center"/>
    </xf>
    <xf numFmtId="0" fontId="0" fillId="6" borderId="0" xfId="0" applyFill="1" applyBorder="1" applyAlignment="1">
      <alignment horizontal="center" vertical="center"/>
    </xf>
    <xf numFmtId="0" fontId="0" fillId="6" borderId="0" xfId="0" applyFill="1" applyAlignment="1">
      <alignment horizontal="left" vertical="center"/>
    </xf>
    <xf numFmtId="0" fontId="0" fillId="6" borderId="1" xfId="0" applyFill="1" applyBorder="1" applyAlignment="1">
      <alignment horizontal="center" vertical="center"/>
    </xf>
    <xf numFmtId="0" fontId="49" fillId="17" borderId="16" xfId="0" applyFont="1" applyFill="1" applyBorder="1" applyAlignment="1">
      <alignment vertical="center"/>
    </xf>
    <xf numFmtId="0" fontId="0" fillId="6" borderId="0" xfId="0" applyFill="1" applyAlignment="1">
      <alignment horizontal="center" vertical="center" wrapText="1"/>
    </xf>
    <xf numFmtId="0" fontId="21" fillId="6" borderId="0" xfId="0" applyFont="1" applyFill="1" applyAlignment="1">
      <alignment horizontal="center" vertical="center" wrapText="1"/>
    </xf>
    <xf numFmtId="0" fontId="21" fillId="6" borderId="0" xfId="0" applyFont="1" applyFill="1"/>
    <xf numFmtId="0" fontId="5" fillId="6" borderId="0" xfId="0" applyFont="1" applyFill="1" applyBorder="1" applyAlignment="1">
      <alignment horizontal="center" vertical="center"/>
    </xf>
    <xf numFmtId="0" fontId="27" fillId="6" borderId="0" xfId="0" applyFont="1" applyFill="1" applyAlignment="1">
      <alignment horizontal="left" vertical="center"/>
    </xf>
    <xf numFmtId="0" fontId="5" fillId="6" borderId="0" xfId="0" applyFont="1" applyFill="1" applyBorder="1" applyAlignment="1">
      <alignment vertical="center"/>
    </xf>
    <xf numFmtId="0" fontId="4" fillId="6" borderId="0" xfId="0" applyFont="1" applyFill="1" applyAlignment="1">
      <alignment vertical="center"/>
    </xf>
    <xf numFmtId="0" fontId="5" fillId="6" borderId="0" xfId="0" applyFont="1" applyFill="1" applyAlignment="1">
      <alignment vertical="center"/>
    </xf>
    <xf numFmtId="0" fontId="0" fillId="0" borderId="0" xfId="0" applyFill="1" applyAlignment="1">
      <alignment vertical="center"/>
    </xf>
    <xf numFmtId="0" fontId="49" fillId="0" borderId="0" xfId="0" applyFont="1" applyFill="1" applyAlignment="1">
      <alignment horizontal="left" vertical="center"/>
    </xf>
    <xf numFmtId="0" fontId="0" fillId="0" borderId="0" xfId="0" applyFill="1"/>
    <xf numFmtId="0" fontId="0" fillId="0" borderId="1" xfId="0" applyFill="1" applyBorder="1" applyAlignment="1">
      <alignment horizontal="center" vertical="center"/>
    </xf>
    <xf numFmtId="0" fontId="0" fillId="0" borderId="0" xfId="0" applyFill="1" applyAlignment="1">
      <alignment horizontal="left" vertical="center"/>
    </xf>
    <xf numFmtId="0" fontId="0" fillId="0" borderId="0" xfId="0" applyFill="1" applyAlignment="1">
      <alignment horizontal="center" vertical="center"/>
    </xf>
    <xf numFmtId="0" fontId="49" fillId="11" borderId="1" xfId="0" applyFont="1" applyFill="1" applyBorder="1" applyAlignment="1">
      <alignment horizontal="center" vertical="center"/>
    </xf>
    <xf numFmtId="0" fontId="5" fillId="6" borderId="0" xfId="0" applyFont="1" applyFill="1" applyAlignment="1">
      <alignment wrapText="1" shrinkToFit="1"/>
    </xf>
    <xf numFmtId="0" fontId="5" fillId="6" borderId="0" xfId="0" applyFont="1" applyFill="1" applyAlignment="1">
      <alignment wrapText="1"/>
    </xf>
    <xf numFmtId="0" fontId="5" fillId="0" borderId="42" xfId="0" applyFont="1" applyBorder="1" applyAlignment="1">
      <alignment horizontal="center" vertical="center" wrapText="1"/>
    </xf>
    <xf numFmtId="0" fontId="5" fillId="0" borderId="0" xfId="0" applyFont="1" applyBorder="1" applyAlignment="1">
      <alignment horizontal="center" vertical="center" wrapText="1"/>
    </xf>
    <xf numFmtId="0" fontId="5" fillId="0" borderId="43" xfId="0" applyFont="1" applyBorder="1" applyAlignment="1">
      <alignment horizontal="center" vertical="center" wrapText="1"/>
    </xf>
    <xf numFmtId="0" fontId="5" fillId="0" borderId="50" xfId="0" applyFont="1" applyBorder="1" applyAlignment="1">
      <alignment horizontal="center" vertical="center" wrapText="1"/>
    </xf>
    <xf numFmtId="0" fontId="5" fillId="0" borderId="51" xfId="0" applyFont="1" applyBorder="1" applyAlignment="1">
      <alignment horizontal="center" vertical="center" wrapText="1"/>
    </xf>
    <xf numFmtId="0" fontId="5" fillId="0" borderId="52" xfId="0" applyFont="1" applyBorder="1" applyAlignment="1">
      <alignment horizontal="center" vertical="center" wrapText="1"/>
    </xf>
    <xf numFmtId="0" fontId="5" fillId="8" borderId="46" xfId="0" applyFont="1" applyFill="1" applyBorder="1" applyAlignment="1">
      <alignment horizontal="left" vertical="center" wrapText="1"/>
    </xf>
    <xf numFmtId="0" fontId="5" fillId="8" borderId="35" xfId="0" applyFont="1" applyFill="1" applyBorder="1" applyAlignment="1">
      <alignment horizontal="left" vertical="center" wrapText="1"/>
    </xf>
    <xf numFmtId="0" fontId="5" fillId="0" borderId="1" xfId="0" applyNumberFormat="1" applyFont="1" applyBorder="1" applyAlignment="1">
      <alignment horizontal="center" vertical="top" wrapText="1"/>
    </xf>
    <xf numFmtId="0" fontId="5" fillId="0" borderId="28" xfId="0" applyNumberFormat="1" applyFont="1" applyBorder="1" applyAlignment="1">
      <alignment horizontal="center" vertical="top" wrapText="1"/>
    </xf>
    <xf numFmtId="0" fontId="5" fillId="8" borderId="53" xfId="0" applyFont="1" applyFill="1" applyBorder="1" applyAlignment="1">
      <alignment horizontal="left" vertical="center" wrapText="1"/>
    </xf>
    <xf numFmtId="0" fontId="5" fillId="8" borderId="54" xfId="0" applyFont="1" applyFill="1" applyBorder="1" applyAlignment="1">
      <alignment horizontal="left" vertical="center" wrapText="1"/>
    </xf>
    <xf numFmtId="14" fontId="5" fillId="0" borderId="1" xfId="0" applyNumberFormat="1" applyFont="1" applyBorder="1" applyAlignment="1">
      <alignment horizontal="center" vertical="top" wrapText="1"/>
    </xf>
    <xf numFmtId="14" fontId="5" fillId="0" borderId="28" xfId="0" applyNumberFormat="1" applyFont="1" applyBorder="1" applyAlignment="1">
      <alignment horizontal="center" vertical="top" wrapText="1"/>
    </xf>
    <xf numFmtId="0" fontId="39" fillId="0" borderId="16" xfId="0" applyFont="1" applyFill="1" applyBorder="1" applyAlignment="1">
      <alignment horizontal="center" vertical="center"/>
    </xf>
    <xf numFmtId="0" fontId="39" fillId="0" borderId="35" xfId="0" applyFont="1" applyFill="1" applyBorder="1" applyAlignment="1">
      <alignment horizontal="center" vertical="center"/>
    </xf>
    <xf numFmtId="0" fontId="39" fillId="0" borderId="21" xfId="0" applyFont="1" applyFill="1" applyBorder="1" applyAlignment="1">
      <alignment horizontal="center" vertical="center"/>
    </xf>
    <xf numFmtId="0" fontId="40" fillId="0" borderId="22" xfId="1" applyFont="1" applyFill="1" applyBorder="1" applyAlignment="1" applyProtection="1">
      <alignment horizontal="center" vertical="center"/>
    </xf>
    <xf numFmtId="0" fontId="19" fillId="6" borderId="12" xfId="0" applyFont="1" applyFill="1" applyBorder="1" applyAlignment="1">
      <alignment horizontal="left" vertical="center" wrapText="1"/>
    </xf>
    <xf numFmtId="0" fontId="19" fillId="6" borderId="17" xfId="0" applyFont="1" applyFill="1" applyBorder="1" applyAlignment="1">
      <alignment horizontal="left" vertical="center" wrapText="1"/>
    </xf>
    <xf numFmtId="0" fontId="19" fillId="6" borderId="37" xfId="0" applyFont="1" applyFill="1" applyBorder="1" applyAlignment="1">
      <alignment horizontal="left" vertical="center" wrapText="1"/>
    </xf>
    <xf numFmtId="0" fontId="19" fillId="6" borderId="38" xfId="0" applyFont="1" applyFill="1" applyBorder="1" applyAlignment="1">
      <alignment horizontal="left" vertical="center" wrapText="1"/>
    </xf>
    <xf numFmtId="0" fontId="19" fillId="6" borderId="0" xfId="0" applyFont="1" applyFill="1" applyBorder="1" applyAlignment="1">
      <alignment horizontal="left" vertical="center" wrapText="1"/>
    </xf>
    <xf numFmtId="0" fontId="19" fillId="6" borderId="13" xfId="0" applyFont="1" applyFill="1" applyBorder="1" applyAlignment="1">
      <alignment horizontal="left" vertical="center" wrapText="1"/>
    </xf>
    <xf numFmtId="0" fontId="19" fillId="6" borderId="9" xfId="0" applyFont="1" applyFill="1" applyBorder="1" applyAlignment="1">
      <alignment horizontal="left" vertical="center" wrapText="1"/>
    </xf>
    <xf numFmtId="0" fontId="19" fillId="6" borderId="14" xfId="0" applyFont="1" applyFill="1" applyBorder="1" applyAlignment="1">
      <alignment horizontal="left" vertical="center" wrapText="1"/>
    </xf>
    <xf numFmtId="0" fontId="19" fillId="6" borderId="11" xfId="0" applyFont="1" applyFill="1" applyBorder="1" applyAlignment="1">
      <alignment horizontal="left" vertical="center" wrapText="1"/>
    </xf>
    <xf numFmtId="0" fontId="5" fillId="0" borderId="39" xfId="0" applyFont="1" applyBorder="1" applyAlignment="1">
      <alignment horizontal="center"/>
    </xf>
    <xf numFmtId="0" fontId="5" fillId="0" borderId="40" xfId="0" applyFont="1" applyBorder="1" applyAlignment="1">
      <alignment horizontal="center"/>
    </xf>
    <xf numFmtId="0" fontId="5" fillId="0" borderId="41" xfId="0" applyFont="1" applyBorder="1" applyAlignment="1">
      <alignment horizontal="center"/>
    </xf>
    <xf numFmtId="0" fontId="5" fillId="0" borderId="42" xfId="0" applyFont="1" applyBorder="1" applyAlignment="1">
      <alignment horizontal="center"/>
    </xf>
    <xf numFmtId="0" fontId="5" fillId="0" borderId="0" xfId="0" applyFont="1" applyBorder="1" applyAlignment="1">
      <alignment horizontal="center"/>
    </xf>
    <xf numFmtId="0" fontId="5" fillId="0" borderId="43" xfId="0" applyFont="1" applyBorder="1" applyAlignment="1">
      <alignment horizontal="center"/>
    </xf>
    <xf numFmtId="0" fontId="5" fillId="0" borderId="44" xfId="0" applyFont="1" applyBorder="1" applyAlignment="1">
      <alignment horizontal="center"/>
    </xf>
    <xf numFmtId="0" fontId="5" fillId="0" borderId="14" xfId="0" applyFont="1" applyBorder="1" applyAlignment="1">
      <alignment horizontal="center"/>
    </xf>
    <xf numFmtId="0" fontId="5" fillId="0" borderId="45" xfId="0" applyFont="1" applyBorder="1" applyAlignment="1">
      <alignment horizontal="center"/>
    </xf>
    <xf numFmtId="0" fontId="5" fillId="0" borderId="46" xfId="0" applyFont="1" applyBorder="1" applyAlignment="1">
      <alignment horizontal="center" vertical="center" wrapText="1"/>
    </xf>
    <xf numFmtId="0" fontId="5" fillId="0" borderId="35" xfId="0" applyFont="1" applyBorder="1" applyAlignment="1">
      <alignment horizontal="center" vertical="center" wrapText="1"/>
    </xf>
    <xf numFmtId="0" fontId="5" fillId="0" borderId="47" xfId="0" applyFont="1" applyBorder="1" applyAlignment="1">
      <alignment horizontal="center" vertical="center" wrapText="1"/>
    </xf>
    <xf numFmtId="0" fontId="5" fillId="8" borderId="46" xfId="0" applyFont="1" applyFill="1" applyBorder="1" applyAlignment="1">
      <alignment horizontal="left" vertical="top" wrapText="1"/>
    </xf>
    <xf numFmtId="0" fontId="5" fillId="8" borderId="35" xfId="0" applyFont="1" applyFill="1" applyBorder="1" applyAlignment="1">
      <alignment horizontal="left" vertical="top" wrapText="1"/>
    </xf>
    <xf numFmtId="0" fontId="2" fillId="0" borderId="48" xfId="0" applyFont="1" applyBorder="1" applyAlignment="1">
      <alignment horizontal="center" wrapText="1"/>
    </xf>
    <xf numFmtId="0" fontId="2" fillId="0" borderId="17" xfId="0" applyFont="1" applyBorder="1" applyAlignment="1">
      <alignment horizontal="center" wrapText="1"/>
    </xf>
    <xf numFmtId="0" fontId="2" fillId="0" borderId="49" xfId="0" applyFont="1" applyBorder="1" applyAlignment="1">
      <alignment horizontal="center" wrapText="1"/>
    </xf>
    <xf numFmtId="0" fontId="2" fillId="0" borderId="44" xfId="0" applyFont="1" applyBorder="1" applyAlignment="1">
      <alignment horizontal="center" wrapText="1"/>
    </xf>
    <xf numFmtId="0" fontId="2" fillId="0" borderId="14" xfId="0" applyFont="1" applyBorder="1" applyAlignment="1">
      <alignment horizontal="center" wrapText="1"/>
    </xf>
    <xf numFmtId="0" fontId="2" fillId="0" borderId="45" xfId="0" applyFont="1" applyBorder="1" applyAlignment="1">
      <alignment horizontal="center" wrapText="1"/>
    </xf>
    <xf numFmtId="0" fontId="38" fillId="0" borderId="1" xfId="0" applyFont="1" applyFill="1" applyBorder="1" applyAlignment="1">
      <alignment horizontal="center" vertical="center" wrapText="1"/>
    </xf>
    <xf numFmtId="0" fontId="38" fillId="0" borderId="16" xfId="0" applyFont="1" applyFill="1" applyBorder="1" applyAlignment="1">
      <alignment horizontal="center" vertical="center"/>
    </xf>
    <xf numFmtId="0" fontId="38" fillId="0" borderId="35" xfId="0" applyFont="1" applyFill="1" applyBorder="1" applyAlignment="1">
      <alignment horizontal="center" vertical="center"/>
    </xf>
    <xf numFmtId="0" fontId="38" fillId="0" borderId="21" xfId="0" applyFont="1" applyFill="1" applyBorder="1" applyAlignment="1">
      <alignment horizontal="center" vertical="center"/>
    </xf>
    <xf numFmtId="0" fontId="37" fillId="0" borderId="1" xfId="1" applyFont="1" applyFill="1" applyBorder="1" applyAlignment="1" applyProtection="1">
      <alignment horizontal="center" vertical="center"/>
    </xf>
    <xf numFmtId="0" fontId="38" fillId="0" borderId="1" xfId="0" applyFont="1" applyFill="1" applyBorder="1" applyAlignment="1">
      <alignment horizontal="center" vertical="center"/>
    </xf>
    <xf numFmtId="0" fontId="38" fillId="0" borderId="12" xfId="0" applyFont="1" applyFill="1" applyBorder="1" applyAlignment="1">
      <alignment horizontal="center" vertical="center" wrapText="1"/>
    </xf>
    <xf numFmtId="0" fontId="38" fillId="0" borderId="17" xfId="0" applyFont="1" applyFill="1" applyBorder="1" applyAlignment="1">
      <alignment horizontal="center" vertical="center"/>
    </xf>
    <xf numFmtId="0" fontId="38" fillId="0" borderId="37" xfId="0" applyFont="1" applyFill="1" applyBorder="1" applyAlignment="1">
      <alignment horizontal="center" vertical="center"/>
    </xf>
    <xf numFmtId="0" fontId="36" fillId="0" borderId="16" xfId="0" applyNumberFormat="1" applyFont="1" applyFill="1" applyBorder="1" applyAlignment="1">
      <alignment horizontal="center" vertical="center"/>
    </xf>
    <xf numFmtId="0" fontId="36" fillId="0" borderId="35" xfId="0" applyNumberFormat="1" applyFont="1" applyFill="1" applyBorder="1" applyAlignment="1">
      <alignment horizontal="center" vertical="center"/>
    </xf>
    <xf numFmtId="0" fontId="36" fillId="0" borderId="21" xfId="0" applyNumberFormat="1" applyFont="1" applyFill="1" applyBorder="1" applyAlignment="1">
      <alignment horizontal="center" vertical="center"/>
    </xf>
    <xf numFmtId="0" fontId="5" fillId="15" borderId="1" xfId="0" applyFont="1" applyFill="1" applyBorder="1" applyAlignment="1">
      <alignment horizontal="center" vertical="center" wrapText="1"/>
    </xf>
    <xf numFmtId="0" fontId="5" fillId="0" borderId="1" xfId="0" applyNumberFormat="1" applyFont="1" applyFill="1" applyBorder="1" applyAlignment="1">
      <alignment horizontal="center" vertical="center" wrapText="1"/>
    </xf>
    <xf numFmtId="0" fontId="5" fillId="9" borderId="1" xfId="0" applyFont="1" applyFill="1" applyBorder="1" applyAlignment="1">
      <alignment horizontal="center" vertical="center"/>
    </xf>
    <xf numFmtId="0" fontId="37" fillId="0" borderId="1" xfId="1" applyFont="1" applyFill="1" applyBorder="1" applyAlignment="1" applyProtection="1">
      <alignment horizontal="center" vertical="center" wrapText="1"/>
    </xf>
    <xf numFmtId="0" fontId="38" fillId="0" borderId="1" xfId="1" applyFont="1" applyFill="1" applyBorder="1" applyAlignment="1" applyProtection="1">
      <alignment horizontal="center" vertical="center" wrapText="1"/>
    </xf>
    <xf numFmtId="14" fontId="36" fillId="0" borderId="16" xfId="0" applyNumberFormat="1" applyFont="1" applyFill="1" applyBorder="1" applyAlignment="1">
      <alignment horizontal="center" vertical="center"/>
    </xf>
    <xf numFmtId="14" fontId="36" fillId="0" borderId="35" xfId="0" applyNumberFormat="1" applyFont="1" applyFill="1" applyBorder="1" applyAlignment="1">
      <alignment horizontal="center" vertical="center"/>
    </xf>
    <xf numFmtId="14" fontId="36" fillId="0" borderId="21" xfId="0" applyNumberFormat="1" applyFont="1" applyFill="1" applyBorder="1" applyAlignment="1">
      <alignment horizontal="center" vertical="center"/>
    </xf>
    <xf numFmtId="0" fontId="5" fillId="15" borderId="1" xfId="0" applyFont="1" applyFill="1" applyBorder="1" applyAlignment="1">
      <alignment horizontal="center" vertical="center"/>
    </xf>
    <xf numFmtId="0" fontId="13" fillId="8" borderId="1" xfId="0" applyFont="1" applyFill="1" applyBorder="1" applyAlignment="1">
      <alignment horizontal="center" vertical="center"/>
    </xf>
    <xf numFmtId="0" fontId="19" fillId="0" borderId="1" xfId="0" applyFont="1" applyBorder="1" applyAlignment="1">
      <alignment horizontal="center" vertical="center"/>
    </xf>
    <xf numFmtId="0" fontId="5" fillId="0" borderId="12" xfId="0" applyFont="1" applyBorder="1" applyAlignment="1" applyProtection="1">
      <alignment horizontal="center" vertical="center"/>
      <protection locked="0"/>
    </xf>
    <xf numFmtId="0" fontId="5" fillId="0" borderId="72" xfId="0" applyFont="1" applyBorder="1" applyAlignment="1" applyProtection="1">
      <alignment horizontal="center" vertical="center"/>
      <protection locked="0"/>
    </xf>
    <xf numFmtId="0" fontId="5" fillId="0" borderId="69"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4" fillId="8" borderId="1" xfId="0" applyFont="1" applyFill="1" applyBorder="1" applyAlignment="1">
      <alignment horizontal="center" vertical="center"/>
    </xf>
    <xf numFmtId="0" fontId="0" fillId="8" borderId="1" xfId="0" applyFill="1" applyBorder="1" applyAlignment="1">
      <alignment horizontal="center" vertical="center"/>
    </xf>
    <xf numFmtId="0" fontId="5" fillId="0" borderId="12" xfId="0" applyFont="1" applyBorder="1" applyAlignment="1" applyProtection="1">
      <alignment horizontal="center" vertical="center" wrapText="1"/>
      <protection locked="0"/>
    </xf>
    <xf numFmtId="0" fontId="5" fillId="0" borderId="37"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11" xfId="0" applyFont="1" applyBorder="1" applyAlignment="1" applyProtection="1">
      <alignment horizontal="center" vertical="center" wrapText="1"/>
      <protection locked="0"/>
    </xf>
    <xf numFmtId="0" fontId="4" fillId="0" borderId="1" xfId="0" applyFont="1" applyBorder="1" applyAlignment="1">
      <alignment horizontal="left" vertical="center"/>
    </xf>
    <xf numFmtId="0" fontId="5" fillId="8" borderId="22" xfId="0" applyFont="1" applyFill="1" applyBorder="1" applyAlignment="1" applyProtection="1">
      <alignment horizontal="center" vertical="center"/>
      <protection locked="0"/>
    </xf>
    <xf numFmtId="0" fontId="5" fillId="8" borderId="71" xfId="0" applyFont="1" applyFill="1" applyBorder="1" applyAlignment="1" applyProtection="1">
      <alignment horizontal="center" vertical="center"/>
      <protection locked="0"/>
    </xf>
    <xf numFmtId="0" fontId="5" fillId="8" borderId="36" xfId="0" applyFont="1" applyFill="1" applyBorder="1" applyAlignment="1" applyProtection="1">
      <alignment horizontal="center" vertical="center"/>
      <protection locked="0"/>
    </xf>
    <xf numFmtId="0" fontId="5" fillId="0" borderId="1" xfId="0" applyNumberFormat="1" applyFont="1" applyBorder="1" applyAlignment="1">
      <alignment horizontal="center" vertical="center"/>
    </xf>
    <xf numFmtId="0" fontId="0" fillId="0" borderId="1" xfId="0" applyNumberFormat="1" applyBorder="1" applyAlignment="1">
      <alignment horizontal="center" vertical="center"/>
    </xf>
    <xf numFmtId="49" fontId="5" fillId="0" borderId="7" xfId="0" applyNumberFormat="1" applyFont="1" applyBorder="1" applyAlignment="1">
      <alignment horizontal="center" vertical="center" wrapText="1"/>
    </xf>
    <xf numFmtId="49" fontId="5" fillId="0" borderId="62" xfId="0" applyNumberFormat="1" applyFont="1" applyBorder="1" applyAlignment="1">
      <alignment horizontal="center" vertical="center" wrapText="1"/>
    </xf>
    <xf numFmtId="49" fontId="5" fillId="0" borderId="6" xfId="0" applyNumberFormat="1" applyFont="1" applyBorder="1" applyAlignment="1">
      <alignment horizontal="center" vertical="center" wrapText="1"/>
    </xf>
    <xf numFmtId="0" fontId="5" fillId="0" borderId="22" xfId="0" applyFont="1" applyBorder="1" applyAlignment="1" applyProtection="1">
      <alignment horizontal="center" vertical="center"/>
      <protection locked="0"/>
    </xf>
    <xf numFmtId="0" fontId="5" fillId="0" borderId="36" xfId="0" applyFont="1" applyBorder="1" applyAlignment="1" applyProtection="1">
      <alignment horizontal="center" vertical="center"/>
      <protection locked="0"/>
    </xf>
    <xf numFmtId="49" fontId="5" fillId="0" borderId="38" xfId="0" applyNumberFormat="1" applyFont="1" applyBorder="1" applyAlignment="1">
      <alignment horizontal="center" vertical="center" wrapText="1"/>
    </xf>
    <xf numFmtId="49" fontId="5" fillId="0" borderId="0" xfId="0" applyNumberFormat="1" applyFont="1" applyBorder="1" applyAlignment="1">
      <alignment horizontal="center" vertical="center" wrapText="1"/>
    </xf>
    <xf numFmtId="49" fontId="5" fillId="0" borderId="13" xfId="0" applyNumberFormat="1" applyFont="1" applyBorder="1" applyAlignment="1">
      <alignment horizontal="center" vertical="center" wrapText="1"/>
    </xf>
    <xf numFmtId="0" fontId="18" fillId="8" borderId="12" xfId="0" applyFont="1" applyFill="1" applyBorder="1" applyAlignment="1">
      <alignment horizontal="center" vertical="center"/>
    </xf>
    <xf numFmtId="0" fontId="18" fillId="8" borderId="17" xfId="0" applyFont="1" applyFill="1" applyBorder="1" applyAlignment="1">
      <alignment horizontal="center" vertical="center"/>
    </xf>
    <xf numFmtId="0" fontId="18" fillId="8" borderId="37" xfId="0" applyFont="1" applyFill="1" applyBorder="1" applyAlignment="1">
      <alignment horizontal="center" vertical="center"/>
    </xf>
    <xf numFmtId="0" fontId="18" fillId="8" borderId="16" xfId="0" applyFont="1" applyFill="1" applyBorder="1" applyAlignment="1">
      <alignment horizontal="center" vertical="center"/>
    </xf>
    <xf numFmtId="0" fontId="18" fillId="8" borderId="35" xfId="0" applyFont="1" applyFill="1" applyBorder="1" applyAlignment="1">
      <alignment horizontal="center" vertical="center"/>
    </xf>
    <xf numFmtId="0" fontId="18" fillId="8" borderId="21" xfId="0" applyFont="1" applyFill="1" applyBorder="1" applyAlignment="1">
      <alignment horizontal="center" vertical="center"/>
    </xf>
    <xf numFmtId="0" fontId="5" fillId="0" borderId="61" xfId="0" applyFont="1" applyFill="1" applyBorder="1" applyAlignment="1" applyProtection="1">
      <alignment horizontal="center" vertical="center"/>
      <protection locked="0"/>
    </xf>
    <xf numFmtId="0" fontId="5" fillId="0" borderId="62" xfId="0"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70" xfId="0" applyFont="1" applyFill="1" applyBorder="1" applyAlignment="1" applyProtection="1">
      <alignment horizontal="center" vertical="center"/>
      <protection locked="0"/>
    </xf>
    <xf numFmtId="0" fontId="5" fillId="0" borderId="14"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0" fontId="18" fillId="3" borderId="9" xfId="0" applyFont="1" applyFill="1" applyBorder="1" applyAlignment="1">
      <alignment horizontal="center" vertical="center"/>
    </xf>
    <xf numFmtId="0" fontId="18" fillId="3" borderId="14" xfId="0" applyFont="1" applyFill="1" applyBorder="1" applyAlignment="1">
      <alignment horizontal="center" vertical="center"/>
    </xf>
    <xf numFmtId="0" fontId="18" fillId="3" borderId="11" xfId="0" applyFont="1" applyFill="1" applyBorder="1" applyAlignment="1">
      <alignment horizontal="center" vertical="center"/>
    </xf>
    <xf numFmtId="0" fontId="5" fillId="7" borderId="12" xfId="0" applyFont="1" applyFill="1" applyBorder="1" applyAlignment="1">
      <alignment horizontal="center" vertical="center" wrapText="1"/>
    </xf>
    <xf numFmtId="0" fontId="5" fillId="7" borderId="17" xfId="0" applyFont="1" applyFill="1" applyBorder="1" applyAlignment="1">
      <alignment horizontal="center" vertical="center" wrapText="1"/>
    </xf>
    <xf numFmtId="0" fontId="5" fillId="7" borderId="37" xfId="0" applyFont="1" applyFill="1" applyBorder="1" applyAlignment="1">
      <alignment horizontal="center" vertical="center" wrapText="1"/>
    </xf>
    <xf numFmtId="49" fontId="5" fillId="0" borderId="12" xfId="0" applyNumberFormat="1" applyFont="1" applyBorder="1" applyAlignment="1">
      <alignment horizontal="center" vertical="center" wrapText="1"/>
    </xf>
    <xf numFmtId="49" fontId="5" fillId="0" borderId="17" xfId="0" applyNumberFormat="1" applyFont="1" applyBorder="1" applyAlignment="1">
      <alignment horizontal="center" vertical="center" wrapText="1"/>
    </xf>
    <xf numFmtId="49" fontId="5" fillId="0" borderId="37" xfId="0" applyNumberFormat="1" applyFont="1" applyBorder="1" applyAlignment="1">
      <alignment horizontal="center" vertical="center" wrapText="1"/>
    </xf>
    <xf numFmtId="49" fontId="5" fillId="0" borderId="61" xfId="0" applyNumberFormat="1" applyFont="1" applyFill="1" applyBorder="1" applyAlignment="1" applyProtection="1">
      <alignment horizontal="center" vertical="center"/>
      <protection locked="0"/>
    </xf>
    <xf numFmtId="49" fontId="5" fillId="0" borderId="62" xfId="0" applyNumberFormat="1" applyFont="1" applyFill="1" applyBorder="1" applyAlignment="1" applyProtection="1">
      <alignment horizontal="center" vertical="center"/>
      <protection locked="0"/>
    </xf>
    <xf numFmtId="49" fontId="5" fillId="0" borderId="6" xfId="0" applyNumberFormat="1" applyFont="1" applyFill="1" applyBorder="1" applyAlignment="1" applyProtection="1">
      <alignment horizontal="center" vertical="center"/>
      <protection locked="0"/>
    </xf>
    <xf numFmtId="0" fontId="4" fillId="0" borderId="36" xfId="0" applyFont="1" applyFill="1" applyBorder="1" applyAlignment="1">
      <alignment horizontal="left" vertical="center"/>
    </xf>
    <xf numFmtId="0" fontId="4" fillId="0" borderId="69" xfId="0" applyFont="1" applyFill="1" applyBorder="1" applyAlignment="1">
      <alignment horizontal="left" vertical="center"/>
    </xf>
    <xf numFmtId="0" fontId="1" fillId="0" borderId="11" xfId="1" applyFill="1" applyBorder="1" applyAlignment="1" applyProtection="1">
      <alignment horizontal="center" vertical="center"/>
      <protection locked="0"/>
    </xf>
    <xf numFmtId="0" fontId="19" fillId="0" borderId="36" xfId="0" applyFont="1" applyFill="1" applyBorder="1" applyAlignment="1" applyProtection="1">
      <alignment horizontal="center" vertical="center"/>
      <protection locked="0"/>
    </xf>
    <xf numFmtId="0" fontId="5" fillId="0" borderId="61" xfId="0" applyNumberFormat="1" applyFont="1" applyFill="1" applyBorder="1" applyAlignment="1" applyProtection="1">
      <alignment horizontal="center" vertical="center" wrapText="1"/>
      <protection locked="0"/>
    </xf>
    <xf numFmtId="0" fontId="5" fillId="0" borderId="62" xfId="0" applyNumberFormat="1" applyFont="1" applyFill="1" applyBorder="1" applyAlignment="1" applyProtection="1">
      <alignment horizontal="center" vertical="center"/>
      <protection locked="0"/>
    </xf>
    <xf numFmtId="0" fontId="5" fillId="0" borderId="6" xfId="0" applyNumberFormat="1" applyFont="1" applyFill="1" applyBorder="1" applyAlignment="1" applyProtection="1">
      <alignment horizontal="center" vertical="center"/>
      <protection locked="0"/>
    </xf>
    <xf numFmtId="0" fontId="4" fillId="0" borderId="20" xfId="0" applyFont="1" applyFill="1" applyBorder="1" applyAlignment="1">
      <alignment horizontal="left" vertical="center"/>
    </xf>
    <xf numFmtId="0" fontId="4" fillId="0" borderId="8" xfId="0" applyFont="1" applyFill="1" applyBorder="1" applyAlignment="1">
      <alignment horizontal="left" vertical="center"/>
    </xf>
    <xf numFmtId="49" fontId="5" fillId="0" borderId="68" xfId="0" applyNumberFormat="1" applyFont="1" applyFill="1" applyBorder="1" applyAlignment="1" applyProtection="1">
      <alignment horizontal="center" vertical="center"/>
      <protection locked="0"/>
    </xf>
    <xf numFmtId="0" fontId="5" fillId="0" borderId="19" xfId="0" applyNumberFormat="1" applyFont="1" applyFill="1" applyBorder="1" applyAlignment="1" applyProtection="1">
      <alignment horizontal="center" vertical="center"/>
      <protection locked="0"/>
    </xf>
    <xf numFmtId="0" fontId="5" fillId="0" borderId="19" xfId="0" applyFont="1" applyFill="1" applyBorder="1" applyAlignment="1" applyProtection="1">
      <alignment horizontal="center" vertical="center"/>
      <protection locked="0"/>
    </xf>
    <xf numFmtId="0" fontId="1" fillId="0" borderId="61" xfId="1" applyNumberFormat="1" applyFill="1" applyBorder="1" applyAlignment="1" applyProtection="1">
      <alignment horizontal="center" vertical="center"/>
    </xf>
    <xf numFmtId="0" fontId="1" fillId="0" borderId="62" xfId="1" applyNumberFormat="1" applyFill="1" applyBorder="1" applyAlignment="1" applyProtection="1">
      <alignment horizontal="center" vertical="center"/>
    </xf>
    <xf numFmtId="0" fontId="1" fillId="0" borderId="6" xfId="1" applyNumberFormat="1" applyFill="1" applyBorder="1" applyAlignment="1" applyProtection="1">
      <alignment horizontal="center" vertical="center"/>
    </xf>
    <xf numFmtId="14" fontId="42" fillId="0" borderId="63" xfId="0" applyNumberFormat="1" applyFont="1" applyFill="1" applyBorder="1" applyAlignment="1">
      <alignment horizontal="center" vertical="center" wrapText="1"/>
    </xf>
    <xf numFmtId="14" fontId="42" fillId="0" borderId="64" xfId="0" applyNumberFormat="1" applyFont="1" applyFill="1" applyBorder="1" applyAlignment="1">
      <alignment horizontal="center" vertical="center" wrapText="1"/>
    </xf>
    <xf numFmtId="14" fontId="42" fillId="0" borderId="65" xfId="0" applyNumberFormat="1" applyFont="1" applyFill="1" applyBorder="1" applyAlignment="1">
      <alignment horizontal="center" vertical="center" wrapText="1"/>
    </xf>
    <xf numFmtId="0" fontId="18" fillId="3" borderId="38" xfId="0" applyFont="1" applyFill="1" applyBorder="1" applyAlignment="1">
      <alignment horizontal="center" vertical="center"/>
    </xf>
    <xf numFmtId="0" fontId="18" fillId="3" borderId="0" xfId="0" applyFont="1" applyFill="1" applyBorder="1" applyAlignment="1">
      <alignment horizontal="center" vertical="center"/>
    </xf>
    <xf numFmtId="0" fontId="18" fillId="3" borderId="13" xfId="0" applyFont="1" applyFill="1" applyBorder="1" applyAlignment="1">
      <alignment horizontal="center" vertical="center"/>
    </xf>
    <xf numFmtId="0" fontId="5" fillId="0" borderId="66" xfId="0" applyNumberFormat="1" applyFont="1" applyFill="1" applyBorder="1" applyAlignment="1" applyProtection="1">
      <alignment horizontal="center" vertical="center"/>
      <protection locked="0"/>
    </xf>
    <xf numFmtId="0" fontId="5" fillId="0" borderId="17" xfId="0" applyNumberFormat="1" applyFont="1" applyFill="1" applyBorder="1" applyAlignment="1" applyProtection="1">
      <alignment horizontal="center" vertical="center"/>
      <protection locked="0"/>
    </xf>
    <xf numFmtId="0" fontId="5" fillId="0" borderId="37" xfId="0" applyNumberFormat="1" applyFont="1" applyFill="1" applyBorder="1" applyAlignment="1" applyProtection="1">
      <alignment horizontal="center" vertical="center"/>
      <protection locked="0"/>
    </xf>
    <xf numFmtId="0" fontId="4" fillId="0" borderId="22" xfId="0" applyFont="1" applyFill="1" applyBorder="1" applyAlignment="1">
      <alignment horizontal="left" vertical="center"/>
    </xf>
    <xf numFmtId="0" fontId="4" fillId="0" borderId="67" xfId="0" applyFont="1" applyFill="1" applyBorder="1" applyAlignment="1">
      <alignment horizontal="left" vertical="center"/>
    </xf>
    <xf numFmtId="49" fontId="5" fillId="0" borderId="17" xfId="0" applyNumberFormat="1" applyFont="1" applyFill="1" applyBorder="1" applyAlignment="1" applyProtection="1">
      <alignment horizontal="center" vertical="center"/>
      <protection locked="0"/>
    </xf>
    <xf numFmtId="0" fontId="18" fillId="3" borderId="12" xfId="0" applyFont="1" applyFill="1" applyBorder="1" applyAlignment="1" applyProtection="1">
      <alignment horizontal="center" vertical="center"/>
    </xf>
    <xf numFmtId="0" fontId="18" fillId="3" borderId="17" xfId="0" applyFont="1" applyFill="1" applyBorder="1" applyAlignment="1" applyProtection="1">
      <alignment horizontal="center" vertical="center"/>
    </xf>
    <xf numFmtId="0" fontId="18" fillId="3" borderId="37" xfId="0" applyFont="1" applyFill="1" applyBorder="1" applyAlignment="1" applyProtection="1">
      <alignment horizontal="center" vertical="center"/>
    </xf>
    <xf numFmtId="49" fontId="5" fillId="0" borderId="60" xfId="0" applyNumberFormat="1" applyFont="1" applyBorder="1" applyAlignment="1" applyProtection="1">
      <alignment horizontal="center" vertical="center"/>
      <protection locked="0"/>
    </xf>
    <xf numFmtId="0" fontId="5" fillId="0" borderId="56" xfId="0" applyNumberFormat="1" applyFont="1" applyBorder="1" applyAlignment="1" applyProtection="1">
      <alignment horizontal="center" vertical="center"/>
      <protection locked="0"/>
    </xf>
    <xf numFmtId="0" fontId="5" fillId="0" borderId="57" xfId="0" applyNumberFormat="1" applyFont="1" applyBorder="1" applyAlignment="1" applyProtection="1">
      <alignment horizontal="center" vertical="center"/>
      <protection locked="0"/>
    </xf>
    <xf numFmtId="49" fontId="42" fillId="0" borderId="61" xfId="0" applyNumberFormat="1" applyFont="1" applyFill="1" applyBorder="1" applyAlignment="1">
      <alignment horizontal="center" vertical="center"/>
    </xf>
    <xf numFmtId="0" fontId="42" fillId="0" borderId="62" xfId="0" applyNumberFormat="1" applyFont="1" applyFill="1" applyBorder="1" applyAlignment="1">
      <alignment horizontal="center" vertical="center"/>
    </xf>
    <xf numFmtId="0" fontId="42" fillId="0" borderId="6" xfId="0" applyNumberFormat="1" applyFont="1" applyFill="1" applyBorder="1" applyAlignment="1">
      <alignment horizontal="center" vertical="center"/>
    </xf>
    <xf numFmtId="0" fontId="4" fillId="0" borderId="12" xfId="0" applyFont="1" applyBorder="1" applyAlignment="1">
      <alignment horizontal="left" vertical="center"/>
    </xf>
    <xf numFmtId="0" fontId="4" fillId="0" borderId="38" xfId="0" applyFont="1" applyBorder="1" applyAlignment="1">
      <alignment horizontal="left" vertical="center"/>
    </xf>
    <xf numFmtId="0" fontId="4" fillId="0" borderId="9" xfId="0" applyFont="1" applyBorder="1" applyAlignment="1">
      <alignment horizontal="left" vertical="center"/>
    </xf>
    <xf numFmtId="49" fontId="5" fillId="0" borderId="12" xfId="0" applyNumberFormat="1" applyFont="1" applyBorder="1" applyAlignment="1">
      <alignment horizontal="center" vertical="center"/>
    </xf>
    <xf numFmtId="49" fontId="5" fillId="0" borderId="17" xfId="0" applyNumberFormat="1" applyFont="1" applyBorder="1" applyAlignment="1">
      <alignment horizontal="center" vertical="center"/>
    </xf>
    <xf numFmtId="49" fontId="5" fillId="0" borderId="37" xfId="0" applyNumberFormat="1" applyFont="1" applyBorder="1" applyAlignment="1">
      <alignment horizontal="center" vertical="center"/>
    </xf>
    <xf numFmtId="49" fontId="5" fillId="0" borderId="38" xfId="0" applyNumberFormat="1" applyFont="1" applyBorder="1" applyAlignment="1">
      <alignment horizontal="center" vertical="center"/>
    </xf>
    <xf numFmtId="49" fontId="5" fillId="0" borderId="0" xfId="0" applyNumberFormat="1" applyFont="1" applyBorder="1" applyAlignment="1">
      <alignment horizontal="center" vertical="center"/>
    </xf>
    <xf numFmtId="49" fontId="5" fillId="0" borderId="13" xfId="0" applyNumberFormat="1" applyFont="1" applyBorder="1" applyAlignment="1">
      <alignment horizontal="center" vertical="center"/>
    </xf>
    <xf numFmtId="49" fontId="5" fillId="0" borderId="9" xfId="0" applyNumberFormat="1" applyFont="1" applyBorder="1" applyAlignment="1">
      <alignment horizontal="center" vertical="center"/>
    </xf>
    <xf numFmtId="49" fontId="5" fillId="0" borderId="14" xfId="0" applyNumberFormat="1" applyFont="1" applyBorder="1" applyAlignment="1">
      <alignment horizontal="center" vertical="center"/>
    </xf>
    <xf numFmtId="49" fontId="5" fillId="0" borderId="11" xfId="0" applyNumberFormat="1" applyFont="1" applyBorder="1" applyAlignment="1">
      <alignment horizontal="center" vertical="center"/>
    </xf>
    <xf numFmtId="14" fontId="5" fillId="0" borderId="22" xfId="0" applyNumberFormat="1" applyFont="1" applyBorder="1" applyAlignment="1">
      <alignment horizontal="center" vertical="center"/>
    </xf>
    <xf numFmtId="49" fontId="5" fillId="0" borderId="58" xfId="0" applyNumberFormat="1" applyFont="1" applyBorder="1" applyAlignment="1">
      <alignment horizontal="center" vertical="center"/>
    </xf>
    <xf numFmtId="49" fontId="0" fillId="0" borderId="58" xfId="0" applyNumberFormat="1" applyBorder="1" applyAlignment="1">
      <alignment horizontal="center" vertical="center"/>
    </xf>
    <xf numFmtId="0" fontId="4" fillId="0" borderId="22" xfId="0" applyFont="1" applyBorder="1" applyAlignment="1">
      <alignment horizontal="left" vertical="center"/>
    </xf>
    <xf numFmtId="0" fontId="4" fillId="0" borderId="36" xfId="0" applyFont="1" applyBorder="1" applyAlignment="1">
      <alignment horizontal="left" vertical="center"/>
    </xf>
    <xf numFmtId="49" fontId="5" fillId="0" borderId="1" xfId="0" applyNumberFormat="1" applyFont="1" applyBorder="1" applyAlignment="1">
      <alignment horizontal="center" vertical="center"/>
    </xf>
    <xf numFmtId="49" fontId="5" fillId="0" borderId="16" xfId="0" applyNumberFormat="1" applyFont="1" applyBorder="1" applyAlignment="1">
      <alignment horizontal="center" vertical="center"/>
    </xf>
    <xf numFmtId="0" fontId="4" fillId="0" borderId="22" xfId="0" applyFont="1" applyBorder="1" applyAlignment="1">
      <alignment horizontal="center" vertical="center"/>
    </xf>
    <xf numFmtId="0" fontId="5" fillId="0" borderId="59" xfId="0" applyFont="1" applyBorder="1" applyAlignment="1">
      <alignment horizontal="center" vertical="center"/>
    </xf>
    <xf numFmtId="0" fontId="5" fillId="0" borderId="20" xfId="0" applyFont="1" applyBorder="1" applyAlignment="1">
      <alignment horizontal="center" vertical="center"/>
    </xf>
    <xf numFmtId="0" fontId="5" fillId="0" borderId="1" xfId="0" applyFont="1" applyBorder="1" applyAlignment="1">
      <alignment horizontal="center" vertical="center"/>
    </xf>
    <xf numFmtId="0" fontId="4" fillId="0" borderId="16" xfId="0" applyFont="1" applyBorder="1" applyAlignment="1">
      <alignment horizontal="center" vertical="center"/>
    </xf>
    <xf numFmtId="0" fontId="4" fillId="0" borderId="21" xfId="0" applyFont="1" applyBorder="1" applyAlignment="1">
      <alignment horizontal="center" vertical="center"/>
    </xf>
    <xf numFmtId="14" fontId="5" fillId="0" borderId="1" xfId="0" applyNumberFormat="1" applyFont="1" applyBorder="1" applyAlignment="1">
      <alignment horizontal="center" vertical="center"/>
    </xf>
    <xf numFmtId="0" fontId="4" fillId="0" borderId="55" xfId="0" applyFont="1" applyBorder="1" applyAlignment="1">
      <alignment horizontal="center" vertical="center" wrapText="1"/>
    </xf>
    <xf numFmtId="0" fontId="4" fillId="0" borderId="56" xfId="0" applyFont="1" applyBorder="1" applyAlignment="1">
      <alignment horizontal="center" vertical="center" wrapText="1"/>
    </xf>
    <xf numFmtId="0" fontId="4" fillId="0" borderId="57" xfId="0" applyFont="1" applyBorder="1" applyAlignment="1">
      <alignment horizontal="center" vertical="center" wrapText="1"/>
    </xf>
    <xf numFmtId="0" fontId="7" fillId="16" borderId="1" xfId="0" applyFont="1" applyFill="1" applyBorder="1" applyAlignment="1">
      <alignment horizontal="center" vertical="center" wrapText="1"/>
    </xf>
    <xf numFmtId="0" fontId="41" fillId="0" borderId="1" xfId="0" applyFont="1" applyBorder="1" applyAlignment="1">
      <alignment horizontal="center" vertical="center"/>
    </xf>
    <xf numFmtId="0" fontId="4" fillId="8" borderId="16" xfId="0" applyFont="1" applyFill="1" applyBorder="1" applyAlignment="1">
      <alignment horizontal="center" vertical="center" wrapText="1"/>
    </xf>
    <xf numFmtId="0" fontId="4" fillId="8" borderId="35" xfId="0" applyFont="1" applyFill="1" applyBorder="1" applyAlignment="1">
      <alignment horizontal="center" vertical="center" wrapText="1"/>
    </xf>
    <xf numFmtId="0" fontId="4" fillId="8" borderId="21" xfId="0" applyFont="1" applyFill="1" applyBorder="1" applyAlignment="1">
      <alignment horizontal="center" vertical="center" wrapText="1"/>
    </xf>
    <xf numFmtId="0" fontId="0" fillId="0" borderId="22" xfId="0" applyBorder="1" applyAlignment="1">
      <alignment horizontal="center" vertical="center" wrapText="1"/>
    </xf>
    <xf numFmtId="0" fontId="0" fillId="0" borderId="71" xfId="0" applyBorder="1" applyAlignment="1">
      <alignment horizontal="center" vertical="center" wrapText="1"/>
    </xf>
    <xf numFmtId="0" fontId="0" fillId="0" borderId="36" xfId="0" applyBorder="1" applyAlignment="1">
      <alignment horizontal="center" vertical="center" wrapText="1"/>
    </xf>
    <xf numFmtId="0" fontId="0" fillId="0" borderId="1" xfId="0" applyBorder="1" applyAlignment="1">
      <alignment horizontal="center" vertical="center" wrapText="1"/>
    </xf>
    <xf numFmtId="0" fontId="5" fillId="0" borderId="12"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38"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9"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2" xfId="0" applyFont="1" applyBorder="1" applyAlignment="1">
      <alignment horizontal="center" vertical="center"/>
    </xf>
    <xf numFmtId="0" fontId="5" fillId="0" borderId="17" xfId="0" applyFont="1" applyBorder="1" applyAlignment="1">
      <alignment horizontal="center" vertical="center"/>
    </xf>
    <xf numFmtId="0" fontId="5" fillId="0" borderId="37" xfId="0" applyFont="1" applyBorder="1" applyAlignment="1">
      <alignment horizontal="center" vertical="center"/>
    </xf>
    <xf numFmtId="0" fontId="5" fillId="0" borderId="38" xfId="0" applyFont="1" applyBorder="1" applyAlignment="1">
      <alignment horizontal="center" vertical="center"/>
    </xf>
    <xf numFmtId="0" fontId="5" fillId="0" borderId="0" xfId="0" applyFont="1" applyBorder="1" applyAlignment="1">
      <alignment horizontal="center" vertical="center"/>
    </xf>
    <xf numFmtId="0" fontId="5" fillId="0" borderId="13" xfId="0" applyFont="1" applyBorder="1" applyAlignment="1">
      <alignment horizontal="center" vertical="center"/>
    </xf>
    <xf numFmtId="0" fontId="5" fillId="0" borderId="9" xfId="0" applyFont="1" applyBorder="1" applyAlignment="1">
      <alignment horizontal="center" vertical="center"/>
    </xf>
    <xf numFmtId="0" fontId="5" fillId="0" borderId="14" xfId="0" applyFont="1" applyBorder="1" applyAlignment="1">
      <alignment horizontal="center" vertical="center"/>
    </xf>
    <xf numFmtId="0" fontId="5" fillId="0" borderId="11" xfId="0" applyFont="1" applyBorder="1" applyAlignment="1">
      <alignment horizontal="center" vertical="center"/>
    </xf>
    <xf numFmtId="0" fontId="5" fillId="0" borderId="22" xfId="0" applyFont="1" applyBorder="1" applyAlignment="1">
      <alignment horizontal="center" vertical="center"/>
    </xf>
    <xf numFmtId="0" fontId="5" fillId="0" borderId="71" xfId="0" applyFont="1" applyBorder="1" applyAlignment="1">
      <alignment horizontal="center" vertical="center"/>
    </xf>
    <xf numFmtId="0" fontId="5" fillId="0" borderId="36" xfId="0" applyFont="1" applyBorder="1" applyAlignment="1">
      <alignment horizontal="center" vertical="center"/>
    </xf>
    <xf numFmtId="0" fontId="0" fillId="8" borderId="16" xfId="0" applyFill="1" applyBorder="1" applyAlignment="1">
      <alignment horizontal="center" vertical="center" wrapText="1"/>
    </xf>
    <xf numFmtId="0" fontId="0" fillId="8" borderId="35" xfId="0" applyFill="1" applyBorder="1" applyAlignment="1">
      <alignment horizontal="center" vertical="center" wrapText="1"/>
    </xf>
    <xf numFmtId="0" fontId="0" fillId="8" borderId="21" xfId="0" applyFill="1" applyBorder="1" applyAlignment="1">
      <alignment horizontal="center" vertical="center" wrapText="1"/>
    </xf>
    <xf numFmtId="0" fontId="0" fillId="0" borderId="12" xfId="0" applyBorder="1" applyAlignment="1">
      <alignment horizontal="center" vertical="center" wrapText="1"/>
    </xf>
    <xf numFmtId="0" fontId="0" fillId="0" borderId="37" xfId="0" applyBorder="1" applyAlignment="1">
      <alignment horizontal="center" vertical="center" wrapText="1"/>
    </xf>
    <xf numFmtId="0" fontId="0" fillId="0" borderId="38" xfId="0" applyBorder="1" applyAlignment="1">
      <alignment horizontal="center" vertical="center" wrapText="1"/>
    </xf>
    <xf numFmtId="0" fontId="0" fillId="0" borderId="13" xfId="0" applyBorder="1" applyAlignment="1">
      <alignment horizontal="center" vertical="center" wrapText="1"/>
    </xf>
    <xf numFmtId="0" fontId="0" fillId="0" borderId="9"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xf>
    <xf numFmtId="0" fontId="0" fillId="0" borderId="17" xfId="0" applyBorder="1" applyAlignment="1">
      <alignment horizontal="center" vertical="center"/>
    </xf>
    <xf numFmtId="0" fontId="0" fillId="0" borderId="37" xfId="0" applyBorder="1" applyAlignment="1">
      <alignment horizontal="center" vertical="center"/>
    </xf>
    <xf numFmtId="0" fontId="0" fillId="0" borderId="38" xfId="0" applyBorder="1" applyAlignment="1">
      <alignment horizontal="center" vertical="center"/>
    </xf>
    <xf numFmtId="0" fontId="0" fillId="0" borderId="0" xfId="0" applyBorder="1" applyAlignment="1">
      <alignment horizontal="center" vertical="center"/>
    </xf>
    <xf numFmtId="0" fontId="0" fillId="0" borderId="13" xfId="0" applyBorder="1" applyAlignment="1">
      <alignment horizontal="center" vertical="center"/>
    </xf>
    <xf numFmtId="0" fontId="0" fillId="0" borderId="9" xfId="0" applyBorder="1" applyAlignment="1">
      <alignment horizontal="center" vertical="center"/>
    </xf>
    <xf numFmtId="0" fontId="0" fillId="0" borderId="14" xfId="0" applyBorder="1" applyAlignment="1">
      <alignment horizontal="center" vertical="center"/>
    </xf>
    <xf numFmtId="0" fontId="0" fillId="0" borderId="11" xfId="0" applyBorder="1" applyAlignment="1">
      <alignment horizontal="center" vertical="center"/>
    </xf>
    <xf numFmtId="0" fontId="0" fillId="0" borderId="22" xfId="0" applyBorder="1" applyAlignment="1">
      <alignment horizontal="center" vertical="center"/>
    </xf>
    <xf numFmtId="0" fontId="0" fillId="0" borderId="71" xfId="0" applyBorder="1" applyAlignment="1">
      <alignment horizontal="center" vertical="center"/>
    </xf>
    <xf numFmtId="0" fontId="0" fillId="0" borderId="36" xfId="0" applyBorder="1" applyAlignment="1">
      <alignment horizontal="center" vertical="center"/>
    </xf>
    <xf numFmtId="0" fontId="0" fillId="0" borderId="1" xfId="0" applyBorder="1" applyAlignment="1">
      <alignment horizontal="center" vertical="center"/>
    </xf>
    <xf numFmtId="0" fontId="19" fillId="8" borderId="22" xfId="0" applyFont="1" applyFill="1" applyBorder="1" applyAlignment="1">
      <alignment horizontal="center" vertical="center" textRotation="180" wrapText="1"/>
    </xf>
    <xf numFmtId="0" fontId="19" fillId="8" borderId="71" xfId="0" applyFont="1" applyFill="1" applyBorder="1" applyAlignment="1">
      <alignment horizontal="center" vertical="center" textRotation="180" wrapText="1"/>
    </xf>
    <xf numFmtId="0" fontId="19" fillId="8" borderId="36" xfId="0" applyFont="1" applyFill="1" applyBorder="1" applyAlignment="1">
      <alignment horizontal="center" vertical="center" textRotation="180" wrapText="1"/>
    </xf>
    <xf numFmtId="0" fontId="4" fillId="11" borderId="16" xfId="0" applyFont="1" applyFill="1" applyBorder="1" applyAlignment="1">
      <alignment horizontal="center" vertical="center"/>
    </xf>
    <xf numFmtId="0" fontId="4" fillId="11" borderId="35" xfId="0" applyFont="1" applyFill="1" applyBorder="1" applyAlignment="1">
      <alignment horizontal="center" vertical="center"/>
    </xf>
    <xf numFmtId="0" fontId="7" fillId="8" borderId="1" xfId="0" applyFont="1" applyFill="1" applyBorder="1" applyAlignment="1">
      <alignment horizontal="center" vertical="center"/>
    </xf>
    <xf numFmtId="49" fontId="0" fillId="0" borderId="1" xfId="0" applyNumberFormat="1" applyBorder="1" applyAlignment="1">
      <alignment horizontal="center" vertical="center"/>
    </xf>
    <xf numFmtId="0" fontId="4" fillId="8" borderId="16" xfId="0" applyFont="1" applyFill="1" applyBorder="1" applyAlignment="1">
      <alignment horizontal="center" vertical="center"/>
    </xf>
    <xf numFmtId="0" fontId="4" fillId="8" borderId="35" xfId="0" applyFont="1" applyFill="1" applyBorder="1" applyAlignment="1">
      <alignment horizontal="center" vertical="center"/>
    </xf>
    <xf numFmtId="0" fontId="4" fillId="8" borderId="21" xfId="0" applyFont="1" applyFill="1" applyBorder="1" applyAlignment="1">
      <alignment horizontal="center" vertical="center"/>
    </xf>
    <xf numFmtId="14" fontId="0" fillId="0" borderId="22" xfId="0" applyNumberFormat="1" applyBorder="1" applyAlignment="1">
      <alignment horizontal="center" vertical="center"/>
    </xf>
    <xf numFmtId="14" fontId="0" fillId="0" borderId="1" xfId="0" applyNumberFormat="1" applyBorder="1" applyAlignment="1">
      <alignment horizontal="center" vertical="center"/>
    </xf>
    <xf numFmtId="0" fontId="4" fillId="0" borderId="1" xfId="0" applyNumberFormat="1" applyFont="1" applyFill="1" applyBorder="1" applyAlignment="1">
      <alignment horizontal="center" vertical="center"/>
    </xf>
    <xf numFmtId="0" fontId="4" fillId="3" borderId="1" xfId="0" applyFont="1" applyFill="1" applyBorder="1" applyAlignment="1">
      <alignment horizontal="center" vertical="center" wrapText="1"/>
    </xf>
    <xf numFmtId="0" fontId="0" fillId="0" borderId="16" xfId="0" applyNumberFormat="1" applyBorder="1" applyAlignment="1">
      <alignment horizontal="center" vertical="center"/>
    </xf>
    <xf numFmtId="0" fontId="21" fillId="0" borderId="1" xfId="0" applyFont="1" applyFill="1" applyBorder="1" applyAlignment="1">
      <alignment horizontal="center" vertical="center"/>
    </xf>
    <xf numFmtId="0" fontId="21" fillId="0" borderId="1" xfId="0" applyNumberFormat="1" applyFont="1" applyBorder="1" applyAlignment="1">
      <alignment horizontal="center" vertical="center"/>
    </xf>
    <xf numFmtId="0" fontId="25" fillId="8" borderId="73" xfId="0" applyFont="1" applyFill="1" applyBorder="1" applyAlignment="1">
      <alignment horizontal="center" vertical="center" textRotation="90" wrapText="1"/>
    </xf>
    <xf numFmtId="0" fontId="25" fillId="8" borderId="53" xfId="0" applyFont="1" applyFill="1" applyBorder="1" applyAlignment="1">
      <alignment horizontal="center" vertical="center" textRotation="90" wrapText="1"/>
    </xf>
    <xf numFmtId="49" fontId="8" fillId="9" borderId="31" xfId="0" applyNumberFormat="1" applyFont="1" applyFill="1" applyBorder="1" applyAlignment="1">
      <alignment horizontal="center" vertical="center"/>
    </xf>
    <xf numFmtId="49" fontId="8" fillId="9" borderId="26" xfId="0" applyNumberFormat="1" applyFont="1" applyFill="1" applyBorder="1" applyAlignment="1">
      <alignment horizontal="center" vertical="center"/>
    </xf>
    <xf numFmtId="49" fontId="8" fillId="9" borderId="78" xfId="0" applyNumberFormat="1" applyFont="1" applyFill="1" applyBorder="1" applyAlignment="1">
      <alignment horizontal="center" vertical="center"/>
    </xf>
    <xf numFmtId="49" fontId="11" fillId="6" borderId="22" xfId="0" applyNumberFormat="1" applyFont="1" applyFill="1" applyBorder="1" applyAlignment="1">
      <alignment horizontal="center" vertical="center"/>
    </xf>
    <xf numFmtId="0" fontId="24" fillId="8" borderId="74" xfId="0" applyFont="1" applyFill="1" applyBorder="1" applyAlignment="1">
      <alignment horizontal="center" vertical="center" textRotation="90" wrapText="1"/>
    </xf>
    <xf numFmtId="0" fontId="24" fillId="8" borderId="75" xfId="0" applyFont="1" applyFill="1" applyBorder="1" applyAlignment="1">
      <alignment horizontal="center" vertical="center" textRotation="90" wrapText="1"/>
    </xf>
    <xf numFmtId="0" fontId="24" fillId="8" borderId="76" xfId="0" applyFont="1" applyFill="1" applyBorder="1" applyAlignment="1">
      <alignment horizontal="center" vertical="center" textRotation="90" wrapText="1"/>
    </xf>
    <xf numFmtId="49" fontId="11" fillId="8" borderId="79" xfId="0" applyNumberFormat="1" applyFont="1" applyFill="1" applyBorder="1" applyAlignment="1">
      <alignment horizontal="center" vertical="center"/>
    </xf>
    <xf numFmtId="49" fontId="11" fillId="8" borderId="24" xfId="0" applyNumberFormat="1" applyFont="1" applyFill="1" applyBorder="1" applyAlignment="1">
      <alignment horizontal="center" vertical="center"/>
    </xf>
    <xf numFmtId="49" fontId="11" fillId="8" borderId="25" xfId="0" applyNumberFormat="1" applyFont="1" applyFill="1" applyBorder="1" applyAlignment="1">
      <alignment horizontal="center" vertical="center"/>
    </xf>
    <xf numFmtId="49" fontId="11" fillId="6" borderId="31" xfId="0" applyNumberFormat="1" applyFont="1" applyFill="1" applyBorder="1" applyAlignment="1">
      <alignment horizontal="center" vertical="center"/>
    </xf>
    <xf numFmtId="49" fontId="11" fillId="6" borderId="26" xfId="0" applyNumberFormat="1" applyFont="1" applyFill="1" applyBorder="1" applyAlignment="1">
      <alignment horizontal="center" vertical="center"/>
    </xf>
    <xf numFmtId="49" fontId="15" fillId="0" borderId="80" xfId="0" applyNumberFormat="1" applyFont="1" applyFill="1" applyBorder="1" applyAlignment="1">
      <alignment horizontal="center" vertical="center"/>
    </xf>
    <xf numFmtId="49" fontId="15" fillId="0" borderId="1" xfId="0" applyNumberFormat="1" applyFont="1" applyFill="1" applyBorder="1" applyAlignment="1">
      <alignment horizontal="center" vertical="center"/>
    </xf>
    <xf numFmtId="49" fontId="43" fillId="6" borderId="32" xfId="0" applyNumberFormat="1" applyFont="1" applyFill="1" applyBorder="1" applyAlignment="1">
      <alignment horizontal="center" vertical="center"/>
    </xf>
    <xf numFmtId="49" fontId="43" fillId="6" borderId="29" xfId="0" applyNumberFormat="1" applyFont="1" applyFill="1" applyBorder="1" applyAlignment="1">
      <alignment horizontal="center" vertical="center"/>
    </xf>
    <xf numFmtId="49" fontId="11" fillId="8" borderId="22" xfId="0" applyNumberFormat="1" applyFont="1" applyFill="1" applyBorder="1" applyAlignment="1">
      <alignment horizontal="center" vertical="center"/>
    </xf>
    <xf numFmtId="0" fontId="20" fillId="8" borderId="1" xfId="0" applyFont="1" applyFill="1" applyBorder="1" applyAlignment="1">
      <alignment horizontal="center" vertical="center"/>
    </xf>
    <xf numFmtId="0" fontId="10" fillId="0" borderId="1" xfId="0" applyFont="1" applyBorder="1" applyAlignment="1">
      <alignment horizontal="center" vertical="center"/>
    </xf>
    <xf numFmtId="0" fontId="11" fillId="8" borderId="1" xfId="0" applyFont="1" applyFill="1" applyBorder="1" applyAlignment="1">
      <alignment horizontal="center" vertical="center" wrapText="1"/>
    </xf>
    <xf numFmtId="0" fontId="10" fillId="6" borderId="21" xfId="0" applyFont="1" applyFill="1" applyBorder="1" applyAlignment="1">
      <alignment horizontal="left" vertical="center"/>
    </xf>
    <xf numFmtId="0" fontId="10" fillId="6" borderId="1" xfId="0" applyFont="1" applyFill="1" applyBorder="1" applyAlignment="1">
      <alignment horizontal="left" vertical="center"/>
    </xf>
    <xf numFmtId="0" fontId="7" fillId="6" borderId="21" xfId="0" applyFont="1" applyFill="1" applyBorder="1" applyAlignment="1">
      <alignment horizontal="left" vertical="center" wrapText="1"/>
    </xf>
    <xf numFmtId="0" fontId="7" fillId="6" borderId="1" xfId="0" applyFont="1" applyFill="1" applyBorder="1" applyAlignment="1">
      <alignment horizontal="left" vertical="center"/>
    </xf>
    <xf numFmtId="49" fontId="11" fillId="4" borderId="31" xfId="0" applyNumberFormat="1" applyFont="1" applyFill="1" applyBorder="1" applyAlignment="1">
      <alignment horizontal="center" vertical="center"/>
    </xf>
    <xf numFmtId="49" fontId="11" fillId="4" borderId="26" xfId="0" applyNumberFormat="1" applyFont="1" applyFill="1" applyBorder="1" applyAlignment="1">
      <alignment horizontal="center" vertical="center"/>
    </xf>
    <xf numFmtId="49" fontId="11" fillId="4" borderId="27" xfId="0" applyNumberFormat="1" applyFont="1" applyFill="1" applyBorder="1" applyAlignment="1">
      <alignment horizontal="center" vertical="center"/>
    </xf>
    <xf numFmtId="49" fontId="11" fillId="5" borderId="32" xfId="0" applyNumberFormat="1" applyFont="1" applyFill="1" applyBorder="1" applyAlignment="1">
      <alignment horizontal="center" vertical="center"/>
    </xf>
    <xf numFmtId="49" fontId="11" fillId="5" borderId="29" xfId="0" applyNumberFormat="1" applyFont="1" applyFill="1" applyBorder="1" applyAlignment="1">
      <alignment horizontal="center" vertical="center"/>
    </xf>
    <xf numFmtId="49" fontId="11" fillId="5" borderId="30" xfId="0" applyNumberFormat="1" applyFont="1" applyFill="1" applyBorder="1" applyAlignment="1">
      <alignment horizontal="center" vertical="center"/>
    </xf>
    <xf numFmtId="49" fontId="8" fillId="9" borderId="32" xfId="0" applyNumberFormat="1" applyFont="1" applyFill="1" applyBorder="1" applyAlignment="1">
      <alignment horizontal="center" vertical="center"/>
    </xf>
    <xf numFmtId="49" fontId="8" fillId="9" borderId="29" xfId="0" applyNumberFormat="1" applyFont="1" applyFill="1" applyBorder="1" applyAlignment="1">
      <alignment horizontal="center" vertical="center"/>
    </xf>
    <xf numFmtId="49" fontId="8" fillId="9" borderId="77" xfId="0" applyNumberFormat="1" applyFont="1" applyFill="1" applyBorder="1" applyAlignment="1">
      <alignment horizontal="center" vertical="center"/>
    </xf>
    <xf numFmtId="0" fontId="0" fillId="0" borderId="16" xfId="0" applyBorder="1" applyAlignment="1">
      <alignment horizontal="center"/>
    </xf>
    <xf numFmtId="0" fontId="0" fillId="0" borderId="21" xfId="0" applyBorder="1" applyAlignment="1">
      <alignment horizontal="center"/>
    </xf>
    <xf numFmtId="0" fontId="7" fillId="8" borderId="16" xfId="0" applyFont="1" applyFill="1" applyBorder="1" applyAlignment="1">
      <alignment horizontal="center" vertical="center"/>
    </xf>
    <xf numFmtId="0" fontId="7" fillId="8" borderId="35" xfId="0" applyFont="1" applyFill="1" applyBorder="1" applyAlignment="1">
      <alignment horizontal="center" vertical="center"/>
    </xf>
    <xf numFmtId="0" fontId="7" fillId="8" borderId="21"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21" xfId="0" applyFill="1" applyBorder="1" applyAlignment="1">
      <alignment horizontal="center" vertical="center"/>
    </xf>
    <xf numFmtId="0" fontId="2" fillId="2" borderId="16" xfId="0" applyFont="1" applyFill="1" applyBorder="1" applyAlignment="1">
      <alignment horizontal="center" vertical="center" wrapText="1"/>
    </xf>
    <xf numFmtId="0" fontId="2" fillId="2" borderId="21"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0" borderId="12" xfId="0" applyFont="1" applyBorder="1" applyAlignment="1">
      <alignment horizontal="center" vertical="center" wrapText="1"/>
    </xf>
    <xf numFmtId="0" fontId="2" fillId="0" borderId="17" xfId="0" applyFont="1" applyBorder="1" applyAlignment="1">
      <alignment horizontal="center" vertical="center" wrapText="1"/>
    </xf>
    <xf numFmtId="0" fontId="2" fillId="0" borderId="9" xfId="0" applyFont="1" applyBorder="1" applyAlignment="1">
      <alignment horizontal="center" vertical="center" wrapText="1"/>
    </xf>
    <xf numFmtId="0" fontId="2" fillId="0" borderId="14" xfId="0" applyFont="1" applyBorder="1" applyAlignment="1">
      <alignment horizontal="center" vertical="center" wrapText="1"/>
    </xf>
    <xf numFmtId="0" fontId="22" fillId="0" borderId="9" xfId="0" applyFont="1" applyBorder="1" applyAlignment="1">
      <alignment horizontal="center" vertical="center" wrapText="1"/>
    </xf>
    <xf numFmtId="0" fontId="23" fillId="0" borderId="14" xfId="0" applyFont="1" applyBorder="1" applyAlignment="1">
      <alignment horizontal="center" vertical="center" wrapText="1"/>
    </xf>
    <xf numFmtId="168" fontId="44" fillId="0" borderId="14" xfId="0" applyNumberFormat="1" applyFont="1" applyBorder="1" applyAlignment="1">
      <alignment horizontal="center" vertical="center" wrapText="1"/>
    </xf>
    <xf numFmtId="168" fontId="44" fillId="0" borderId="11" xfId="0" applyNumberFormat="1" applyFont="1" applyBorder="1" applyAlignment="1">
      <alignment horizontal="center" vertical="center" wrapText="1"/>
    </xf>
    <xf numFmtId="0" fontId="5" fillId="0" borderId="12" xfId="0" applyFont="1" applyBorder="1" applyAlignment="1">
      <alignment horizontal="center"/>
    </xf>
    <xf numFmtId="0" fontId="5" fillId="0" borderId="17" xfId="0" applyFont="1" applyBorder="1" applyAlignment="1">
      <alignment horizontal="center"/>
    </xf>
    <xf numFmtId="0" fontId="5" fillId="0" borderId="37" xfId="0" applyFont="1" applyBorder="1" applyAlignment="1">
      <alignment horizontal="center"/>
    </xf>
    <xf numFmtId="0" fontId="2" fillId="0" borderId="16" xfId="0" applyFont="1" applyBorder="1" applyAlignment="1">
      <alignment horizontal="center" vertical="center"/>
    </xf>
    <xf numFmtId="0" fontId="2" fillId="0" borderId="35" xfId="0" applyFont="1" applyBorder="1" applyAlignment="1">
      <alignment horizontal="center" vertical="center"/>
    </xf>
    <xf numFmtId="0" fontId="2" fillId="0" borderId="21" xfId="0" applyFont="1" applyBorder="1" applyAlignment="1">
      <alignment horizontal="center" vertical="center"/>
    </xf>
    <xf numFmtId="0" fontId="2" fillId="7" borderId="1" xfId="0" applyFont="1" applyFill="1" applyBorder="1" applyAlignment="1">
      <alignment horizontal="center" vertical="center" wrapText="1"/>
    </xf>
    <xf numFmtId="0" fontId="2" fillId="0" borderId="1" xfId="0" applyFont="1" applyBorder="1" applyAlignment="1">
      <alignment horizontal="center" vertical="center" wrapText="1"/>
    </xf>
    <xf numFmtId="0" fontId="29" fillId="6" borderId="0" xfId="0" applyFont="1" applyFill="1" applyAlignment="1">
      <alignment horizontal="left" vertical="center"/>
    </xf>
    <xf numFmtId="0" fontId="0" fillId="6" borderId="0" xfId="0" applyFill="1" applyAlignment="1">
      <alignment horizontal="left" vertical="center"/>
    </xf>
    <xf numFmtId="0" fontId="27" fillId="6" borderId="0" xfId="0" applyFont="1" applyFill="1" applyAlignment="1">
      <alignment horizontal="left" vertical="center"/>
    </xf>
    <xf numFmtId="0" fontId="0" fillId="6" borderId="0" xfId="0" applyFill="1" applyBorder="1" applyAlignment="1">
      <alignment horizontal="center" vertical="center"/>
    </xf>
    <xf numFmtId="2" fontId="0" fillId="6" borderId="1" xfId="0" applyNumberFormat="1" applyFill="1" applyBorder="1" applyAlignment="1">
      <alignment horizontal="center" vertical="center"/>
    </xf>
    <xf numFmtId="0" fontId="5" fillId="6" borderId="0" xfId="0" applyFont="1" applyFill="1" applyAlignment="1">
      <alignment horizontal="center" vertical="center" wrapText="1"/>
    </xf>
    <xf numFmtId="0" fontId="0" fillId="6" borderId="0" xfId="0" applyFill="1" applyAlignment="1">
      <alignment horizontal="center" vertical="center"/>
    </xf>
    <xf numFmtId="0" fontId="46" fillId="11" borderId="16" xfId="0" applyFont="1" applyFill="1" applyBorder="1" applyAlignment="1">
      <alignment horizontal="center" vertical="center" wrapText="1"/>
    </xf>
    <xf numFmtId="0" fontId="46" fillId="11" borderId="35" xfId="0" applyFont="1" applyFill="1" applyBorder="1" applyAlignment="1">
      <alignment horizontal="center" vertical="center" wrapText="1"/>
    </xf>
    <xf numFmtId="0" fontId="46" fillId="11" borderId="21" xfId="0" applyFont="1" applyFill="1" applyBorder="1" applyAlignment="1">
      <alignment horizontal="center" vertical="center" wrapText="1"/>
    </xf>
    <xf numFmtId="0" fontId="48" fillId="0" borderId="1" xfId="0" applyFont="1" applyFill="1" applyBorder="1" applyAlignment="1">
      <alignment horizontal="center" vertical="center"/>
    </xf>
    <xf numFmtId="0" fontId="46" fillId="0" borderId="1" xfId="0" applyFont="1" applyFill="1" applyBorder="1" applyAlignment="1">
      <alignment horizontal="center" vertical="center" wrapText="1"/>
    </xf>
    <xf numFmtId="0" fontId="0" fillId="0" borderId="1" xfId="0" applyFill="1" applyBorder="1" applyAlignment="1">
      <alignment horizontal="center" vertical="center"/>
    </xf>
    <xf numFmtId="0" fontId="45" fillId="13" borderId="1" xfId="0" applyFont="1" applyFill="1" applyBorder="1" applyAlignment="1">
      <alignment horizontal="center" vertical="center" wrapText="1"/>
    </xf>
    <xf numFmtId="0" fontId="47" fillId="0" borderId="1" xfId="0" applyFont="1" applyFill="1" applyBorder="1" applyAlignment="1">
      <alignment horizontal="center" vertical="center" wrapText="1"/>
    </xf>
    <xf numFmtId="14" fontId="47" fillId="0" borderId="1" xfId="0" applyNumberFormat="1" applyFont="1" applyFill="1" applyBorder="1" applyAlignment="1">
      <alignment horizontal="center" vertical="center" wrapText="1"/>
    </xf>
    <xf numFmtId="0" fontId="49" fillId="11" borderId="16" xfId="0" applyFont="1" applyFill="1" applyBorder="1" applyAlignment="1">
      <alignment horizontal="center" vertical="center" wrapText="1"/>
    </xf>
    <xf numFmtId="0" fontId="49" fillId="11" borderId="35" xfId="0" applyFont="1" applyFill="1" applyBorder="1" applyAlignment="1">
      <alignment horizontal="center" vertical="center" wrapText="1"/>
    </xf>
    <xf numFmtId="0" fontId="49" fillId="11" borderId="21" xfId="0" applyFont="1" applyFill="1" applyBorder="1" applyAlignment="1">
      <alignment horizontal="center" vertical="center" wrapText="1"/>
    </xf>
    <xf numFmtId="0" fontId="47" fillId="0" borderId="1" xfId="0" applyFont="1" applyFill="1" applyBorder="1" applyAlignment="1">
      <alignment horizontal="center" vertical="center"/>
    </xf>
    <xf numFmtId="14" fontId="0" fillId="0" borderId="1" xfId="0" applyNumberFormat="1" applyFill="1" applyBorder="1" applyAlignment="1">
      <alignment horizontal="center" vertical="center"/>
    </xf>
    <xf numFmtId="0" fontId="47" fillId="6" borderId="1" xfId="0" applyFont="1" applyFill="1" applyBorder="1" applyAlignment="1">
      <alignment horizontal="center" vertical="center"/>
    </xf>
    <xf numFmtId="0" fontId="0" fillId="6" borderId="1" xfId="0" applyFill="1" applyBorder="1" applyAlignment="1">
      <alignment horizontal="center" vertical="center"/>
    </xf>
    <xf numFmtId="14" fontId="0" fillId="6" borderId="1" xfId="0" applyNumberFormat="1" applyFill="1" applyBorder="1" applyAlignment="1">
      <alignment horizontal="center" vertical="center"/>
    </xf>
    <xf numFmtId="0" fontId="49" fillId="17" borderId="16" xfId="0" applyFont="1" applyFill="1" applyBorder="1" applyAlignment="1">
      <alignment horizontal="center" vertical="center" wrapText="1"/>
    </xf>
    <xf numFmtId="0" fontId="49" fillId="17" borderId="35" xfId="0" applyFont="1" applyFill="1" applyBorder="1" applyAlignment="1">
      <alignment horizontal="center" vertical="center" wrapText="1"/>
    </xf>
    <xf numFmtId="0" fontId="49" fillId="17" borderId="21" xfId="0" applyFont="1" applyFill="1" applyBorder="1" applyAlignment="1">
      <alignment horizontal="center" vertical="center" wrapText="1"/>
    </xf>
    <xf numFmtId="0" fontId="49" fillId="17" borderId="16" xfId="0" applyFont="1" applyFill="1" applyBorder="1" applyAlignment="1">
      <alignment horizontal="center" vertical="center"/>
    </xf>
    <xf numFmtId="0" fontId="49" fillId="17" borderId="35" xfId="0" applyFont="1" applyFill="1" applyBorder="1" applyAlignment="1">
      <alignment horizontal="center" vertical="center"/>
    </xf>
    <xf numFmtId="0" fontId="49" fillId="17" borderId="21" xfId="0" applyFont="1" applyFill="1" applyBorder="1" applyAlignment="1">
      <alignment horizontal="center" vertical="center"/>
    </xf>
    <xf numFmtId="0" fontId="46" fillId="6" borderId="1" xfId="0" applyFont="1" applyFill="1" applyBorder="1" applyAlignment="1">
      <alignment horizontal="left" vertical="center"/>
    </xf>
    <xf numFmtId="0" fontId="48" fillId="6" borderId="1" xfId="0" applyFont="1" applyFill="1" applyBorder="1" applyAlignment="1">
      <alignment horizontal="left" vertical="center"/>
    </xf>
    <xf numFmtId="0" fontId="46" fillId="6" borderId="1" xfId="0" applyFont="1" applyFill="1" applyBorder="1" applyAlignment="1">
      <alignment horizontal="left" vertical="center" wrapText="1"/>
    </xf>
    <xf numFmtId="0" fontId="52" fillId="6" borderId="1" xfId="0" applyFont="1" applyFill="1" applyBorder="1" applyAlignment="1">
      <alignment horizontal="center" vertical="center"/>
    </xf>
    <xf numFmtId="0" fontId="46" fillId="6" borderId="1" xfId="0" applyFont="1" applyFill="1" applyBorder="1" applyAlignment="1">
      <alignment horizontal="center" vertical="center"/>
    </xf>
    <xf numFmtId="0" fontId="46" fillId="6" borderId="1" xfId="0" applyFont="1" applyFill="1" applyBorder="1" applyAlignment="1">
      <alignment horizontal="center" vertical="center" wrapText="1"/>
    </xf>
    <xf numFmtId="0" fontId="51" fillId="6" borderId="1" xfId="0" applyFont="1" applyFill="1" applyBorder="1" applyAlignment="1">
      <alignment horizontal="center" vertical="center" wrapText="1"/>
    </xf>
    <xf numFmtId="0" fontId="51" fillId="6" borderId="1" xfId="0" applyFont="1" applyFill="1" applyBorder="1" applyAlignment="1">
      <alignment horizontal="center" vertical="center"/>
    </xf>
    <xf numFmtId="0" fontId="46" fillId="6" borderId="16" xfId="0" applyFont="1" applyFill="1" applyBorder="1" applyAlignment="1">
      <alignment horizontal="center" vertical="center" wrapText="1"/>
    </xf>
    <xf numFmtId="0" fontId="0" fillId="6" borderId="21" xfId="0" applyFill="1" applyBorder="1" applyAlignment="1">
      <alignment wrapText="1"/>
    </xf>
    <xf numFmtId="0" fontId="48" fillId="6" borderId="1" xfId="0" applyFont="1" applyFill="1" applyBorder="1" applyAlignment="1">
      <alignment horizontal="center" vertical="center"/>
    </xf>
    <xf numFmtId="14" fontId="48" fillId="6" borderId="1" xfId="0" applyNumberFormat="1" applyFont="1" applyFill="1" applyBorder="1" applyAlignment="1">
      <alignment horizontal="center" vertical="center"/>
    </xf>
    <xf numFmtId="169" fontId="0" fillId="6" borderId="1" xfId="0" applyNumberFormat="1" applyFill="1" applyBorder="1" applyAlignment="1">
      <alignment horizontal="center" vertical="center"/>
    </xf>
    <xf numFmtId="0" fontId="46" fillId="6" borderId="16" xfId="0" applyFont="1" applyFill="1" applyBorder="1" applyAlignment="1">
      <alignment horizontal="center" vertical="center"/>
    </xf>
    <xf numFmtId="0" fontId="46" fillId="6" borderId="35" xfId="0" applyFont="1" applyFill="1" applyBorder="1" applyAlignment="1">
      <alignment horizontal="center" vertical="center"/>
    </xf>
    <xf numFmtId="0" fontId="46" fillId="6" borderId="21" xfId="0" applyFont="1" applyFill="1" applyBorder="1" applyAlignment="1">
      <alignment horizontal="center" vertical="center"/>
    </xf>
    <xf numFmtId="0" fontId="45" fillId="6" borderId="1" xfId="0" applyFont="1" applyFill="1" applyBorder="1" applyAlignment="1">
      <alignment horizontal="center" vertical="center" wrapText="1"/>
    </xf>
    <xf numFmtId="0" fontId="47" fillId="6" borderId="1" xfId="0" applyFont="1" applyFill="1" applyBorder="1" applyAlignment="1">
      <alignment horizontal="center" vertical="center" wrapText="1"/>
    </xf>
    <xf numFmtId="14" fontId="47" fillId="6" borderId="1" xfId="0" applyNumberFormat="1" applyFont="1" applyFill="1" applyBorder="1" applyAlignment="1">
      <alignment horizontal="center" vertical="center" wrapText="1"/>
    </xf>
    <xf numFmtId="0" fontId="50" fillId="6" borderId="1" xfId="0" applyFont="1" applyFill="1" applyBorder="1" applyAlignment="1">
      <alignment horizontal="left" vertical="top" wrapText="1"/>
    </xf>
  </cellXfs>
  <cellStyles count="3">
    <cellStyle name="Hipervínculo" xfId="1" builtinId="8"/>
    <cellStyle name="Normal" xfId="0" builtinId="0"/>
    <cellStyle name="Normal 2" xfId="2"/>
  </cellStyles>
  <dxfs count="5">
    <dxf>
      <font>
        <condense val="0"/>
        <extend val="0"/>
        <color indexed="11"/>
      </font>
    </dxf>
    <dxf>
      <font>
        <condense val="0"/>
        <extend val="0"/>
        <color indexed="47"/>
      </font>
    </dxf>
    <dxf>
      <font>
        <condense val="0"/>
        <extend val="0"/>
        <color indexed="9"/>
      </font>
    </dxf>
    <dxf>
      <font>
        <condense val="0"/>
        <extend val="0"/>
        <color auto="1"/>
      </font>
      <fill>
        <patternFill>
          <bgColor indexed="10"/>
        </patternFill>
      </fill>
    </dxf>
    <dxf>
      <font>
        <condense val="0"/>
        <extend val="0"/>
        <color auto="1"/>
      </font>
      <fill>
        <patternFill>
          <bgColor indexed="47"/>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v>piezas OK</c:v>
          </c:tx>
          <c:spPr>
            <a:solidFill>
              <a:srgbClr val="15F740"/>
            </a:solidFill>
          </c:spPr>
          <c:invertIfNegative val="0"/>
          <c:cat>
            <c:numRef>
              <c:f>Información!$H$2:$AL$2</c:f>
              <c:numCache>
                <c:formatCode>[$-C0A]d\-mmm;@</c:formatCode>
                <c:ptCount val="31"/>
              </c:numCache>
            </c:numRef>
          </c:cat>
          <c:val>
            <c:numRef>
              <c:f>Información!$I$11:$AL$11</c:f>
              <c:numCache>
                <c:formatCode>0</c:formatCode>
                <c:ptCount val="30"/>
              </c:numCache>
            </c:numRef>
          </c:val>
        </c:ser>
        <c:ser>
          <c:idx val="1"/>
          <c:order val="1"/>
          <c:tx>
            <c:v>piezas NOK</c:v>
          </c:tx>
          <c:spPr>
            <a:solidFill>
              <a:srgbClr val="FF0000"/>
            </a:solidFill>
          </c:spPr>
          <c:invertIfNegative val="0"/>
          <c:cat>
            <c:numRef>
              <c:f>Información!$H$2:$AL$2</c:f>
              <c:numCache>
                <c:formatCode>[$-C0A]d\-mmm;@</c:formatCode>
                <c:ptCount val="31"/>
              </c:numCache>
            </c:numRef>
          </c:cat>
          <c:val>
            <c:numRef>
              <c:f>Información!$I$12:$AL$12</c:f>
              <c:numCache>
                <c:formatCode>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ser>
          <c:idx val="2"/>
          <c:order val="2"/>
          <c:tx>
            <c:v>piezas RECUPERADAS</c:v>
          </c:tx>
          <c:spPr>
            <a:solidFill>
              <a:srgbClr val="FFC000"/>
            </a:solidFill>
          </c:spPr>
          <c:invertIfNegative val="0"/>
          <c:cat>
            <c:numRef>
              <c:f>Información!$H$2:$AL$2</c:f>
              <c:numCache>
                <c:formatCode>[$-C0A]d\-mmm;@</c:formatCode>
                <c:ptCount val="31"/>
              </c:numCache>
            </c:numRef>
          </c:cat>
          <c:val>
            <c:numRef>
              <c:f>Información!$I$15:$AL$15</c:f>
              <c:numCache>
                <c:formatCode>0</c:formatCode>
                <c:ptCount val="30"/>
              </c:numCache>
            </c:numRef>
          </c:val>
        </c:ser>
        <c:dLbls>
          <c:showLegendKey val="0"/>
          <c:showVal val="0"/>
          <c:showCatName val="0"/>
          <c:showSerName val="0"/>
          <c:showPercent val="0"/>
          <c:showBubbleSize val="0"/>
        </c:dLbls>
        <c:gapWidth val="150"/>
        <c:axId val="89610496"/>
        <c:axId val="89628672"/>
      </c:barChart>
      <c:catAx>
        <c:axId val="89610496"/>
        <c:scaling>
          <c:orientation val="minMax"/>
        </c:scaling>
        <c:delete val="0"/>
        <c:axPos val="b"/>
        <c:numFmt formatCode="[$-C0A]d\-mmm;@" sourceLinked="0"/>
        <c:majorTickMark val="out"/>
        <c:minorTickMark val="none"/>
        <c:tickLblPos val="nextTo"/>
        <c:txPr>
          <a:bodyPr rot="-2700000" vert="horz"/>
          <a:lstStyle/>
          <a:p>
            <a:pPr>
              <a:defRPr sz="1000" b="0" i="0" u="none" strike="noStrike" baseline="0">
                <a:solidFill>
                  <a:srgbClr val="000000"/>
                </a:solidFill>
                <a:latin typeface="Calibri"/>
                <a:ea typeface="Calibri"/>
                <a:cs typeface="Calibri"/>
              </a:defRPr>
            </a:pPr>
            <a:endParaRPr lang="es-ES"/>
          </a:p>
        </c:txPr>
        <c:crossAx val="89628672"/>
        <c:crosses val="autoZero"/>
        <c:auto val="1"/>
        <c:lblAlgn val="ctr"/>
        <c:lblOffset val="100"/>
        <c:tickLblSkip val="2"/>
        <c:tickMarkSkip val="1"/>
        <c:noMultiLvlLbl val="1"/>
      </c:catAx>
      <c:valAx>
        <c:axId val="89628672"/>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ES"/>
          </a:p>
        </c:txPr>
        <c:crossAx val="89610496"/>
        <c:crosses val="autoZero"/>
        <c:crossBetween val="between"/>
      </c:valAx>
    </c:plotArea>
    <c:legend>
      <c:legendPos val="r"/>
      <c:overlay val="0"/>
      <c:txPr>
        <a:bodyPr/>
        <a:lstStyle/>
        <a:p>
          <a:pPr>
            <a:defRPr sz="845" b="0" i="0" u="none" strike="noStrike" baseline="0">
              <a:solidFill>
                <a:srgbClr val="000000"/>
              </a:solidFill>
              <a:latin typeface="Calibri"/>
              <a:ea typeface="Calibri"/>
              <a:cs typeface="Calibri"/>
            </a:defRPr>
          </a:pPr>
          <a:endParaRPr lang="es-E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s-ES"/>
    </a:p>
  </c:txPr>
  <c:printSettings>
    <c:headerFooter/>
    <c:pageMargins b="0.75" l="0.7" r="0.7" t="0.75" header="0.3" footer="0.3"/>
    <c:pageSetup paperSize="9"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image" Target="../media/image3.jpeg"/></Relationships>
</file>

<file path=xl/drawings/_rels/drawing7.xml.rels><?xml version="1.0" encoding="UTF-8" standalone="yes"?>
<Relationships xmlns="http://schemas.openxmlformats.org/package/2006/relationships"><Relationship Id="rId1" Type="http://schemas.openxmlformats.org/officeDocument/2006/relationships/image" Target="../media/image4.jpeg"/></Relationships>
</file>

<file path=xl/drawings/_rels/drawing8.xml.rels><?xml version="1.0" encoding="UTF-8" standalone="yes"?>
<Relationships xmlns="http://schemas.openxmlformats.org/package/2006/relationships"><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152400</xdr:colOff>
      <xdr:row>0</xdr:row>
      <xdr:rowOff>38100</xdr:rowOff>
    </xdr:from>
    <xdr:to>
      <xdr:col>0</xdr:col>
      <xdr:colOff>1386701</xdr:colOff>
      <xdr:row>0</xdr:row>
      <xdr:rowOff>771525</xdr:rowOff>
    </xdr:to>
    <xdr:pic>
      <xdr:nvPicPr>
        <xdr:cNvPr id="5"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38100"/>
          <a:ext cx="1234301"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400050</xdr:colOff>
      <xdr:row>43</xdr:row>
      <xdr:rowOff>28575</xdr:rowOff>
    </xdr:from>
    <xdr:to>
      <xdr:col>3</xdr:col>
      <xdr:colOff>38100</xdr:colOff>
      <xdr:row>50</xdr:row>
      <xdr:rowOff>57150</xdr:rowOff>
    </xdr:to>
    <xdr:pic>
      <xdr:nvPicPr>
        <xdr:cNvPr id="3" name="Picture 69"/>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3934" t="5084" r="5383" b="4237"/>
        <a:stretch>
          <a:fillRect/>
        </a:stretch>
      </xdr:blipFill>
      <xdr:spPr bwMode="auto">
        <a:xfrm>
          <a:off x="400050" y="8772525"/>
          <a:ext cx="221932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45720</xdr:colOff>
      <xdr:row>6</xdr:row>
      <xdr:rowOff>30480</xdr:rowOff>
    </xdr:from>
    <xdr:to>
      <xdr:col>6</xdr:col>
      <xdr:colOff>310581</xdr:colOff>
      <xdr:row>6</xdr:row>
      <xdr:rowOff>114300</xdr:rowOff>
    </xdr:to>
    <xdr:sp macro="" textlink="">
      <xdr:nvSpPr>
        <xdr:cNvPr id="3" name="2 Rectángulo redondeado"/>
        <xdr:cNvSpPr/>
      </xdr:nvSpPr>
      <xdr:spPr>
        <a:xfrm>
          <a:off x="5882640" y="2026920"/>
          <a:ext cx="274320"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38100</xdr:colOff>
      <xdr:row>7</xdr:row>
      <xdr:rowOff>38100</xdr:rowOff>
    </xdr:from>
    <xdr:to>
      <xdr:col>6</xdr:col>
      <xdr:colOff>302961</xdr:colOff>
      <xdr:row>7</xdr:row>
      <xdr:rowOff>121920</xdr:rowOff>
    </xdr:to>
    <xdr:sp macro="" textlink="">
      <xdr:nvSpPr>
        <xdr:cNvPr id="4" name="3 Rectángulo redondeado"/>
        <xdr:cNvSpPr/>
      </xdr:nvSpPr>
      <xdr:spPr>
        <a:xfrm>
          <a:off x="5875020" y="2217420"/>
          <a:ext cx="274320"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45720</xdr:colOff>
      <xdr:row>8</xdr:row>
      <xdr:rowOff>43815</xdr:rowOff>
    </xdr:from>
    <xdr:to>
      <xdr:col>6</xdr:col>
      <xdr:colOff>196327</xdr:colOff>
      <xdr:row>8</xdr:row>
      <xdr:rowOff>112395</xdr:rowOff>
    </xdr:to>
    <xdr:sp macro="" textlink="">
      <xdr:nvSpPr>
        <xdr:cNvPr id="5" name="4 Rectángulo redondeado"/>
        <xdr:cNvSpPr/>
      </xdr:nvSpPr>
      <xdr:spPr>
        <a:xfrm>
          <a:off x="5882640" y="2415540"/>
          <a:ext cx="160020"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289560</xdr:colOff>
      <xdr:row>8</xdr:row>
      <xdr:rowOff>43815</xdr:rowOff>
    </xdr:from>
    <xdr:to>
      <xdr:col>6</xdr:col>
      <xdr:colOff>440167</xdr:colOff>
      <xdr:row>8</xdr:row>
      <xdr:rowOff>112395</xdr:rowOff>
    </xdr:to>
    <xdr:sp macro="" textlink="">
      <xdr:nvSpPr>
        <xdr:cNvPr id="6" name="5 Rectángulo redondeado"/>
        <xdr:cNvSpPr/>
      </xdr:nvSpPr>
      <xdr:spPr>
        <a:xfrm>
          <a:off x="6126480" y="2415540"/>
          <a:ext cx="160020"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516255</xdr:colOff>
      <xdr:row>8</xdr:row>
      <xdr:rowOff>43815</xdr:rowOff>
    </xdr:from>
    <xdr:to>
      <xdr:col>6</xdr:col>
      <xdr:colOff>666862</xdr:colOff>
      <xdr:row>8</xdr:row>
      <xdr:rowOff>112395</xdr:rowOff>
    </xdr:to>
    <xdr:sp macro="" textlink="">
      <xdr:nvSpPr>
        <xdr:cNvPr id="7" name="6 Rectángulo redondeado"/>
        <xdr:cNvSpPr/>
      </xdr:nvSpPr>
      <xdr:spPr>
        <a:xfrm>
          <a:off x="6362700" y="2415540"/>
          <a:ext cx="160020"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6</xdr:col>
      <xdr:colOff>38100</xdr:colOff>
      <xdr:row>9</xdr:row>
      <xdr:rowOff>38100</xdr:rowOff>
    </xdr:from>
    <xdr:to>
      <xdr:col>6</xdr:col>
      <xdr:colOff>302961</xdr:colOff>
      <xdr:row>9</xdr:row>
      <xdr:rowOff>121920</xdr:rowOff>
    </xdr:to>
    <xdr:sp macro="" textlink="">
      <xdr:nvSpPr>
        <xdr:cNvPr id="8" name="7 Rectángulo redondeado"/>
        <xdr:cNvSpPr/>
      </xdr:nvSpPr>
      <xdr:spPr>
        <a:xfrm>
          <a:off x="5875020" y="2583180"/>
          <a:ext cx="274320"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219075</xdr:colOff>
      <xdr:row>6</xdr:row>
      <xdr:rowOff>30480</xdr:rowOff>
    </xdr:from>
    <xdr:to>
      <xdr:col>7</xdr:col>
      <xdr:colOff>483936</xdr:colOff>
      <xdr:row>6</xdr:row>
      <xdr:rowOff>114300</xdr:rowOff>
    </xdr:to>
    <xdr:sp macro="" textlink="">
      <xdr:nvSpPr>
        <xdr:cNvPr id="9" name="8 Rectángulo redondeado"/>
        <xdr:cNvSpPr/>
      </xdr:nvSpPr>
      <xdr:spPr>
        <a:xfrm>
          <a:off x="6835140" y="2026920"/>
          <a:ext cx="274320"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7</xdr:col>
      <xdr:colOff>226695</xdr:colOff>
      <xdr:row>9</xdr:row>
      <xdr:rowOff>38100</xdr:rowOff>
    </xdr:from>
    <xdr:to>
      <xdr:col>7</xdr:col>
      <xdr:colOff>491556</xdr:colOff>
      <xdr:row>9</xdr:row>
      <xdr:rowOff>121920</xdr:rowOff>
    </xdr:to>
    <xdr:sp macro="" textlink="">
      <xdr:nvSpPr>
        <xdr:cNvPr id="10" name="9 Rectángulo redondeado"/>
        <xdr:cNvSpPr/>
      </xdr:nvSpPr>
      <xdr:spPr>
        <a:xfrm>
          <a:off x="6842760" y="2583180"/>
          <a:ext cx="274320"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editAs="oneCell">
    <xdr:from>
      <xdr:col>0</xdr:col>
      <xdr:colOff>114300</xdr:colOff>
      <xdr:row>0</xdr:row>
      <xdr:rowOff>66675</xdr:rowOff>
    </xdr:from>
    <xdr:to>
      <xdr:col>0</xdr:col>
      <xdr:colOff>1428750</xdr:colOff>
      <xdr:row>0</xdr:row>
      <xdr:rowOff>847725</xdr:rowOff>
    </xdr:to>
    <xdr:pic>
      <xdr:nvPicPr>
        <xdr:cNvPr id="11"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4300" y="666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45720</xdr:colOff>
      <xdr:row>6</xdr:row>
      <xdr:rowOff>30480</xdr:rowOff>
    </xdr:from>
    <xdr:to>
      <xdr:col>7</xdr:col>
      <xdr:colOff>310581</xdr:colOff>
      <xdr:row>6</xdr:row>
      <xdr:rowOff>114300</xdr:rowOff>
    </xdr:to>
    <xdr:sp macro="" textlink="">
      <xdr:nvSpPr>
        <xdr:cNvPr id="3" name="2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4" name="3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5" name="4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6" name="5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7" name="6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8" name="7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9" name="8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10" name="9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11" name="10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12" name="11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13" name="12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14" name="13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15" name="14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16" name="15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17" name="16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18" name="17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19" name="18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20" name="19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21" name="20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22" name="21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23" name="22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24" name="23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25" name="24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26" name="25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27" name="26 Rectángulo redondeado"/>
        <xdr:cNvSpPr/>
      </xdr:nvSpPr>
      <xdr:spPr>
        <a:xfrm>
          <a:off x="537972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28" name="27 Rectángulo redondeado"/>
        <xdr:cNvSpPr/>
      </xdr:nvSpPr>
      <xdr:spPr>
        <a:xfrm>
          <a:off x="5372100"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29" name="28 Rectángulo redondeado"/>
        <xdr:cNvSpPr/>
      </xdr:nvSpPr>
      <xdr:spPr>
        <a:xfrm>
          <a:off x="5379720"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30" name="29 Rectángulo redondeado"/>
        <xdr:cNvSpPr/>
      </xdr:nvSpPr>
      <xdr:spPr>
        <a:xfrm>
          <a:off x="5623560"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31" name="30 Rectángulo redondeado"/>
        <xdr:cNvSpPr/>
      </xdr:nvSpPr>
      <xdr:spPr>
        <a:xfrm>
          <a:off x="5850255"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32" name="31 Rectángulo redondeado"/>
        <xdr:cNvSpPr/>
      </xdr:nvSpPr>
      <xdr:spPr>
        <a:xfrm>
          <a:off x="537210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33" name="32 Rectángulo redondeado"/>
        <xdr:cNvSpPr/>
      </xdr:nvSpPr>
      <xdr:spPr>
        <a:xfrm>
          <a:off x="631507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34" name="33 Rectángulo redondeado"/>
        <xdr:cNvSpPr/>
      </xdr:nvSpPr>
      <xdr:spPr>
        <a:xfrm>
          <a:off x="632269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36" name="35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37" name="36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38" name="37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39" name="38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40" name="39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41" name="40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42" name="41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43" name="42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44" name="43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45" name="44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46" name="45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47" name="46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48" name="47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49" name="48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50" name="49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51" name="50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52" name="51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53" name="52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54" name="53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55" name="54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56" name="55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57" name="56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58" name="57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59" name="58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6</xdr:row>
      <xdr:rowOff>30480</xdr:rowOff>
    </xdr:from>
    <xdr:to>
      <xdr:col>7</xdr:col>
      <xdr:colOff>310581</xdr:colOff>
      <xdr:row>6</xdr:row>
      <xdr:rowOff>114300</xdr:rowOff>
    </xdr:to>
    <xdr:sp macro="" textlink="">
      <xdr:nvSpPr>
        <xdr:cNvPr id="60" name="59 Rectángulo redondeado"/>
        <xdr:cNvSpPr/>
      </xdr:nvSpPr>
      <xdr:spPr>
        <a:xfrm>
          <a:off x="6151245"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7</xdr:row>
      <xdr:rowOff>38100</xdr:rowOff>
    </xdr:from>
    <xdr:to>
      <xdr:col>7</xdr:col>
      <xdr:colOff>302961</xdr:colOff>
      <xdr:row>7</xdr:row>
      <xdr:rowOff>121920</xdr:rowOff>
    </xdr:to>
    <xdr:sp macro="" textlink="">
      <xdr:nvSpPr>
        <xdr:cNvPr id="61" name="60 Rectángulo redondeado"/>
        <xdr:cNvSpPr/>
      </xdr:nvSpPr>
      <xdr:spPr>
        <a:xfrm>
          <a:off x="6143625" y="2247900"/>
          <a:ext cx="264861" cy="83820"/>
        </a:xfrm>
        <a:prstGeom prst="roundRect">
          <a:avLst/>
        </a:prstGeom>
        <a:no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45720</xdr:colOff>
      <xdr:row>8</xdr:row>
      <xdr:rowOff>43815</xdr:rowOff>
    </xdr:from>
    <xdr:to>
      <xdr:col>7</xdr:col>
      <xdr:colOff>196327</xdr:colOff>
      <xdr:row>8</xdr:row>
      <xdr:rowOff>112395</xdr:rowOff>
    </xdr:to>
    <xdr:sp macro="" textlink="">
      <xdr:nvSpPr>
        <xdr:cNvPr id="62" name="61 Rectángulo redondeado"/>
        <xdr:cNvSpPr/>
      </xdr:nvSpPr>
      <xdr:spPr>
        <a:xfrm>
          <a:off x="6151245" y="2444115"/>
          <a:ext cx="150607" cy="68580"/>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289560</xdr:colOff>
      <xdr:row>8</xdr:row>
      <xdr:rowOff>43815</xdr:rowOff>
    </xdr:from>
    <xdr:to>
      <xdr:col>7</xdr:col>
      <xdr:colOff>440167</xdr:colOff>
      <xdr:row>8</xdr:row>
      <xdr:rowOff>112395</xdr:rowOff>
    </xdr:to>
    <xdr:sp macro="" textlink="">
      <xdr:nvSpPr>
        <xdr:cNvPr id="63" name="62 Rectángulo redondeado"/>
        <xdr:cNvSpPr/>
      </xdr:nvSpPr>
      <xdr:spPr>
        <a:xfrm>
          <a:off x="6395085" y="2444115"/>
          <a:ext cx="150607" cy="68580"/>
        </a:xfrm>
        <a:prstGeom prst="roundRect">
          <a:avLst/>
        </a:prstGeom>
        <a:noFill/>
        <a:ln>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516255</xdr:colOff>
      <xdr:row>8</xdr:row>
      <xdr:rowOff>43815</xdr:rowOff>
    </xdr:from>
    <xdr:to>
      <xdr:col>7</xdr:col>
      <xdr:colOff>666862</xdr:colOff>
      <xdr:row>8</xdr:row>
      <xdr:rowOff>112395</xdr:rowOff>
    </xdr:to>
    <xdr:sp macro="" textlink="">
      <xdr:nvSpPr>
        <xdr:cNvPr id="64" name="63 Rectángulo redondeado"/>
        <xdr:cNvSpPr/>
      </xdr:nvSpPr>
      <xdr:spPr>
        <a:xfrm>
          <a:off x="6621780" y="2444115"/>
          <a:ext cx="150607" cy="68580"/>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7</xdr:col>
      <xdr:colOff>38100</xdr:colOff>
      <xdr:row>9</xdr:row>
      <xdr:rowOff>38100</xdr:rowOff>
    </xdr:from>
    <xdr:to>
      <xdr:col>7</xdr:col>
      <xdr:colOff>302961</xdr:colOff>
      <xdr:row>9</xdr:row>
      <xdr:rowOff>121920</xdr:rowOff>
    </xdr:to>
    <xdr:sp macro="" textlink="">
      <xdr:nvSpPr>
        <xdr:cNvPr id="65" name="64 Rectángulo redondeado"/>
        <xdr:cNvSpPr/>
      </xdr:nvSpPr>
      <xdr:spPr>
        <a:xfrm>
          <a:off x="6143625"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xdr:from>
      <xdr:col>8</xdr:col>
      <xdr:colOff>219075</xdr:colOff>
      <xdr:row>6</xdr:row>
      <xdr:rowOff>30480</xdr:rowOff>
    </xdr:from>
    <xdr:to>
      <xdr:col>8</xdr:col>
      <xdr:colOff>483936</xdr:colOff>
      <xdr:row>6</xdr:row>
      <xdr:rowOff>114300</xdr:rowOff>
    </xdr:to>
    <xdr:sp macro="" textlink="">
      <xdr:nvSpPr>
        <xdr:cNvPr id="66" name="65 Rectángulo redondeado"/>
        <xdr:cNvSpPr/>
      </xdr:nvSpPr>
      <xdr:spPr>
        <a:xfrm>
          <a:off x="7029450" y="2049780"/>
          <a:ext cx="264861" cy="83820"/>
        </a:xfrm>
        <a:prstGeom prst="roundRect">
          <a:avLst/>
        </a:prstGeom>
        <a:noFill/>
        <a:ln>
          <a:solidFill>
            <a:schemeClr val="accent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endParaRPr lang="es-ES"/>
        </a:p>
      </xdr:txBody>
    </xdr:sp>
    <xdr:clientData/>
  </xdr:twoCellAnchor>
  <xdr:twoCellAnchor>
    <xdr:from>
      <xdr:col>8</xdr:col>
      <xdr:colOff>226695</xdr:colOff>
      <xdr:row>9</xdr:row>
      <xdr:rowOff>38100</xdr:rowOff>
    </xdr:from>
    <xdr:to>
      <xdr:col>8</xdr:col>
      <xdr:colOff>491556</xdr:colOff>
      <xdr:row>9</xdr:row>
      <xdr:rowOff>121920</xdr:rowOff>
    </xdr:to>
    <xdr:sp macro="" textlink="">
      <xdr:nvSpPr>
        <xdr:cNvPr id="67" name="66 Rectángulo redondeado"/>
        <xdr:cNvSpPr/>
      </xdr:nvSpPr>
      <xdr:spPr>
        <a:xfrm>
          <a:off x="7037070" y="2600325"/>
          <a:ext cx="264861" cy="838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ES"/>
        </a:p>
      </xdr:txBody>
    </xdr:sp>
    <xdr:clientData/>
  </xdr:twoCellAnchor>
  <xdr:twoCellAnchor editAs="oneCell">
    <xdr:from>
      <xdr:col>1</xdr:col>
      <xdr:colOff>114300</xdr:colOff>
      <xdr:row>0</xdr:row>
      <xdr:rowOff>95250</xdr:rowOff>
    </xdr:from>
    <xdr:to>
      <xdr:col>1</xdr:col>
      <xdr:colOff>1428750</xdr:colOff>
      <xdr:row>0</xdr:row>
      <xdr:rowOff>876300</xdr:rowOff>
    </xdr:to>
    <xdr:pic>
      <xdr:nvPicPr>
        <xdr:cNvPr id="799660"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4325" y="9525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452438</xdr:colOff>
      <xdr:row>0</xdr:row>
      <xdr:rowOff>142875</xdr:rowOff>
    </xdr:from>
    <xdr:to>
      <xdr:col>7</xdr:col>
      <xdr:colOff>71439</xdr:colOff>
      <xdr:row>0</xdr:row>
      <xdr:rowOff>2152098</xdr:rowOff>
    </xdr:to>
    <xdr:pic>
      <xdr:nvPicPr>
        <xdr:cNvPr id="3"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62188" y="142875"/>
          <a:ext cx="3381376" cy="20092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85725</xdr:colOff>
      <xdr:row>1</xdr:row>
      <xdr:rowOff>85725</xdr:rowOff>
    </xdr:from>
    <xdr:to>
      <xdr:col>10</xdr:col>
      <xdr:colOff>647700</xdr:colOff>
      <xdr:row>23</xdr:row>
      <xdr:rowOff>85725</xdr:rowOff>
    </xdr:to>
    <xdr:graphicFrame macro="">
      <xdr:nvGraphicFramePr>
        <xdr:cNvPr id="711852" name="1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123825</xdr:colOff>
      <xdr:row>0</xdr:row>
      <xdr:rowOff>114300</xdr:rowOff>
    </xdr:from>
    <xdr:to>
      <xdr:col>1</xdr:col>
      <xdr:colOff>676275</xdr:colOff>
      <xdr:row>0</xdr:row>
      <xdr:rowOff>895350</xdr:rowOff>
    </xdr:to>
    <xdr:pic>
      <xdr:nvPicPr>
        <xdr:cNvPr id="4" name="69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3825" y="11430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152400</xdr:colOff>
      <xdr:row>0</xdr:row>
      <xdr:rowOff>38100</xdr:rowOff>
    </xdr:from>
    <xdr:to>
      <xdr:col>1</xdr:col>
      <xdr:colOff>704850</xdr:colOff>
      <xdr:row>0</xdr:row>
      <xdr:rowOff>819150</xdr:rowOff>
    </xdr:to>
    <xdr:pic>
      <xdr:nvPicPr>
        <xdr:cNvPr id="3"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38100"/>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161925</xdr:colOff>
      <xdr:row>0</xdr:row>
      <xdr:rowOff>28575</xdr:rowOff>
    </xdr:from>
    <xdr:to>
      <xdr:col>2</xdr:col>
      <xdr:colOff>123825</xdr:colOff>
      <xdr:row>0</xdr:row>
      <xdr:rowOff>747367</xdr:rowOff>
    </xdr:to>
    <xdr:pic>
      <xdr:nvPicPr>
        <xdr:cNvPr id="3"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1925" y="28575"/>
          <a:ext cx="1209675" cy="7187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0</xdr:row>
      <xdr:rowOff>66675</xdr:rowOff>
    </xdr:from>
    <xdr:to>
      <xdr:col>0</xdr:col>
      <xdr:colOff>1428750</xdr:colOff>
      <xdr:row>0</xdr:row>
      <xdr:rowOff>847725</xdr:rowOff>
    </xdr:to>
    <xdr:pic>
      <xdr:nvPicPr>
        <xdr:cNvPr id="3" name="69 Imagen"/>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4300" y="666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142262</xdr:colOff>
      <xdr:row>0</xdr:row>
      <xdr:rowOff>95249</xdr:rowOff>
    </xdr:from>
    <xdr:to>
      <xdr:col>4</xdr:col>
      <xdr:colOff>442037</xdr:colOff>
      <xdr:row>1</xdr:row>
      <xdr:rowOff>352424</xdr:rowOff>
    </xdr:to>
    <xdr:pic>
      <xdr:nvPicPr>
        <xdr:cNvPr id="6" name="5 Imagen" descr="http://www.probersistemas.es/images/iso_big.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51987" y="95249"/>
          <a:ext cx="756975" cy="714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161925</xdr:colOff>
      <xdr:row>0</xdr:row>
      <xdr:rowOff>66675</xdr:rowOff>
    </xdr:from>
    <xdr:to>
      <xdr:col>2</xdr:col>
      <xdr:colOff>285750</xdr:colOff>
      <xdr:row>1</xdr:row>
      <xdr:rowOff>390525</xdr:rowOff>
    </xdr:to>
    <xdr:pic>
      <xdr:nvPicPr>
        <xdr:cNvPr id="7" name="69 Imagen"/>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1925" y="66675"/>
          <a:ext cx="131445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57150</xdr:colOff>
      <xdr:row>1</xdr:row>
      <xdr:rowOff>142960</xdr:rowOff>
    </xdr:from>
    <xdr:to>
      <xdr:col>4</xdr:col>
      <xdr:colOff>304800</xdr:colOff>
      <xdr:row>2</xdr:row>
      <xdr:rowOff>346407</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447760"/>
          <a:ext cx="2257425" cy="4034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BO632"/>
  <sheetViews>
    <sheetView tabSelected="1" topLeftCell="A13" zoomScaleNormal="100" workbookViewId="0">
      <selection activeCell="N36" sqref="N36"/>
    </sheetView>
  </sheetViews>
  <sheetFormatPr baseColWidth="10" defaultRowHeight="12.75" x14ac:dyDescent="0.2"/>
  <cols>
    <col min="1" max="1" width="23.85546875" style="51" customWidth="1"/>
    <col min="2" max="8" width="7.42578125" style="51" customWidth="1"/>
    <col min="9" max="9" width="11.5703125" style="51" customWidth="1"/>
    <col min="10" max="11" width="11.42578125" style="135"/>
    <col min="12" max="12" width="10.42578125" style="135" customWidth="1"/>
    <col min="13" max="67" width="11.42578125" style="135"/>
    <col min="68" max="16384" width="11.42578125" style="51"/>
  </cols>
  <sheetData>
    <row r="1" spans="1:12" ht="63.75" customHeight="1" x14ac:dyDescent="0.2">
      <c r="A1" s="50"/>
      <c r="B1" s="228" t="s">
        <v>83</v>
      </c>
      <c r="C1" s="228"/>
      <c r="D1" s="228"/>
      <c r="E1" s="228"/>
      <c r="F1" s="228"/>
      <c r="G1" s="228"/>
      <c r="H1" s="229" t="s">
        <v>96</v>
      </c>
      <c r="I1" s="229"/>
    </row>
    <row r="2" spans="1:12" x14ac:dyDescent="0.2">
      <c r="A2" s="227" t="s">
        <v>82</v>
      </c>
      <c r="B2" s="227"/>
      <c r="C2" s="227"/>
      <c r="D2" s="227"/>
      <c r="E2" s="227"/>
      <c r="F2" s="227"/>
      <c r="G2" s="227"/>
      <c r="H2" s="227"/>
      <c r="I2" s="227"/>
    </row>
    <row r="3" spans="1:12" ht="14.25" x14ac:dyDescent="0.2">
      <c r="A3" s="8" t="s">
        <v>14</v>
      </c>
      <c r="B3" s="216" t="str">
        <f>IF(AND(ISBLANK('Orden de Pedido'!B12)),"",'Orden de Pedido'!B12)</f>
        <v/>
      </c>
      <c r="C3" s="217"/>
      <c r="D3" s="217"/>
      <c r="E3" s="217"/>
      <c r="F3" s="217"/>
      <c r="G3" s="217"/>
      <c r="H3" s="217"/>
      <c r="I3" s="218"/>
    </row>
    <row r="4" spans="1:12" ht="14.25" x14ac:dyDescent="0.2">
      <c r="A4" s="8" t="s">
        <v>15</v>
      </c>
      <c r="B4" s="216" t="str">
        <f>IF(AND(ISBLANK('Orden de Pedido'!B13)),"",'Orden de Pedido'!B13)</f>
        <v/>
      </c>
      <c r="C4" s="217"/>
      <c r="D4" s="217"/>
      <c r="E4" s="217"/>
      <c r="F4" s="217"/>
      <c r="G4" s="217"/>
      <c r="H4" s="217"/>
      <c r="I4" s="218"/>
    </row>
    <row r="5" spans="1:12" ht="14.25" x14ac:dyDescent="0.2">
      <c r="A5" s="8" t="s">
        <v>16</v>
      </c>
      <c r="B5" s="216" t="str">
        <f>IF(AND(ISBLANK('Orden de Pedido'!B14)),"",'Orden de Pedido'!B14)</f>
        <v/>
      </c>
      <c r="C5" s="217"/>
      <c r="D5" s="217"/>
      <c r="E5" s="217"/>
      <c r="F5" s="217"/>
      <c r="G5" s="217"/>
      <c r="H5" s="217"/>
      <c r="I5" s="218"/>
    </row>
    <row r="6" spans="1:12" ht="14.25" x14ac:dyDescent="0.2">
      <c r="A6" s="8" t="s">
        <v>17</v>
      </c>
      <c r="B6" s="216" t="str">
        <f>IF(AND(ISBLANK('Orden de Pedido'!B15)),"",'Orden de Pedido'!B15)</f>
        <v/>
      </c>
      <c r="C6" s="217"/>
      <c r="D6" s="217"/>
      <c r="E6" s="217"/>
      <c r="F6" s="217"/>
      <c r="G6" s="217"/>
      <c r="H6" s="217"/>
      <c r="I6" s="218"/>
    </row>
    <row r="7" spans="1:12" ht="14.25" x14ac:dyDescent="0.2">
      <c r="A7" s="41" t="s">
        <v>18</v>
      </c>
      <c r="B7" s="224" t="str">
        <f>IF(AND(ISBLANK('Orden de Pedido'!B16)),"",'Orden de Pedido'!B16)</f>
        <v/>
      </c>
      <c r="C7" s="225"/>
      <c r="D7" s="225"/>
      <c r="E7" s="225"/>
      <c r="F7" s="225"/>
      <c r="G7" s="225"/>
      <c r="H7" s="225"/>
      <c r="I7" s="226"/>
      <c r="L7" s="136"/>
    </row>
    <row r="8" spans="1:12" x14ac:dyDescent="0.2">
      <c r="A8" s="227" t="s">
        <v>19</v>
      </c>
      <c r="B8" s="227"/>
      <c r="C8" s="227"/>
      <c r="D8" s="227"/>
      <c r="E8" s="227"/>
      <c r="F8" s="227"/>
      <c r="G8" s="227"/>
      <c r="H8" s="227"/>
      <c r="I8" s="227"/>
    </row>
    <row r="9" spans="1:12" ht="14.25" x14ac:dyDescent="0.2">
      <c r="A9" s="8" t="s">
        <v>14</v>
      </c>
      <c r="B9" s="216" t="str">
        <f>IF(AND(ISBLANK('Orden de Pedido'!G18)),"",'Orden de Pedido'!G18)</f>
        <v/>
      </c>
      <c r="C9" s="217"/>
      <c r="D9" s="217"/>
      <c r="E9" s="217"/>
      <c r="F9" s="217"/>
      <c r="G9" s="217"/>
      <c r="H9" s="217"/>
      <c r="I9" s="218"/>
    </row>
    <row r="10" spans="1:12" ht="14.25" x14ac:dyDescent="0.2">
      <c r="A10" s="8" t="s">
        <v>15</v>
      </c>
      <c r="B10" s="216" t="str">
        <f>IF(AND(ISBLANK('Orden de Pedido'!G19)),"",'Orden de Pedido'!G19)</f>
        <v/>
      </c>
      <c r="C10" s="217"/>
      <c r="D10" s="217"/>
      <c r="E10" s="217"/>
      <c r="F10" s="217"/>
      <c r="G10" s="217"/>
      <c r="H10" s="217"/>
      <c r="I10" s="218"/>
    </row>
    <row r="11" spans="1:12" ht="14.25" x14ac:dyDescent="0.2">
      <c r="A11" s="8" t="s">
        <v>16</v>
      </c>
      <c r="B11" s="216" t="str">
        <f>IF(AND(ISBLANK('Orden de Pedido'!G20)),"",'Orden de Pedido'!G20)</f>
        <v/>
      </c>
      <c r="C11" s="217"/>
      <c r="D11" s="217"/>
      <c r="E11" s="217"/>
      <c r="F11" s="217"/>
      <c r="G11" s="217"/>
      <c r="H11" s="217"/>
      <c r="I11" s="218"/>
    </row>
    <row r="12" spans="1:12" ht="14.25" x14ac:dyDescent="0.2">
      <c r="A12" s="8" t="s">
        <v>17</v>
      </c>
      <c r="B12" s="216" t="str">
        <f>IF(AND(ISBLANK('Orden de Pedido'!G21)),"",'Orden de Pedido'!G21)</f>
        <v/>
      </c>
      <c r="C12" s="217"/>
      <c r="D12" s="217"/>
      <c r="E12" s="217"/>
      <c r="F12" s="217"/>
      <c r="G12" s="217"/>
      <c r="H12" s="217"/>
      <c r="I12" s="218"/>
    </row>
    <row r="13" spans="1:12" x14ac:dyDescent="0.2">
      <c r="A13" s="219" t="s">
        <v>20</v>
      </c>
      <c r="B13" s="219"/>
      <c r="C13" s="219"/>
      <c r="D13" s="219"/>
      <c r="E13" s="219"/>
      <c r="F13" s="219"/>
      <c r="G13" s="219"/>
      <c r="H13" s="219"/>
      <c r="I13" s="219"/>
    </row>
    <row r="14" spans="1:12" ht="50.25" customHeight="1" x14ac:dyDescent="0.2">
      <c r="A14" s="220" t="str">
        <f>IF(AND(ISBLANK('Orden de Pedido'!A28)),"",'Orden de Pedido'!A28)</f>
        <v/>
      </c>
      <c r="B14" s="220"/>
      <c r="C14" s="220"/>
      <c r="D14" s="220"/>
      <c r="E14" s="220"/>
      <c r="F14" s="220"/>
      <c r="G14" s="220"/>
      <c r="H14" s="220"/>
      <c r="I14" s="220"/>
    </row>
    <row r="15" spans="1:12" x14ac:dyDescent="0.2">
      <c r="A15" s="221" t="s">
        <v>21</v>
      </c>
      <c r="B15" s="221"/>
      <c r="C15" s="221"/>
      <c r="D15" s="221"/>
      <c r="E15" s="221"/>
      <c r="F15" s="221"/>
      <c r="G15" s="221"/>
      <c r="H15" s="221"/>
      <c r="I15" s="221"/>
    </row>
    <row r="16" spans="1:12" x14ac:dyDescent="0.2">
      <c r="A16" s="8" t="s">
        <v>22</v>
      </c>
      <c r="B16" s="212"/>
      <c r="C16" s="212"/>
      <c r="D16" s="212"/>
      <c r="E16" s="212"/>
      <c r="F16" s="212"/>
      <c r="G16" s="212"/>
      <c r="H16" s="212"/>
      <c r="I16" s="212"/>
    </row>
    <row r="17" spans="1:9" x14ac:dyDescent="0.2">
      <c r="A17" s="8" t="s">
        <v>23</v>
      </c>
      <c r="B17" s="212"/>
      <c r="C17" s="212"/>
      <c r="D17" s="212"/>
      <c r="E17" s="212"/>
      <c r="F17" s="212"/>
      <c r="G17" s="212"/>
      <c r="H17" s="212"/>
      <c r="I17" s="212"/>
    </row>
    <row r="18" spans="1:9" x14ac:dyDescent="0.2">
      <c r="A18" s="8" t="s">
        <v>24</v>
      </c>
      <c r="B18" s="212"/>
      <c r="C18" s="212"/>
      <c r="D18" s="212"/>
      <c r="E18" s="212"/>
      <c r="F18" s="212"/>
      <c r="G18" s="212"/>
      <c r="H18" s="212"/>
      <c r="I18" s="212"/>
    </row>
    <row r="19" spans="1:9" x14ac:dyDescent="0.2">
      <c r="A19" s="8" t="s">
        <v>25</v>
      </c>
      <c r="B19" s="222"/>
      <c r="C19" s="223"/>
      <c r="D19" s="223"/>
      <c r="E19" s="223"/>
      <c r="F19" s="223"/>
      <c r="G19" s="223"/>
      <c r="H19" s="223"/>
      <c r="I19" s="223"/>
    </row>
    <row r="20" spans="1:9" x14ac:dyDescent="0.2">
      <c r="A20" s="8" t="s">
        <v>14</v>
      </c>
      <c r="B20" s="212"/>
      <c r="C20" s="212"/>
      <c r="D20" s="212"/>
      <c r="E20" s="212"/>
      <c r="F20" s="212"/>
      <c r="G20" s="212"/>
      <c r="H20" s="212"/>
      <c r="I20" s="212"/>
    </row>
    <row r="21" spans="1:9" x14ac:dyDescent="0.2">
      <c r="A21" s="8" t="s">
        <v>15</v>
      </c>
      <c r="B21" s="212"/>
      <c r="C21" s="212"/>
      <c r="D21" s="212"/>
      <c r="E21" s="212"/>
      <c r="F21" s="212"/>
      <c r="G21" s="212"/>
      <c r="H21" s="212"/>
      <c r="I21" s="212"/>
    </row>
    <row r="22" spans="1:9" x14ac:dyDescent="0.2">
      <c r="A22" s="39" t="s">
        <v>16</v>
      </c>
      <c r="B22" s="212"/>
      <c r="C22" s="212"/>
      <c r="D22" s="212"/>
      <c r="E22" s="212"/>
      <c r="F22" s="212"/>
      <c r="G22" s="212"/>
      <c r="H22" s="212"/>
      <c r="I22" s="212"/>
    </row>
    <row r="23" spans="1:9" x14ac:dyDescent="0.2">
      <c r="A23" s="39" t="s">
        <v>17</v>
      </c>
      <c r="B23" s="211"/>
      <c r="C23" s="211"/>
      <c r="D23" s="211"/>
      <c r="E23" s="211"/>
      <c r="F23" s="211"/>
      <c r="G23" s="211"/>
      <c r="H23" s="211"/>
      <c r="I23" s="211"/>
    </row>
    <row r="24" spans="1:9" x14ac:dyDescent="0.2">
      <c r="A24" s="8" t="s">
        <v>26</v>
      </c>
      <c r="B24" s="207"/>
      <c r="C24" s="207"/>
      <c r="D24" s="207"/>
      <c r="E24" s="207"/>
      <c r="F24" s="207"/>
      <c r="G24" s="207"/>
      <c r="H24" s="207"/>
      <c r="I24" s="207"/>
    </row>
    <row r="25" spans="1:9" x14ac:dyDescent="0.2">
      <c r="A25" s="8" t="s">
        <v>27</v>
      </c>
      <c r="B25" s="208"/>
      <c r="C25" s="209"/>
      <c r="D25" s="209"/>
      <c r="E25" s="209"/>
      <c r="F25" s="209"/>
      <c r="G25" s="209"/>
      <c r="H25" s="209"/>
      <c r="I25" s="210"/>
    </row>
    <row r="26" spans="1:9" x14ac:dyDescent="0.2">
      <c r="A26" s="39" t="s">
        <v>28</v>
      </c>
      <c r="B26" s="211"/>
      <c r="C26" s="211"/>
      <c r="D26" s="211"/>
      <c r="E26" s="211"/>
      <c r="F26" s="211"/>
      <c r="G26" s="211"/>
      <c r="H26" s="211"/>
      <c r="I26" s="211"/>
    </row>
    <row r="27" spans="1:9" x14ac:dyDescent="0.2">
      <c r="A27" s="39" t="s">
        <v>29</v>
      </c>
      <c r="B27" s="212"/>
      <c r="C27" s="212"/>
      <c r="D27" s="212"/>
      <c r="E27" s="212"/>
      <c r="F27" s="212"/>
      <c r="G27" s="212"/>
      <c r="H27" s="212"/>
      <c r="I27" s="212"/>
    </row>
    <row r="28" spans="1:9" ht="36.75" customHeight="1" x14ac:dyDescent="0.2">
      <c r="A28" s="40" t="s">
        <v>30</v>
      </c>
      <c r="B28" s="213"/>
      <c r="C28" s="214"/>
      <c r="D28" s="214"/>
      <c r="E28" s="214"/>
      <c r="F28" s="214"/>
      <c r="G28" s="214"/>
      <c r="H28" s="214"/>
      <c r="I28" s="215"/>
    </row>
    <row r="29" spans="1:9" x14ac:dyDescent="0.2">
      <c r="A29" s="39" t="s">
        <v>31</v>
      </c>
      <c r="B29" s="174" t="s">
        <v>32</v>
      </c>
      <c r="C29" s="175"/>
      <c r="D29" s="175"/>
      <c r="E29" s="175"/>
      <c r="F29" s="175"/>
      <c r="G29" s="175"/>
      <c r="H29" s="175"/>
      <c r="I29" s="176"/>
    </row>
    <row r="30" spans="1:9" x14ac:dyDescent="0.2">
      <c r="A30" s="40" t="s">
        <v>33</v>
      </c>
      <c r="B30" s="177" t="s">
        <v>34</v>
      </c>
      <c r="C30" s="177"/>
      <c r="D30" s="177"/>
      <c r="E30" s="177"/>
      <c r="F30" s="177"/>
      <c r="G30" s="177"/>
      <c r="H30" s="177"/>
      <c r="I30" s="177"/>
    </row>
    <row r="31" spans="1:9" ht="15" customHeight="1" x14ac:dyDescent="0.2">
      <c r="A31" s="178" t="s">
        <v>35</v>
      </c>
      <c r="B31" s="179"/>
      <c r="C31" s="179"/>
      <c r="D31" s="179"/>
      <c r="E31" s="179"/>
      <c r="F31" s="179"/>
      <c r="G31" s="179"/>
      <c r="H31" s="179"/>
      <c r="I31" s="180"/>
    </row>
    <row r="32" spans="1:9" x14ac:dyDescent="0.2">
      <c r="A32" s="181"/>
      <c r="B32" s="182"/>
      <c r="C32" s="182"/>
      <c r="D32" s="182"/>
      <c r="E32" s="182"/>
      <c r="F32" s="182"/>
      <c r="G32" s="182"/>
      <c r="H32" s="182"/>
      <c r="I32" s="183"/>
    </row>
    <row r="33" spans="1:9" x14ac:dyDescent="0.2">
      <c r="A33" s="181"/>
      <c r="B33" s="182"/>
      <c r="C33" s="182"/>
      <c r="D33" s="182"/>
      <c r="E33" s="182"/>
      <c r="F33" s="182"/>
      <c r="G33" s="182"/>
      <c r="H33" s="182"/>
      <c r="I33" s="183"/>
    </row>
    <row r="34" spans="1:9" x14ac:dyDescent="0.2">
      <c r="A34" s="181"/>
      <c r="B34" s="182"/>
      <c r="C34" s="182"/>
      <c r="D34" s="182"/>
      <c r="E34" s="182"/>
      <c r="F34" s="182"/>
      <c r="G34" s="182"/>
      <c r="H34" s="182"/>
      <c r="I34" s="183"/>
    </row>
    <row r="35" spans="1:9" x14ac:dyDescent="0.2">
      <c r="A35" s="181"/>
      <c r="B35" s="182"/>
      <c r="C35" s="182"/>
      <c r="D35" s="182"/>
      <c r="E35" s="182"/>
      <c r="F35" s="182"/>
      <c r="G35" s="182"/>
      <c r="H35" s="182"/>
      <c r="I35" s="183"/>
    </row>
    <row r="36" spans="1:9" x14ac:dyDescent="0.2">
      <c r="A36" s="181"/>
      <c r="B36" s="182"/>
      <c r="C36" s="182"/>
      <c r="D36" s="182"/>
      <c r="E36" s="182"/>
      <c r="F36" s="182"/>
      <c r="G36" s="182"/>
      <c r="H36" s="182"/>
      <c r="I36" s="183"/>
    </row>
    <row r="37" spans="1:9" x14ac:dyDescent="0.2">
      <c r="A37" s="181"/>
      <c r="B37" s="182"/>
      <c r="C37" s="182"/>
      <c r="D37" s="182"/>
      <c r="E37" s="182"/>
      <c r="F37" s="182"/>
      <c r="G37" s="182"/>
      <c r="H37" s="182"/>
      <c r="I37" s="183"/>
    </row>
    <row r="38" spans="1:9" x14ac:dyDescent="0.2">
      <c r="A38" s="181"/>
      <c r="B38" s="182"/>
      <c r="C38" s="182"/>
      <c r="D38" s="182"/>
      <c r="E38" s="182"/>
      <c r="F38" s="182"/>
      <c r="G38" s="182"/>
      <c r="H38" s="182"/>
      <c r="I38" s="183"/>
    </row>
    <row r="39" spans="1:9" x14ac:dyDescent="0.2">
      <c r="A39" s="181"/>
      <c r="B39" s="182"/>
      <c r="C39" s="182"/>
      <c r="D39" s="182"/>
      <c r="E39" s="182"/>
      <c r="F39" s="182"/>
      <c r="G39" s="182"/>
      <c r="H39" s="182"/>
      <c r="I39" s="183"/>
    </row>
    <row r="40" spans="1:9" x14ac:dyDescent="0.2">
      <c r="A40" s="181"/>
      <c r="B40" s="182"/>
      <c r="C40" s="182"/>
      <c r="D40" s="182"/>
      <c r="E40" s="182"/>
      <c r="F40" s="182"/>
      <c r="G40" s="182"/>
      <c r="H40" s="182"/>
      <c r="I40" s="183"/>
    </row>
    <row r="41" spans="1:9" x14ac:dyDescent="0.2">
      <c r="A41" s="181"/>
      <c r="B41" s="182"/>
      <c r="C41" s="182"/>
      <c r="D41" s="182"/>
      <c r="E41" s="182"/>
      <c r="F41" s="182"/>
      <c r="G41" s="182"/>
      <c r="H41" s="182"/>
      <c r="I41" s="183"/>
    </row>
    <row r="42" spans="1:9" ht="24.75" customHeight="1" thickBot="1" x14ac:dyDescent="0.25">
      <c r="A42" s="184"/>
      <c r="B42" s="185"/>
      <c r="C42" s="185"/>
      <c r="D42" s="185"/>
      <c r="E42" s="185"/>
      <c r="F42" s="185"/>
      <c r="G42" s="185"/>
      <c r="H42" s="185"/>
      <c r="I42" s="186"/>
    </row>
    <row r="43" spans="1:9" x14ac:dyDescent="0.2">
      <c r="A43" s="187"/>
      <c r="B43" s="188"/>
      <c r="C43" s="188"/>
      <c r="D43" s="189"/>
      <c r="E43" s="187"/>
      <c r="F43" s="188"/>
      <c r="G43" s="188"/>
      <c r="H43" s="188"/>
      <c r="I43" s="189"/>
    </row>
    <row r="44" spans="1:9" x14ac:dyDescent="0.2">
      <c r="A44" s="190"/>
      <c r="B44" s="191"/>
      <c r="C44" s="191"/>
      <c r="D44" s="192"/>
      <c r="E44" s="190"/>
      <c r="F44" s="191"/>
      <c r="G44" s="191"/>
      <c r="H44" s="191"/>
      <c r="I44" s="192"/>
    </row>
    <row r="45" spans="1:9" x14ac:dyDescent="0.2">
      <c r="A45" s="190"/>
      <c r="B45" s="191"/>
      <c r="C45" s="191"/>
      <c r="D45" s="192"/>
      <c r="E45" s="190"/>
      <c r="F45" s="191"/>
      <c r="G45" s="191"/>
      <c r="H45" s="191"/>
      <c r="I45" s="192"/>
    </row>
    <row r="46" spans="1:9" x14ac:dyDescent="0.2">
      <c r="A46" s="190"/>
      <c r="B46" s="191"/>
      <c r="C46" s="191"/>
      <c r="D46" s="192"/>
      <c r="E46" s="190"/>
      <c r="F46" s="191"/>
      <c r="G46" s="191"/>
      <c r="H46" s="191"/>
      <c r="I46" s="192"/>
    </row>
    <row r="47" spans="1:9" x14ac:dyDescent="0.2">
      <c r="A47" s="190"/>
      <c r="B47" s="191"/>
      <c r="C47" s="191"/>
      <c r="D47" s="192"/>
      <c r="E47" s="190"/>
      <c r="F47" s="191"/>
      <c r="G47" s="191"/>
      <c r="H47" s="191"/>
      <c r="I47" s="192"/>
    </row>
    <row r="48" spans="1:9" x14ac:dyDescent="0.2">
      <c r="A48" s="190"/>
      <c r="B48" s="191"/>
      <c r="C48" s="191"/>
      <c r="D48" s="192"/>
      <c r="E48" s="190"/>
      <c r="F48" s="191"/>
      <c r="G48" s="191"/>
      <c r="H48" s="191"/>
      <c r="I48" s="192"/>
    </row>
    <row r="49" spans="1:9" x14ac:dyDescent="0.2">
      <c r="A49" s="190"/>
      <c r="B49" s="191"/>
      <c r="C49" s="191"/>
      <c r="D49" s="192"/>
      <c r="E49" s="190"/>
      <c r="F49" s="191"/>
      <c r="G49" s="191"/>
      <c r="H49" s="191"/>
      <c r="I49" s="192"/>
    </row>
    <row r="50" spans="1:9" x14ac:dyDescent="0.2">
      <c r="A50" s="190"/>
      <c r="B50" s="191"/>
      <c r="C50" s="191"/>
      <c r="D50" s="192"/>
      <c r="E50" s="201" t="s">
        <v>97</v>
      </c>
      <c r="F50" s="202"/>
      <c r="G50" s="202"/>
      <c r="H50" s="202"/>
      <c r="I50" s="203"/>
    </row>
    <row r="51" spans="1:9" x14ac:dyDescent="0.2">
      <c r="A51" s="193"/>
      <c r="B51" s="194"/>
      <c r="C51" s="194"/>
      <c r="D51" s="195"/>
      <c r="E51" s="204"/>
      <c r="F51" s="205"/>
      <c r="G51" s="205"/>
      <c r="H51" s="205"/>
      <c r="I51" s="206"/>
    </row>
    <row r="52" spans="1:9" ht="12.75" customHeight="1" x14ac:dyDescent="0.2">
      <c r="A52" s="196" t="s">
        <v>36</v>
      </c>
      <c r="B52" s="197"/>
      <c r="C52" s="197"/>
      <c r="D52" s="198"/>
      <c r="E52" s="199" t="s">
        <v>84</v>
      </c>
      <c r="F52" s="200"/>
      <c r="G52" s="168" t="str">
        <f>IF(AND(ISBLANK('Orden de Pedido'!G18)),"",'Orden de Pedido'!G18)</f>
        <v/>
      </c>
      <c r="H52" s="168"/>
      <c r="I52" s="169"/>
    </row>
    <row r="53" spans="1:9" ht="12.75" customHeight="1" x14ac:dyDescent="0.2">
      <c r="A53" s="160" t="s">
        <v>37</v>
      </c>
      <c r="B53" s="161"/>
      <c r="C53" s="161"/>
      <c r="D53" s="162"/>
      <c r="E53" s="166" t="s">
        <v>38</v>
      </c>
      <c r="F53" s="167"/>
      <c r="G53" s="168" t="str">
        <f>IF(AND(ISBLANK('Orden de Pedido'!G19)),"",'Orden de Pedido'!G19)</f>
        <v/>
      </c>
      <c r="H53" s="168"/>
      <c r="I53" s="169"/>
    </row>
    <row r="54" spans="1:9" ht="13.5" thickBot="1" x14ac:dyDescent="0.25">
      <c r="A54" s="163"/>
      <c r="B54" s="164"/>
      <c r="C54" s="164"/>
      <c r="D54" s="165"/>
      <c r="E54" s="170" t="s">
        <v>39</v>
      </c>
      <c r="F54" s="171"/>
      <c r="G54" s="172" t="str">
        <f>IF(AND(ISBLANK('Orden de Pedido'!B16)),"",'Orden de Pedido'!B16)</f>
        <v/>
      </c>
      <c r="H54" s="172"/>
      <c r="I54" s="173"/>
    </row>
    <row r="55" spans="1:9" s="135" customFormat="1" x14ac:dyDescent="0.2"/>
    <row r="56" spans="1:9" s="135" customFormat="1" x14ac:dyDescent="0.2"/>
    <row r="57" spans="1:9" s="135" customFormat="1" x14ac:dyDescent="0.2"/>
    <row r="58" spans="1:9" s="135" customFormat="1" x14ac:dyDescent="0.2"/>
    <row r="59" spans="1:9" s="135" customFormat="1" x14ac:dyDescent="0.2"/>
    <row r="60" spans="1:9" s="135" customFormat="1" x14ac:dyDescent="0.2">
      <c r="A60" s="159"/>
      <c r="B60" s="159"/>
      <c r="C60" s="159"/>
      <c r="D60" s="159"/>
      <c r="E60" s="159"/>
      <c r="F60" s="159"/>
    </row>
    <row r="61" spans="1:9" s="135" customFormat="1" x14ac:dyDescent="0.2">
      <c r="A61" s="158"/>
      <c r="B61" s="158"/>
      <c r="C61" s="158"/>
      <c r="D61" s="158"/>
      <c r="E61" s="158"/>
      <c r="F61" s="158"/>
    </row>
    <row r="62" spans="1:9" s="135" customFormat="1" x14ac:dyDescent="0.2">
      <c r="A62" s="159"/>
      <c r="B62" s="159"/>
      <c r="C62" s="159"/>
      <c r="D62" s="159"/>
      <c r="E62" s="159"/>
      <c r="F62" s="159"/>
    </row>
    <row r="63" spans="1:9" s="135" customFormat="1" x14ac:dyDescent="0.2"/>
    <row r="64" spans="1:9" s="135" customFormat="1" x14ac:dyDescent="0.2"/>
    <row r="65" s="135" customFormat="1" x14ac:dyDescent="0.2"/>
    <row r="66" s="135" customFormat="1" x14ac:dyDescent="0.2"/>
    <row r="67" s="135" customFormat="1" x14ac:dyDescent="0.2"/>
    <row r="68" s="135" customFormat="1" x14ac:dyDescent="0.2"/>
    <row r="69" s="135" customFormat="1" x14ac:dyDescent="0.2"/>
    <row r="70" s="135" customFormat="1" x14ac:dyDescent="0.2"/>
    <row r="71" s="135" customFormat="1" x14ac:dyDescent="0.2"/>
    <row r="72" s="135" customFormat="1" x14ac:dyDescent="0.2"/>
    <row r="73" s="135" customFormat="1" x14ac:dyDescent="0.2"/>
    <row r="74" s="135" customFormat="1" x14ac:dyDescent="0.2"/>
    <row r="75" s="135" customFormat="1" x14ac:dyDescent="0.2"/>
    <row r="76" s="135" customFormat="1" x14ac:dyDescent="0.2"/>
    <row r="77" s="135" customFormat="1" x14ac:dyDescent="0.2"/>
    <row r="78" s="135" customFormat="1" x14ac:dyDescent="0.2"/>
    <row r="79" s="135" customFormat="1" x14ac:dyDescent="0.2"/>
    <row r="80" s="135" customFormat="1" x14ac:dyDescent="0.2"/>
    <row r="81" s="135" customFormat="1" x14ac:dyDescent="0.2"/>
    <row r="82" s="135" customFormat="1" x14ac:dyDescent="0.2"/>
    <row r="83" s="135" customFormat="1" x14ac:dyDescent="0.2"/>
    <row r="84" s="135" customFormat="1" x14ac:dyDescent="0.2"/>
    <row r="85" s="135" customFormat="1" x14ac:dyDescent="0.2"/>
    <row r="86" s="135" customFormat="1" x14ac:dyDescent="0.2"/>
    <row r="87" s="135" customFormat="1" x14ac:dyDescent="0.2"/>
    <row r="88" s="135" customFormat="1" x14ac:dyDescent="0.2"/>
    <row r="89" s="135" customFormat="1" x14ac:dyDescent="0.2"/>
    <row r="90" s="135" customFormat="1" x14ac:dyDescent="0.2"/>
    <row r="91" s="135" customFormat="1" x14ac:dyDescent="0.2"/>
    <row r="92" s="135" customFormat="1" x14ac:dyDescent="0.2"/>
    <row r="93" s="135" customFormat="1" x14ac:dyDescent="0.2"/>
    <row r="94" s="135" customFormat="1" x14ac:dyDescent="0.2"/>
    <row r="95" s="135" customFormat="1" x14ac:dyDescent="0.2"/>
    <row r="96" s="135" customFormat="1" x14ac:dyDescent="0.2"/>
    <row r="97" s="135" customFormat="1" x14ac:dyDescent="0.2"/>
    <row r="98" s="135" customFormat="1" x14ac:dyDescent="0.2"/>
    <row r="99" s="135" customFormat="1" x14ac:dyDescent="0.2"/>
    <row r="100" s="135" customFormat="1" x14ac:dyDescent="0.2"/>
    <row r="101" s="135" customFormat="1" x14ac:dyDescent="0.2"/>
    <row r="102" s="135" customFormat="1" x14ac:dyDescent="0.2"/>
    <row r="103" s="135" customFormat="1" x14ac:dyDescent="0.2"/>
    <row r="104" s="135" customFormat="1" x14ac:dyDescent="0.2"/>
    <row r="105" s="135" customFormat="1" x14ac:dyDescent="0.2"/>
    <row r="106" s="135" customFormat="1" x14ac:dyDescent="0.2"/>
    <row r="107" s="135" customFormat="1" x14ac:dyDescent="0.2"/>
    <row r="108" s="135" customFormat="1" x14ac:dyDescent="0.2"/>
    <row r="109" s="135" customFormat="1" x14ac:dyDescent="0.2"/>
    <row r="110" s="135" customFormat="1" x14ac:dyDescent="0.2"/>
    <row r="111" s="135" customFormat="1" x14ac:dyDescent="0.2"/>
    <row r="112" s="135" customFormat="1" x14ac:dyDescent="0.2"/>
    <row r="113" s="135" customFormat="1" x14ac:dyDescent="0.2"/>
    <row r="114" s="135" customFormat="1" x14ac:dyDescent="0.2"/>
    <row r="115" s="135" customFormat="1" x14ac:dyDescent="0.2"/>
    <row r="116" s="135" customFormat="1" x14ac:dyDescent="0.2"/>
    <row r="117" s="135" customFormat="1" x14ac:dyDescent="0.2"/>
    <row r="118" s="135" customFormat="1" x14ac:dyDescent="0.2"/>
    <row r="119" s="135" customFormat="1" x14ac:dyDescent="0.2"/>
    <row r="120" s="135" customFormat="1" x14ac:dyDescent="0.2"/>
    <row r="121" s="135" customFormat="1" x14ac:dyDescent="0.2"/>
    <row r="122" s="135" customFormat="1" x14ac:dyDescent="0.2"/>
    <row r="123" s="135" customFormat="1" x14ac:dyDescent="0.2"/>
    <row r="124" s="135" customFormat="1" x14ac:dyDescent="0.2"/>
    <row r="125" s="135" customFormat="1" x14ac:dyDescent="0.2"/>
    <row r="126" s="135" customFormat="1" x14ac:dyDescent="0.2"/>
    <row r="127" s="135" customFormat="1" x14ac:dyDescent="0.2"/>
    <row r="128" s="135" customFormat="1" x14ac:dyDescent="0.2"/>
    <row r="129" s="135" customFormat="1" x14ac:dyDescent="0.2"/>
    <row r="130" s="135" customFormat="1" x14ac:dyDescent="0.2"/>
    <row r="131" s="135" customFormat="1" x14ac:dyDescent="0.2"/>
    <row r="132" s="135" customFormat="1" x14ac:dyDescent="0.2"/>
    <row r="133" s="135" customFormat="1" x14ac:dyDescent="0.2"/>
    <row r="134" s="135" customFormat="1" x14ac:dyDescent="0.2"/>
    <row r="135" s="135" customFormat="1" x14ac:dyDescent="0.2"/>
    <row r="136" s="135" customFormat="1" x14ac:dyDescent="0.2"/>
    <row r="137" s="135" customFormat="1" x14ac:dyDescent="0.2"/>
    <row r="138" s="135" customFormat="1" x14ac:dyDescent="0.2"/>
    <row r="139" s="135" customFormat="1" x14ac:dyDescent="0.2"/>
    <row r="140" s="135" customFormat="1" x14ac:dyDescent="0.2"/>
    <row r="141" s="135" customFormat="1" x14ac:dyDescent="0.2"/>
    <row r="142" s="135" customFormat="1" x14ac:dyDescent="0.2"/>
    <row r="143" s="135" customFormat="1" x14ac:dyDescent="0.2"/>
    <row r="144" s="135" customFormat="1" x14ac:dyDescent="0.2"/>
    <row r="145" s="135" customFormat="1" x14ac:dyDescent="0.2"/>
    <row r="146" s="135" customFormat="1" x14ac:dyDescent="0.2"/>
    <row r="147" s="135" customFormat="1" x14ac:dyDescent="0.2"/>
    <row r="148" s="135" customFormat="1" x14ac:dyDescent="0.2"/>
    <row r="149" s="135" customFormat="1" x14ac:dyDescent="0.2"/>
    <row r="150" s="135" customFormat="1" x14ac:dyDescent="0.2"/>
    <row r="151" s="135" customFormat="1" x14ac:dyDescent="0.2"/>
    <row r="152" s="135" customFormat="1" x14ac:dyDescent="0.2"/>
    <row r="153" s="135" customFormat="1" x14ac:dyDescent="0.2"/>
    <row r="154" s="135" customFormat="1" x14ac:dyDescent="0.2"/>
    <row r="155" s="135" customFormat="1" x14ac:dyDescent="0.2"/>
    <row r="156" s="135" customFormat="1" x14ac:dyDescent="0.2"/>
    <row r="157" s="135" customFormat="1" x14ac:dyDescent="0.2"/>
    <row r="158" s="135" customFormat="1" x14ac:dyDescent="0.2"/>
    <row r="159" s="135" customFormat="1" x14ac:dyDescent="0.2"/>
    <row r="160" s="135" customFormat="1" x14ac:dyDescent="0.2"/>
    <row r="161" s="135" customFormat="1" x14ac:dyDescent="0.2"/>
    <row r="162" s="135" customFormat="1" x14ac:dyDescent="0.2"/>
    <row r="163" s="135" customFormat="1" x14ac:dyDescent="0.2"/>
    <row r="164" s="135" customFormat="1" x14ac:dyDescent="0.2"/>
    <row r="165" s="135" customFormat="1" x14ac:dyDescent="0.2"/>
    <row r="166" s="135" customFormat="1" x14ac:dyDescent="0.2"/>
    <row r="167" s="135" customFormat="1" x14ac:dyDescent="0.2"/>
    <row r="168" s="135" customFormat="1" x14ac:dyDescent="0.2"/>
    <row r="169" s="135" customFormat="1" x14ac:dyDescent="0.2"/>
    <row r="170" s="135" customFormat="1" x14ac:dyDescent="0.2"/>
    <row r="171" s="135" customFormat="1" x14ac:dyDescent="0.2"/>
    <row r="172" s="135" customFormat="1" x14ac:dyDescent="0.2"/>
    <row r="173" s="135" customFormat="1" x14ac:dyDescent="0.2"/>
    <row r="174" s="135" customFormat="1" x14ac:dyDescent="0.2"/>
    <row r="175" s="135" customFormat="1" x14ac:dyDescent="0.2"/>
    <row r="176" s="135" customFormat="1" x14ac:dyDescent="0.2"/>
    <row r="177" s="135" customFormat="1" x14ac:dyDescent="0.2"/>
    <row r="178" s="135" customFormat="1" x14ac:dyDescent="0.2"/>
    <row r="179" s="135" customFormat="1" x14ac:dyDescent="0.2"/>
    <row r="180" s="135" customFormat="1" x14ac:dyDescent="0.2"/>
    <row r="181" s="135" customFormat="1" x14ac:dyDescent="0.2"/>
    <row r="182" s="135" customFormat="1" x14ac:dyDescent="0.2"/>
    <row r="183" s="135" customFormat="1" x14ac:dyDescent="0.2"/>
    <row r="184" s="135" customFormat="1" x14ac:dyDescent="0.2"/>
    <row r="185" s="135" customFormat="1" x14ac:dyDescent="0.2"/>
    <row r="186" s="135" customFormat="1" x14ac:dyDescent="0.2"/>
    <row r="187" s="135" customFormat="1" x14ac:dyDescent="0.2"/>
    <row r="188" s="135" customFormat="1" x14ac:dyDescent="0.2"/>
    <row r="189" s="135" customFormat="1" x14ac:dyDescent="0.2"/>
    <row r="190" s="135" customFormat="1" x14ac:dyDescent="0.2"/>
    <row r="191" s="135" customFormat="1" x14ac:dyDescent="0.2"/>
    <row r="192" s="135" customFormat="1" x14ac:dyDescent="0.2"/>
    <row r="193" s="135" customFormat="1" x14ac:dyDescent="0.2"/>
    <row r="194" s="135" customFormat="1" x14ac:dyDescent="0.2"/>
    <row r="195" s="135" customFormat="1" x14ac:dyDescent="0.2"/>
    <row r="196" s="135" customFormat="1" x14ac:dyDescent="0.2"/>
    <row r="197" s="135" customFormat="1" x14ac:dyDescent="0.2"/>
    <row r="198" s="135" customFormat="1" x14ac:dyDescent="0.2"/>
    <row r="199" s="135" customFormat="1" x14ac:dyDescent="0.2"/>
    <row r="200" s="135" customFormat="1" x14ac:dyDescent="0.2"/>
    <row r="201" s="135" customFormat="1" x14ac:dyDescent="0.2"/>
    <row r="202" s="135" customFormat="1" x14ac:dyDescent="0.2"/>
    <row r="203" s="135" customFormat="1" x14ac:dyDescent="0.2"/>
    <row r="204" s="135" customFormat="1" x14ac:dyDescent="0.2"/>
    <row r="205" s="135" customFormat="1" x14ac:dyDescent="0.2"/>
    <row r="206" s="135" customFormat="1" x14ac:dyDescent="0.2"/>
    <row r="207" s="135" customFormat="1" x14ac:dyDescent="0.2"/>
    <row r="208" s="135" customFormat="1" x14ac:dyDescent="0.2"/>
    <row r="209" s="135" customFormat="1" x14ac:dyDescent="0.2"/>
    <row r="210" s="135" customFormat="1" x14ac:dyDescent="0.2"/>
    <row r="211" s="135" customFormat="1" x14ac:dyDescent="0.2"/>
    <row r="212" s="135" customFormat="1" x14ac:dyDescent="0.2"/>
    <row r="213" s="135" customFormat="1" x14ac:dyDescent="0.2"/>
    <row r="214" s="135" customFormat="1" x14ac:dyDescent="0.2"/>
    <row r="215" s="135" customFormat="1" x14ac:dyDescent="0.2"/>
    <row r="216" s="135" customFormat="1" x14ac:dyDescent="0.2"/>
    <row r="217" s="135" customFormat="1" x14ac:dyDescent="0.2"/>
    <row r="218" s="135" customFormat="1" x14ac:dyDescent="0.2"/>
    <row r="219" s="135" customFormat="1" x14ac:dyDescent="0.2"/>
    <row r="220" s="135" customFormat="1" x14ac:dyDescent="0.2"/>
    <row r="221" s="135" customFormat="1" x14ac:dyDescent="0.2"/>
    <row r="222" s="135" customFormat="1" x14ac:dyDescent="0.2"/>
    <row r="223" s="135" customFormat="1" x14ac:dyDescent="0.2"/>
    <row r="224" s="135" customFormat="1" x14ac:dyDescent="0.2"/>
    <row r="225" s="135" customFormat="1" x14ac:dyDescent="0.2"/>
    <row r="226" s="135" customFormat="1" x14ac:dyDescent="0.2"/>
    <row r="227" s="135" customFormat="1" x14ac:dyDescent="0.2"/>
    <row r="228" s="135" customFormat="1" x14ac:dyDescent="0.2"/>
    <row r="229" s="135" customFormat="1" x14ac:dyDescent="0.2"/>
    <row r="230" s="135" customFormat="1" x14ac:dyDescent="0.2"/>
    <row r="231" s="135" customFormat="1" x14ac:dyDescent="0.2"/>
    <row r="232" s="135" customFormat="1" x14ac:dyDescent="0.2"/>
    <row r="233" s="135" customFormat="1" x14ac:dyDescent="0.2"/>
    <row r="234" s="135" customFormat="1" x14ac:dyDescent="0.2"/>
    <row r="235" s="135" customFormat="1" x14ac:dyDescent="0.2"/>
    <row r="236" s="135" customFormat="1" x14ac:dyDescent="0.2"/>
    <row r="237" s="135" customFormat="1" x14ac:dyDescent="0.2"/>
    <row r="238" s="135" customFormat="1" x14ac:dyDescent="0.2"/>
    <row r="239" s="135" customFormat="1" x14ac:dyDescent="0.2"/>
    <row r="240" s="135" customFormat="1" x14ac:dyDescent="0.2"/>
    <row r="241" s="135" customFormat="1" x14ac:dyDescent="0.2"/>
    <row r="242" s="135" customFormat="1" x14ac:dyDescent="0.2"/>
    <row r="243" s="135" customFormat="1" x14ac:dyDescent="0.2"/>
    <row r="244" s="135" customFormat="1" x14ac:dyDescent="0.2"/>
    <row r="245" s="135" customFormat="1" x14ac:dyDescent="0.2"/>
    <row r="246" s="135" customFormat="1" x14ac:dyDescent="0.2"/>
    <row r="247" s="135" customFormat="1" x14ac:dyDescent="0.2"/>
    <row r="248" s="135" customFormat="1" x14ac:dyDescent="0.2"/>
    <row r="249" s="135" customFormat="1" x14ac:dyDescent="0.2"/>
    <row r="250" s="135" customFormat="1" x14ac:dyDescent="0.2"/>
    <row r="251" s="135" customFormat="1" x14ac:dyDescent="0.2"/>
    <row r="252" s="135" customFormat="1" x14ac:dyDescent="0.2"/>
    <row r="253" s="135" customFormat="1" x14ac:dyDescent="0.2"/>
    <row r="254" s="135" customFormat="1" x14ac:dyDescent="0.2"/>
    <row r="255" s="135" customFormat="1" x14ac:dyDescent="0.2"/>
    <row r="256" s="135" customFormat="1" x14ac:dyDescent="0.2"/>
    <row r="257" s="135" customFormat="1" x14ac:dyDescent="0.2"/>
    <row r="258" s="135" customFormat="1" x14ac:dyDescent="0.2"/>
    <row r="259" s="135" customFormat="1" x14ac:dyDescent="0.2"/>
    <row r="260" s="135" customFormat="1" x14ac:dyDescent="0.2"/>
    <row r="261" s="135" customFormat="1" x14ac:dyDescent="0.2"/>
    <row r="262" s="135" customFormat="1" x14ac:dyDescent="0.2"/>
    <row r="263" s="135" customFormat="1" x14ac:dyDescent="0.2"/>
    <row r="264" s="135" customFormat="1" x14ac:dyDescent="0.2"/>
    <row r="265" s="135" customFormat="1" x14ac:dyDescent="0.2"/>
    <row r="266" s="135" customFormat="1" x14ac:dyDescent="0.2"/>
    <row r="267" s="135" customFormat="1" x14ac:dyDescent="0.2"/>
    <row r="268" s="135" customFormat="1" x14ac:dyDescent="0.2"/>
    <row r="269" s="135" customFormat="1" x14ac:dyDescent="0.2"/>
    <row r="270" s="135" customFormat="1" x14ac:dyDescent="0.2"/>
    <row r="271" s="135" customFormat="1" x14ac:dyDescent="0.2"/>
    <row r="272" s="135" customFormat="1" x14ac:dyDescent="0.2"/>
    <row r="273" s="135" customFormat="1" x14ac:dyDescent="0.2"/>
    <row r="274" s="135" customFormat="1" x14ac:dyDescent="0.2"/>
    <row r="275" s="135" customFormat="1" x14ac:dyDescent="0.2"/>
    <row r="276" s="135" customFormat="1" x14ac:dyDescent="0.2"/>
    <row r="277" s="135" customFormat="1" x14ac:dyDescent="0.2"/>
    <row r="278" s="135" customFormat="1" x14ac:dyDescent="0.2"/>
    <row r="279" s="135" customFormat="1" x14ac:dyDescent="0.2"/>
    <row r="280" s="135" customFormat="1" x14ac:dyDescent="0.2"/>
    <row r="281" s="135" customFormat="1" x14ac:dyDescent="0.2"/>
    <row r="282" s="135" customFormat="1" x14ac:dyDescent="0.2"/>
    <row r="283" s="135" customFormat="1" x14ac:dyDescent="0.2"/>
    <row r="284" s="135" customFormat="1" x14ac:dyDescent="0.2"/>
    <row r="285" s="135" customFormat="1" x14ac:dyDescent="0.2"/>
    <row r="286" s="135" customFormat="1" x14ac:dyDescent="0.2"/>
    <row r="287" s="135" customFormat="1" x14ac:dyDescent="0.2"/>
    <row r="288" s="135" customFormat="1" x14ac:dyDescent="0.2"/>
    <row r="289" s="135" customFormat="1" x14ac:dyDescent="0.2"/>
    <row r="290" s="135" customFormat="1" x14ac:dyDescent="0.2"/>
    <row r="291" s="135" customFormat="1" x14ac:dyDescent="0.2"/>
    <row r="292" s="135" customFormat="1" x14ac:dyDescent="0.2"/>
    <row r="293" s="135" customFormat="1" x14ac:dyDescent="0.2"/>
    <row r="294" s="135" customFormat="1" x14ac:dyDescent="0.2"/>
    <row r="295" s="135" customFormat="1" x14ac:dyDescent="0.2"/>
    <row r="296" s="135" customFormat="1" x14ac:dyDescent="0.2"/>
    <row r="297" s="135" customFormat="1" x14ac:dyDescent="0.2"/>
    <row r="298" s="135" customFormat="1" x14ac:dyDescent="0.2"/>
    <row r="299" s="135" customFormat="1" x14ac:dyDescent="0.2"/>
    <row r="300" s="135" customFormat="1" x14ac:dyDescent="0.2"/>
    <row r="301" s="135" customFormat="1" x14ac:dyDescent="0.2"/>
    <row r="302" s="135" customFormat="1" x14ac:dyDescent="0.2"/>
    <row r="303" s="135" customFormat="1" x14ac:dyDescent="0.2"/>
    <row r="304" s="135" customFormat="1" x14ac:dyDescent="0.2"/>
    <row r="305" s="135" customFormat="1" x14ac:dyDescent="0.2"/>
    <row r="306" s="135" customFormat="1" x14ac:dyDescent="0.2"/>
    <row r="307" s="135" customFormat="1" x14ac:dyDescent="0.2"/>
    <row r="308" s="135" customFormat="1" x14ac:dyDescent="0.2"/>
    <row r="309" s="135" customFormat="1" x14ac:dyDescent="0.2"/>
    <row r="310" s="135" customFormat="1" x14ac:dyDescent="0.2"/>
    <row r="311" s="135" customFormat="1" x14ac:dyDescent="0.2"/>
    <row r="312" s="135" customFormat="1" x14ac:dyDescent="0.2"/>
    <row r="313" s="135" customFormat="1" x14ac:dyDescent="0.2"/>
    <row r="314" s="135" customFormat="1" x14ac:dyDescent="0.2"/>
    <row r="315" s="135" customFormat="1" x14ac:dyDescent="0.2"/>
    <row r="316" s="135" customFormat="1" x14ac:dyDescent="0.2"/>
    <row r="317" s="135" customFormat="1" x14ac:dyDescent="0.2"/>
    <row r="318" s="135" customFormat="1" x14ac:dyDescent="0.2"/>
    <row r="319" s="135" customFormat="1" x14ac:dyDescent="0.2"/>
    <row r="320" s="135" customFormat="1" x14ac:dyDescent="0.2"/>
    <row r="321" s="135" customFormat="1" x14ac:dyDescent="0.2"/>
    <row r="322" s="135" customFormat="1" x14ac:dyDescent="0.2"/>
    <row r="323" s="135" customFormat="1" x14ac:dyDescent="0.2"/>
    <row r="324" s="135" customFormat="1" x14ac:dyDescent="0.2"/>
    <row r="325" s="135" customFormat="1" x14ac:dyDescent="0.2"/>
    <row r="326" s="135" customFormat="1" x14ac:dyDescent="0.2"/>
    <row r="327" s="135" customFormat="1" x14ac:dyDescent="0.2"/>
    <row r="328" s="135" customFormat="1" x14ac:dyDescent="0.2"/>
    <row r="329" s="135" customFormat="1" x14ac:dyDescent="0.2"/>
    <row r="330" s="135" customFormat="1" x14ac:dyDescent="0.2"/>
    <row r="331" s="135" customFormat="1" x14ac:dyDescent="0.2"/>
    <row r="332" s="135" customFormat="1" x14ac:dyDescent="0.2"/>
    <row r="333" s="135" customFormat="1" x14ac:dyDescent="0.2"/>
    <row r="334" s="135" customFormat="1" x14ac:dyDescent="0.2"/>
    <row r="335" s="135" customFormat="1" x14ac:dyDescent="0.2"/>
    <row r="336" s="135" customFormat="1" x14ac:dyDescent="0.2"/>
    <row r="337" s="135" customFormat="1" x14ac:dyDescent="0.2"/>
    <row r="338" s="135" customFormat="1" x14ac:dyDescent="0.2"/>
    <row r="339" s="135" customFormat="1" x14ac:dyDescent="0.2"/>
    <row r="340" s="135" customFormat="1" x14ac:dyDescent="0.2"/>
    <row r="341" s="135" customFormat="1" x14ac:dyDescent="0.2"/>
    <row r="342" s="135" customFormat="1" x14ac:dyDescent="0.2"/>
    <row r="343" s="135" customFormat="1" x14ac:dyDescent="0.2"/>
    <row r="344" s="135" customFormat="1" x14ac:dyDescent="0.2"/>
    <row r="345" s="135" customFormat="1" x14ac:dyDescent="0.2"/>
    <row r="346" s="135" customFormat="1" x14ac:dyDescent="0.2"/>
    <row r="347" s="135" customFormat="1" x14ac:dyDescent="0.2"/>
    <row r="348" s="135" customFormat="1" x14ac:dyDescent="0.2"/>
    <row r="349" s="135" customFormat="1" x14ac:dyDescent="0.2"/>
    <row r="350" s="135" customFormat="1" x14ac:dyDescent="0.2"/>
    <row r="351" s="135" customFormat="1" x14ac:dyDescent="0.2"/>
    <row r="352" s="135" customFormat="1" x14ac:dyDescent="0.2"/>
    <row r="353" s="135" customFormat="1" x14ac:dyDescent="0.2"/>
    <row r="354" s="135" customFormat="1" x14ac:dyDescent="0.2"/>
    <row r="355" s="135" customFormat="1" x14ac:dyDescent="0.2"/>
    <row r="356" s="135" customFormat="1" x14ac:dyDescent="0.2"/>
    <row r="357" s="135" customFormat="1" x14ac:dyDescent="0.2"/>
    <row r="358" s="135" customFormat="1" x14ac:dyDescent="0.2"/>
    <row r="359" s="135" customFormat="1" x14ac:dyDescent="0.2"/>
    <row r="360" s="135" customFormat="1" x14ac:dyDescent="0.2"/>
    <row r="361" s="135" customFormat="1" x14ac:dyDescent="0.2"/>
    <row r="362" s="135" customFormat="1" x14ac:dyDescent="0.2"/>
    <row r="363" s="135" customFormat="1" x14ac:dyDescent="0.2"/>
    <row r="364" s="135" customFormat="1" x14ac:dyDescent="0.2"/>
    <row r="365" s="135" customFormat="1" x14ac:dyDescent="0.2"/>
    <row r="366" s="135" customFormat="1" x14ac:dyDescent="0.2"/>
    <row r="367" s="135" customFormat="1" x14ac:dyDescent="0.2"/>
    <row r="368" s="135" customFormat="1" x14ac:dyDescent="0.2"/>
    <row r="369" s="135" customFormat="1" x14ac:dyDescent="0.2"/>
    <row r="370" s="135" customFormat="1" x14ac:dyDescent="0.2"/>
    <row r="371" s="135" customFormat="1" x14ac:dyDescent="0.2"/>
    <row r="372" s="135" customFormat="1" x14ac:dyDescent="0.2"/>
    <row r="373" s="135" customFormat="1" x14ac:dyDescent="0.2"/>
    <row r="374" s="135" customFormat="1" x14ac:dyDescent="0.2"/>
    <row r="375" s="135" customFormat="1" x14ac:dyDescent="0.2"/>
    <row r="376" s="135" customFormat="1" x14ac:dyDescent="0.2"/>
    <row r="377" s="135" customFormat="1" x14ac:dyDescent="0.2"/>
    <row r="378" s="135" customFormat="1" x14ac:dyDescent="0.2"/>
    <row r="379" s="135" customFormat="1" x14ac:dyDescent="0.2"/>
    <row r="380" s="135" customFormat="1" x14ac:dyDescent="0.2"/>
    <row r="381" s="135" customFormat="1" x14ac:dyDescent="0.2"/>
    <row r="382" s="135" customFormat="1" x14ac:dyDescent="0.2"/>
    <row r="383" s="135" customFormat="1" x14ac:dyDescent="0.2"/>
    <row r="384" s="135" customFormat="1" x14ac:dyDescent="0.2"/>
    <row r="385" s="135" customFormat="1" x14ac:dyDescent="0.2"/>
    <row r="386" s="135" customFormat="1" x14ac:dyDescent="0.2"/>
    <row r="387" s="135" customFormat="1" x14ac:dyDescent="0.2"/>
    <row r="388" s="135" customFormat="1" x14ac:dyDescent="0.2"/>
    <row r="389" s="135" customFormat="1" x14ac:dyDescent="0.2"/>
    <row r="390" s="135" customFormat="1" x14ac:dyDescent="0.2"/>
    <row r="391" s="135" customFormat="1" x14ac:dyDescent="0.2"/>
    <row r="392" s="135" customFormat="1" x14ac:dyDescent="0.2"/>
    <row r="393" s="135" customFormat="1" x14ac:dyDescent="0.2"/>
    <row r="394" s="135" customFormat="1" x14ac:dyDescent="0.2"/>
    <row r="395" s="135" customFormat="1" x14ac:dyDescent="0.2"/>
    <row r="396" s="135" customFormat="1" x14ac:dyDescent="0.2"/>
    <row r="397" s="135" customFormat="1" x14ac:dyDescent="0.2"/>
    <row r="398" s="135" customFormat="1" x14ac:dyDescent="0.2"/>
    <row r="399" s="135" customFormat="1" x14ac:dyDescent="0.2"/>
    <row r="400" s="135" customFormat="1" x14ac:dyDescent="0.2"/>
    <row r="401" s="135" customFormat="1" x14ac:dyDescent="0.2"/>
    <row r="402" s="135" customFormat="1" x14ac:dyDescent="0.2"/>
    <row r="403" s="135" customFormat="1" x14ac:dyDescent="0.2"/>
    <row r="404" s="135" customFormat="1" x14ac:dyDescent="0.2"/>
    <row r="405" s="135" customFormat="1" x14ac:dyDescent="0.2"/>
    <row r="406" s="135" customFormat="1" x14ac:dyDescent="0.2"/>
    <row r="407" s="135" customFormat="1" x14ac:dyDescent="0.2"/>
    <row r="408" s="135" customFormat="1" x14ac:dyDescent="0.2"/>
    <row r="409" s="135" customFormat="1" x14ac:dyDescent="0.2"/>
    <row r="410" s="135" customFormat="1" x14ac:dyDescent="0.2"/>
    <row r="411" s="135" customFormat="1" x14ac:dyDescent="0.2"/>
    <row r="412" s="135" customFormat="1" x14ac:dyDescent="0.2"/>
    <row r="413" s="135" customFormat="1" x14ac:dyDescent="0.2"/>
    <row r="414" s="135" customFormat="1" x14ac:dyDescent="0.2"/>
    <row r="415" s="135" customFormat="1" x14ac:dyDescent="0.2"/>
    <row r="416" s="135" customFormat="1" x14ac:dyDescent="0.2"/>
    <row r="417" s="135" customFormat="1" x14ac:dyDescent="0.2"/>
    <row r="418" s="135" customFormat="1" x14ac:dyDescent="0.2"/>
    <row r="419" s="135" customFormat="1" x14ac:dyDescent="0.2"/>
    <row r="420" s="135" customFormat="1" x14ac:dyDescent="0.2"/>
    <row r="421" s="135" customFormat="1" x14ac:dyDescent="0.2"/>
    <row r="422" s="135" customFormat="1" x14ac:dyDescent="0.2"/>
    <row r="423" s="135" customFormat="1" x14ac:dyDescent="0.2"/>
    <row r="424" s="135" customFormat="1" x14ac:dyDescent="0.2"/>
    <row r="425" s="135" customFormat="1" x14ac:dyDescent="0.2"/>
    <row r="426" s="135" customFormat="1" x14ac:dyDescent="0.2"/>
    <row r="427" s="135" customFormat="1" x14ac:dyDescent="0.2"/>
    <row r="428" s="135" customFormat="1" x14ac:dyDescent="0.2"/>
    <row r="429" s="135" customFormat="1" x14ac:dyDescent="0.2"/>
    <row r="430" s="135" customFormat="1" x14ac:dyDescent="0.2"/>
    <row r="431" s="135" customFormat="1" x14ac:dyDescent="0.2"/>
    <row r="432" s="135" customFormat="1" x14ac:dyDescent="0.2"/>
    <row r="433" s="135" customFormat="1" x14ac:dyDescent="0.2"/>
    <row r="434" s="135" customFormat="1" x14ac:dyDescent="0.2"/>
    <row r="435" s="135" customFormat="1" x14ac:dyDescent="0.2"/>
    <row r="436" s="135" customFormat="1" x14ac:dyDescent="0.2"/>
    <row r="437" s="135" customFormat="1" x14ac:dyDescent="0.2"/>
    <row r="438" s="135" customFormat="1" x14ac:dyDescent="0.2"/>
    <row r="439" s="135" customFormat="1" x14ac:dyDescent="0.2"/>
    <row r="440" s="135" customFormat="1" x14ac:dyDescent="0.2"/>
    <row r="441" s="135" customFormat="1" x14ac:dyDescent="0.2"/>
    <row r="442" s="135" customFormat="1" x14ac:dyDescent="0.2"/>
    <row r="443" s="135" customFormat="1" x14ac:dyDescent="0.2"/>
    <row r="444" s="135" customFormat="1" x14ac:dyDescent="0.2"/>
    <row r="445" s="135" customFormat="1" x14ac:dyDescent="0.2"/>
    <row r="446" s="135" customFormat="1" x14ac:dyDescent="0.2"/>
    <row r="447" s="135" customFormat="1" x14ac:dyDescent="0.2"/>
    <row r="448" s="135" customFormat="1" x14ac:dyDescent="0.2"/>
    <row r="449" s="135" customFormat="1" x14ac:dyDescent="0.2"/>
    <row r="450" s="135" customFormat="1" x14ac:dyDescent="0.2"/>
    <row r="451" s="135" customFormat="1" x14ac:dyDescent="0.2"/>
    <row r="452" s="135" customFormat="1" x14ac:dyDescent="0.2"/>
    <row r="453" s="135" customFormat="1" x14ac:dyDescent="0.2"/>
    <row r="454" s="135" customFormat="1" x14ac:dyDescent="0.2"/>
    <row r="455" s="135" customFormat="1" x14ac:dyDescent="0.2"/>
    <row r="456" s="135" customFormat="1" x14ac:dyDescent="0.2"/>
    <row r="457" s="135" customFormat="1" x14ac:dyDescent="0.2"/>
    <row r="458" s="135" customFormat="1" x14ac:dyDescent="0.2"/>
    <row r="459" s="135" customFormat="1" x14ac:dyDescent="0.2"/>
    <row r="460" s="135" customFormat="1" x14ac:dyDescent="0.2"/>
    <row r="461" s="135" customFormat="1" x14ac:dyDescent="0.2"/>
    <row r="462" s="135" customFormat="1" x14ac:dyDescent="0.2"/>
    <row r="463" s="135" customFormat="1" x14ac:dyDescent="0.2"/>
    <row r="464" s="135" customFormat="1" x14ac:dyDescent="0.2"/>
    <row r="465" s="135" customFormat="1" x14ac:dyDescent="0.2"/>
    <row r="466" s="135" customFormat="1" x14ac:dyDescent="0.2"/>
    <row r="467" s="135" customFormat="1" x14ac:dyDescent="0.2"/>
    <row r="468" s="135" customFormat="1" x14ac:dyDescent="0.2"/>
    <row r="469" s="135" customFormat="1" x14ac:dyDescent="0.2"/>
    <row r="470" s="135" customFormat="1" x14ac:dyDescent="0.2"/>
    <row r="471" s="135" customFormat="1" x14ac:dyDescent="0.2"/>
    <row r="472" s="135" customFormat="1" x14ac:dyDescent="0.2"/>
    <row r="473" s="135" customFormat="1" x14ac:dyDescent="0.2"/>
    <row r="474" s="135" customFormat="1" x14ac:dyDescent="0.2"/>
    <row r="475" s="135" customFormat="1" x14ac:dyDescent="0.2"/>
    <row r="476" s="135" customFormat="1" x14ac:dyDescent="0.2"/>
    <row r="477" s="135" customFormat="1" x14ac:dyDescent="0.2"/>
    <row r="478" s="135" customFormat="1" x14ac:dyDescent="0.2"/>
    <row r="479" s="135" customFormat="1" x14ac:dyDescent="0.2"/>
    <row r="480" s="135" customFormat="1" x14ac:dyDescent="0.2"/>
    <row r="481" s="135" customFormat="1" x14ac:dyDescent="0.2"/>
    <row r="482" s="135" customFormat="1" x14ac:dyDescent="0.2"/>
    <row r="483" s="135" customFormat="1" x14ac:dyDescent="0.2"/>
    <row r="484" s="135" customFormat="1" x14ac:dyDescent="0.2"/>
    <row r="485" s="135" customFormat="1" x14ac:dyDescent="0.2"/>
    <row r="486" s="135" customFormat="1" x14ac:dyDescent="0.2"/>
    <row r="487" s="135" customFormat="1" x14ac:dyDescent="0.2"/>
    <row r="488" s="135" customFormat="1" x14ac:dyDescent="0.2"/>
    <row r="489" s="135" customFormat="1" x14ac:dyDescent="0.2"/>
    <row r="490" s="135" customFormat="1" x14ac:dyDescent="0.2"/>
    <row r="491" s="135" customFormat="1" x14ac:dyDescent="0.2"/>
    <row r="492" s="135" customFormat="1" x14ac:dyDescent="0.2"/>
    <row r="493" s="135" customFormat="1" x14ac:dyDescent="0.2"/>
    <row r="494" s="135" customFormat="1" x14ac:dyDescent="0.2"/>
    <row r="495" s="135" customFormat="1" x14ac:dyDescent="0.2"/>
    <row r="496" s="135" customFormat="1" x14ac:dyDescent="0.2"/>
    <row r="497" s="135" customFormat="1" x14ac:dyDescent="0.2"/>
    <row r="498" s="135" customFormat="1" x14ac:dyDescent="0.2"/>
    <row r="499" s="135" customFormat="1" x14ac:dyDescent="0.2"/>
    <row r="500" s="135" customFormat="1" x14ac:dyDescent="0.2"/>
    <row r="501" s="135" customFormat="1" x14ac:dyDescent="0.2"/>
    <row r="502" s="135" customFormat="1" x14ac:dyDescent="0.2"/>
    <row r="503" s="135" customFormat="1" x14ac:dyDescent="0.2"/>
    <row r="504" s="135" customFormat="1" x14ac:dyDescent="0.2"/>
    <row r="505" s="135" customFormat="1" x14ac:dyDescent="0.2"/>
    <row r="506" s="135" customFormat="1" x14ac:dyDescent="0.2"/>
    <row r="507" s="135" customFormat="1" x14ac:dyDescent="0.2"/>
    <row r="508" s="135" customFormat="1" x14ac:dyDescent="0.2"/>
    <row r="509" s="135" customFormat="1" x14ac:dyDescent="0.2"/>
    <row r="510" s="135" customFormat="1" x14ac:dyDescent="0.2"/>
    <row r="511" s="135" customFormat="1" x14ac:dyDescent="0.2"/>
    <row r="512" s="135" customFormat="1" x14ac:dyDescent="0.2"/>
    <row r="513" s="135" customFormat="1" x14ac:dyDescent="0.2"/>
    <row r="514" s="135" customFormat="1" x14ac:dyDescent="0.2"/>
    <row r="515" s="135" customFormat="1" x14ac:dyDescent="0.2"/>
    <row r="516" s="135" customFormat="1" x14ac:dyDescent="0.2"/>
    <row r="517" s="135" customFormat="1" x14ac:dyDescent="0.2"/>
    <row r="518" s="135" customFormat="1" x14ac:dyDescent="0.2"/>
    <row r="519" s="135" customFormat="1" x14ac:dyDescent="0.2"/>
    <row r="520" s="135" customFormat="1" x14ac:dyDescent="0.2"/>
    <row r="521" s="135" customFormat="1" x14ac:dyDescent="0.2"/>
    <row r="522" s="135" customFormat="1" x14ac:dyDescent="0.2"/>
    <row r="523" s="135" customFormat="1" x14ac:dyDescent="0.2"/>
    <row r="524" s="135" customFormat="1" x14ac:dyDescent="0.2"/>
    <row r="525" s="135" customFormat="1" x14ac:dyDescent="0.2"/>
    <row r="526" s="135" customFormat="1" x14ac:dyDescent="0.2"/>
    <row r="527" s="135" customFormat="1" x14ac:dyDescent="0.2"/>
    <row r="528" s="135" customFormat="1" x14ac:dyDescent="0.2"/>
    <row r="529" s="135" customFormat="1" x14ac:dyDescent="0.2"/>
    <row r="530" s="135" customFormat="1" x14ac:dyDescent="0.2"/>
    <row r="531" s="135" customFormat="1" x14ac:dyDescent="0.2"/>
    <row r="532" s="135" customFormat="1" x14ac:dyDescent="0.2"/>
    <row r="533" s="135" customFormat="1" x14ac:dyDescent="0.2"/>
    <row r="534" s="135" customFormat="1" x14ac:dyDescent="0.2"/>
    <row r="535" s="135" customFormat="1" x14ac:dyDescent="0.2"/>
    <row r="536" s="135" customFormat="1" x14ac:dyDescent="0.2"/>
    <row r="537" s="135" customFormat="1" x14ac:dyDescent="0.2"/>
    <row r="538" s="135" customFormat="1" x14ac:dyDescent="0.2"/>
    <row r="539" s="135" customFormat="1" x14ac:dyDescent="0.2"/>
    <row r="540" s="135" customFormat="1" x14ac:dyDescent="0.2"/>
    <row r="541" s="135" customFormat="1" x14ac:dyDescent="0.2"/>
    <row r="542" s="135" customFormat="1" x14ac:dyDescent="0.2"/>
    <row r="543" s="135" customFormat="1" x14ac:dyDescent="0.2"/>
    <row r="544" s="135" customFormat="1" x14ac:dyDescent="0.2"/>
    <row r="545" s="135" customFormat="1" x14ac:dyDescent="0.2"/>
    <row r="546" s="135" customFormat="1" x14ac:dyDescent="0.2"/>
    <row r="547" s="135" customFormat="1" x14ac:dyDescent="0.2"/>
    <row r="548" s="135" customFormat="1" x14ac:dyDescent="0.2"/>
    <row r="549" s="135" customFormat="1" x14ac:dyDescent="0.2"/>
    <row r="550" s="135" customFormat="1" x14ac:dyDescent="0.2"/>
    <row r="551" s="135" customFormat="1" x14ac:dyDescent="0.2"/>
    <row r="552" s="135" customFormat="1" x14ac:dyDescent="0.2"/>
    <row r="553" s="135" customFormat="1" x14ac:dyDescent="0.2"/>
    <row r="554" s="135" customFormat="1" x14ac:dyDescent="0.2"/>
    <row r="555" s="135" customFormat="1" x14ac:dyDescent="0.2"/>
    <row r="556" s="135" customFormat="1" x14ac:dyDescent="0.2"/>
    <row r="557" s="135" customFormat="1" x14ac:dyDescent="0.2"/>
    <row r="558" s="135" customFormat="1" x14ac:dyDescent="0.2"/>
    <row r="559" s="135" customFormat="1" x14ac:dyDescent="0.2"/>
    <row r="560" s="135" customFormat="1" x14ac:dyDescent="0.2"/>
    <row r="561" s="135" customFormat="1" x14ac:dyDescent="0.2"/>
    <row r="562" s="135" customFormat="1" x14ac:dyDescent="0.2"/>
    <row r="563" s="135" customFormat="1" x14ac:dyDescent="0.2"/>
    <row r="564" s="135" customFormat="1" x14ac:dyDescent="0.2"/>
    <row r="565" s="135" customFormat="1" x14ac:dyDescent="0.2"/>
    <row r="566" s="135" customFormat="1" x14ac:dyDescent="0.2"/>
    <row r="567" s="135" customFormat="1" x14ac:dyDescent="0.2"/>
    <row r="568" s="135" customFormat="1" x14ac:dyDescent="0.2"/>
    <row r="569" s="135" customFormat="1" x14ac:dyDescent="0.2"/>
    <row r="570" s="135" customFormat="1" x14ac:dyDescent="0.2"/>
    <row r="571" s="135" customFormat="1" x14ac:dyDescent="0.2"/>
    <row r="572" s="135" customFormat="1" x14ac:dyDescent="0.2"/>
    <row r="573" s="135" customFormat="1" x14ac:dyDescent="0.2"/>
    <row r="574" s="135" customFormat="1" x14ac:dyDescent="0.2"/>
    <row r="575" s="135" customFormat="1" x14ac:dyDescent="0.2"/>
    <row r="576" s="135" customFormat="1" x14ac:dyDescent="0.2"/>
    <row r="577" s="135" customFormat="1" x14ac:dyDescent="0.2"/>
    <row r="578" s="135" customFormat="1" x14ac:dyDescent="0.2"/>
    <row r="579" s="135" customFormat="1" x14ac:dyDescent="0.2"/>
    <row r="580" s="135" customFormat="1" x14ac:dyDescent="0.2"/>
    <row r="581" s="135" customFormat="1" x14ac:dyDescent="0.2"/>
    <row r="582" s="135" customFormat="1" x14ac:dyDescent="0.2"/>
    <row r="583" s="135" customFormat="1" x14ac:dyDescent="0.2"/>
    <row r="584" s="135" customFormat="1" x14ac:dyDescent="0.2"/>
    <row r="585" s="135" customFormat="1" x14ac:dyDescent="0.2"/>
    <row r="586" s="135" customFormat="1" x14ac:dyDescent="0.2"/>
    <row r="587" s="135" customFormat="1" x14ac:dyDescent="0.2"/>
    <row r="588" s="135" customFormat="1" x14ac:dyDescent="0.2"/>
    <row r="589" s="135" customFormat="1" x14ac:dyDescent="0.2"/>
    <row r="590" s="135" customFormat="1" x14ac:dyDescent="0.2"/>
    <row r="591" s="135" customFormat="1" x14ac:dyDescent="0.2"/>
    <row r="592" s="135" customFormat="1" x14ac:dyDescent="0.2"/>
    <row r="593" s="135" customFormat="1" x14ac:dyDescent="0.2"/>
    <row r="594" s="135" customFormat="1" x14ac:dyDescent="0.2"/>
    <row r="595" s="135" customFormat="1" x14ac:dyDescent="0.2"/>
    <row r="596" s="135" customFormat="1" x14ac:dyDescent="0.2"/>
    <row r="597" s="135" customFormat="1" x14ac:dyDescent="0.2"/>
    <row r="598" s="135" customFormat="1" x14ac:dyDescent="0.2"/>
    <row r="599" s="135" customFormat="1" x14ac:dyDescent="0.2"/>
    <row r="600" s="135" customFormat="1" x14ac:dyDescent="0.2"/>
    <row r="601" s="135" customFormat="1" x14ac:dyDescent="0.2"/>
    <row r="602" s="135" customFormat="1" x14ac:dyDescent="0.2"/>
    <row r="603" s="135" customFormat="1" x14ac:dyDescent="0.2"/>
    <row r="604" s="135" customFormat="1" x14ac:dyDescent="0.2"/>
    <row r="605" s="135" customFormat="1" x14ac:dyDescent="0.2"/>
    <row r="606" s="135" customFormat="1" x14ac:dyDescent="0.2"/>
    <row r="607" s="135" customFormat="1" x14ac:dyDescent="0.2"/>
    <row r="608" s="135" customFormat="1" x14ac:dyDescent="0.2"/>
    <row r="609" s="135" customFormat="1" x14ac:dyDescent="0.2"/>
    <row r="610" s="135" customFormat="1" x14ac:dyDescent="0.2"/>
    <row r="611" s="135" customFormat="1" x14ac:dyDescent="0.2"/>
    <row r="612" s="135" customFormat="1" x14ac:dyDescent="0.2"/>
    <row r="613" s="135" customFormat="1" x14ac:dyDescent="0.2"/>
    <row r="614" s="135" customFormat="1" x14ac:dyDescent="0.2"/>
    <row r="615" s="135" customFormat="1" x14ac:dyDescent="0.2"/>
    <row r="616" s="135" customFormat="1" x14ac:dyDescent="0.2"/>
    <row r="617" s="135" customFormat="1" x14ac:dyDescent="0.2"/>
    <row r="618" s="135" customFormat="1" x14ac:dyDescent="0.2"/>
    <row r="619" s="135" customFormat="1" x14ac:dyDescent="0.2"/>
    <row r="620" s="135" customFormat="1" x14ac:dyDescent="0.2"/>
    <row r="621" s="135" customFormat="1" x14ac:dyDescent="0.2"/>
    <row r="622" s="135" customFormat="1" x14ac:dyDescent="0.2"/>
    <row r="623" s="135" customFormat="1" x14ac:dyDescent="0.2"/>
    <row r="624" s="135" customFormat="1" x14ac:dyDescent="0.2"/>
    <row r="625" s="135" customFormat="1" x14ac:dyDescent="0.2"/>
    <row r="626" s="135" customFormat="1" x14ac:dyDescent="0.2"/>
    <row r="627" s="135" customFormat="1" x14ac:dyDescent="0.2"/>
    <row r="628" s="135" customFormat="1" x14ac:dyDescent="0.2"/>
    <row r="629" s="135" customFormat="1" x14ac:dyDescent="0.2"/>
    <row r="630" s="135" customFormat="1" x14ac:dyDescent="0.2"/>
    <row r="631" s="135" customFormat="1" x14ac:dyDescent="0.2"/>
    <row r="632" s="135" customFormat="1" x14ac:dyDescent="0.2"/>
  </sheetData>
  <protectedRanges>
    <protectedRange sqref="A14 B29:B30 B3:I7 B9:I12" name="Rango1"/>
    <protectedRange sqref="E43 G52:I54" name="Rango1_1"/>
    <protectedRange sqref="B16:I27" name="Rango1_2"/>
  </protectedRanges>
  <mergeCells count="46">
    <mergeCell ref="B1:G1"/>
    <mergeCell ref="H1:I1"/>
    <mergeCell ref="A2:I2"/>
    <mergeCell ref="B3:I3"/>
    <mergeCell ref="B4:I4"/>
    <mergeCell ref="B5:I5"/>
    <mergeCell ref="B6:I6"/>
    <mergeCell ref="B7:I7"/>
    <mergeCell ref="A8:I8"/>
    <mergeCell ref="B9:I9"/>
    <mergeCell ref="B10:I10"/>
    <mergeCell ref="B11:I11"/>
    <mergeCell ref="B23:I23"/>
    <mergeCell ref="B12:I12"/>
    <mergeCell ref="A13:I13"/>
    <mergeCell ref="A14:I14"/>
    <mergeCell ref="A15:I15"/>
    <mergeCell ref="B16:I16"/>
    <mergeCell ref="B17:I17"/>
    <mergeCell ref="B18:I18"/>
    <mergeCell ref="B19:I19"/>
    <mergeCell ref="B20:I20"/>
    <mergeCell ref="B21:I21"/>
    <mergeCell ref="B22:I22"/>
    <mergeCell ref="B24:I24"/>
    <mergeCell ref="B25:I25"/>
    <mergeCell ref="B26:I26"/>
    <mergeCell ref="B27:I27"/>
    <mergeCell ref="B28:I28"/>
    <mergeCell ref="B29:I29"/>
    <mergeCell ref="B30:I30"/>
    <mergeCell ref="A31:I42"/>
    <mergeCell ref="A43:D51"/>
    <mergeCell ref="A52:D52"/>
    <mergeCell ref="E52:F52"/>
    <mergeCell ref="G52:I52"/>
    <mergeCell ref="E43:I49"/>
    <mergeCell ref="E50:I51"/>
    <mergeCell ref="A61:F61"/>
    <mergeCell ref="A62:F62"/>
    <mergeCell ref="A53:D54"/>
    <mergeCell ref="E53:F53"/>
    <mergeCell ref="G53:I53"/>
    <mergeCell ref="E54:F54"/>
    <mergeCell ref="G54:I54"/>
    <mergeCell ref="A60:F60"/>
  </mergeCells>
  <printOptions horizontalCentered="1" verticalCentered="1"/>
  <pageMargins left="0.70866141732283472" right="0.70866141732283472" top="0.74803149606299213" bottom="0.74803149606299213" header="0.31496062992125984" footer="0.31496062992125984"/>
  <pageSetup paperSize="9" scale="82" orientation="portrait" r:id="rId1"/>
  <headerFooter>
    <oddFooter xml:space="preserve">&amp;L Empresa inscrita en el registro mercantil de Álava, T.1246, F.134, Vi-11448&amp;Rwww.cpavitoria06.com   
info@cpavitoria06.com      
</oddFooter>
  </headerFooter>
  <rowBreaks count="1" manualBreakCount="1">
    <brk id="54" max="1638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FFC000"/>
  </sheetPr>
  <dimension ref="A1:H42"/>
  <sheetViews>
    <sheetView showGridLines="0" zoomScaleNormal="100" workbookViewId="0">
      <selection activeCell="B4" sqref="B4:C4"/>
    </sheetView>
  </sheetViews>
  <sheetFormatPr baseColWidth="10" defaultRowHeight="12.75" x14ac:dyDescent="0.2"/>
  <cols>
    <col min="1" max="1" width="22.85546875" style="59" customWidth="1"/>
    <col min="2" max="4" width="11.5703125" style="60" customWidth="1"/>
    <col min="5" max="5" width="13.7109375" style="60" customWidth="1"/>
    <col min="6" max="6" width="10.140625" style="60" customWidth="1"/>
    <col min="7" max="7" width="12.42578125" style="60" customWidth="1"/>
    <col min="8" max="8" width="11.42578125" style="60" bestFit="1" customWidth="1"/>
    <col min="9" max="16384" width="11.42578125" style="51"/>
  </cols>
  <sheetData>
    <row r="1" spans="1:8" s="7" customFormat="1" ht="72.75" customHeight="1" x14ac:dyDescent="0.2">
      <c r="A1" s="42"/>
      <c r="B1" s="343" t="s">
        <v>85</v>
      </c>
      <c r="C1" s="343"/>
      <c r="D1" s="343"/>
      <c r="E1" s="343"/>
      <c r="F1" s="343"/>
      <c r="G1" s="344" t="s">
        <v>98</v>
      </c>
      <c r="H1" s="344"/>
    </row>
    <row r="2" spans="1:8" ht="18.600000000000001" customHeight="1" x14ac:dyDescent="0.2">
      <c r="A2" s="9" t="s">
        <v>40</v>
      </c>
      <c r="B2" s="336"/>
      <c r="C2" s="336"/>
      <c r="D2" s="337" t="s">
        <v>41</v>
      </c>
      <c r="E2" s="338"/>
      <c r="F2" s="345"/>
      <c r="G2" s="346"/>
      <c r="H2" s="347"/>
    </row>
    <row r="3" spans="1:8" ht="18.600000000000001" customHeight="1" x14ac:dyDescent="0.2">
      <c r="A3" s="9" t="s">
        <v>42</v>
      </c>
      <c r="B3" s="339"/>
      <c r="C3" s="339"/>
      <c r="D3" s="10"/>
      <c r="E3" s="11"/>
      <c r="F3" s="340" t="s">
        <v>43</v>
      </c>
      <c r="G3" s="341"/>
      <c r="H3" s="342"/>
    </row>
    <row r="4" spans="1:8" ht="18.600000000000001" customHeight="1" x14ac:dyDescent="0.2">
      <c r="A4" s="9" t="s">
        <v>44</v>
      </c>
      <c r="B4" s="326"/>
      <c r="C4" s="326"/>
      <c r="D4" s="12"/>
      <c r="E4" s="13"/>
      <c r="F4" s="327"/>
      <c r="G4" s="328"/>
      <c r="H4" s="328"/>
    </row>
    <row r="5" spans="1:8" x14ac:dyDescent="0.2">
      <c r="A5" s="329" t="s">
        <v>45</v>
      </c>
      <c r="B5" s="331"/>
      <c r="C5" s="331"/>
      <c r="D5" s="331"/>
      <c r="E5" s="332"/>
      <c r="F5" s="333" t="s">
        <v>46</v>
      </c>
      <c r="G5" s="333"/>
      <c r="H5" s="333"/>
    </row>
    <row r="6" spans="1:8" ht="16.5" customHeight="1" x14ac:dyDescent="0.2">
      <c r="A6" s="330"/>
      <c r="B6" s="331"/>
      <c r="C6" s="331"/>
      <c r="D6" s="331"/>
      <c r="E6" s="332"/>
      <c r="F6" s="334" t="s">
        <v>47</v>
      </c>
      <c r="G6" s="335"/>
      <c r="H6" s="14" t="s">
        <v>48</v>
      </c>
    </row>
    <row r="7" spans="1:8" x14ac:dyDescent="0.2">
      <c r="A7" s="314" t="s">
        <v>49</v>
      </c>
      <c r="B7" s="317"/>
      <c r="C7" s="318"/>
      <c r="D7" s="318"/>
      <c r="E7" s="319"/>
      <c r="F7" s="15" t="s">
        <v>50</v>
      </c>
      <c r="G7" s="16"/>
      <c r="H7" s="52"/>
    </row>
    <row r="8" spans="1:8" x14ac:dyDescent="0.2">
      <c r="A8" s="315"/>
      <c r="B8" s="320"/>
      <c r="C8" s="321"/>
      <c r="D8" s="321"/>
      <c r="E8" s="322"/>
      <c r="F8" s="15" t="s">
        <v>51</v>
      </c>
      <c r="G8" s="16"/>
      <c r="H8" s="52"/>
    </row>
    <row r="9" spans="1:8" x14ac:dyDescent="0.2">
      <c r="A9" s="315"/>
      <c r="B9" s="320"/>
      <c r="C9" s="321"/>
      <c r="D9" s="321"/>
      <c r="E9" s="322"/>
      <c r="F9" s="15" t="s">
        <v>52</v>
      </c>
      <c r="G9" s="16"/>
      <c r="H9" s="14"/>
    </row>
    <row r="10" spans="1:8" x14ac:dyDescent="0.2">
      <c r="A10" s="316"/>
      <c r="B10" s="323"/>
      <c r="C10" s="324"/>
      <c r="D10" s="324"/>
      <c r="E10" s="325"/>
      <c r="F10" s="19" t="s">
        <v>53</v>
      </c>
      <c r="G10" s="20"/>
      <c r="H10" s="53"/>
    </row>
    <row r="11" spans="1:8" ht="18.600000000000001" customHeight="1" x14ac:dyDescent="0.2">
      <c r="A11" s="305" t="s">
        <v>80</v>
      </c>
      <c r="B11" s="306"/>
      <c r="C11" s="306"/>
      <c r="D11" s="306"/>
      <c r="E11" s="306"/>
      <c r="F11" s="306"/>
      <c r="G11" s="306"/>
      <c r="H11" s="307"/>
    </row>
    <row r="12" spans="1:8" ht="19.149999999999999" customHeight="1" x14ac:dyDescent="0.2">
      <c r="A12" s="22" t="s">
        <v>54</v>
      </c>
      <c r="B12" s="308"/>
      <c r="C12" s="309"/>
      <c r="D12" s="309"/>
      <c r="E12" s="309"/>
      <c r="F12" s="309"/>
      <c r="G12" s="309"/>
      <c r="H12" s="310"/>
    </row>
    <row r="13" spans="1:8" ht="19.149999999999999" customHeight="1" x14ac:dyDescent="0.2">
      <c r="A13" s="23" t="s">
        <v>38</v>
      </c>
      <c r="B13" s="311"/>
      <c r="C13" s="312"/>
      <c r="D13" s="312"/>
      <c r="E13" s="312"/>
      <c r="F13" s="312"/>
      <c r="G13" s="312"/>
      <c r="H13" s="313"/>
    </row>
    <row r="14" spans="1:8" ht="19.149999999999999" customHeight="1" x14ac:dyDescent="0.2">
      <c r="A14" s="23" t="s">
        <v>55</v>
      </c>
      <c r="B14" s="311"/>
      <c r="C14" s="312"/>
      <c r="D14" s="312"/>
      <c r="E14" s="312"/>
      <c r="F14" s="312"/>
      <c r="G14" s="312"/>
      <c r="H14" s="313"/>
    </row>
    <row r="15" spans="1:8" ht="19.149999999999999" customHeight="1" x14ac:dyDescent="0.2">
      <c r="A15" s="23" t="s">
        <v>56</v>
      </c>
      <c r="B15" s="290"/>
      <c r="C15" s="291"/>
      <c r="D15" s="291"/>
      <c r="E15" s="291"/>
      <c r="F15" s="291"/>
      <c r="G15" s="291"/>
      <c r="H15" s="292"/>
    </row>
    <row r="16" spans="1:8" ht="19.149999999999999" customHeight="1" x14ac:dyDescent="0.2">
      <c r="A16" s="24" t="s">
        <v>57</v>
      </c>
      <c r="B16" s="293"/>
      <c r="C16" s="294"/>
      <c r="D16" s="294"/>
      <c r="E16" s="294"/>
      <c r="F16" s="294"/>
      <c r="G16" s="294"/>
      <c r="H16" s="295"/>
    </row>
    <row r="17" spans="1:8" ht="18.600000000000001" customHeight="1" x14ac:dyDescent="0.2">
      <c r="A17" s="296" t="s">
        <v>81</v>
      </c>
      <c r="B17" s="297"/>
      <c r="C17" s="297"/>
      <c r="D17" s="297"/>
      <c r="E17" s="297"/>
      <c r="F17" s="297"/>
      <c r="G17" s="297"/>
      <c r="H17" s="298"/>
    </row>
    <row r="18" spans="1:8" ht="18.600000000000001" customHeight="1" x14ac:dyDescent="0.2">
      <c r="A18" s="25" t="s">
        <v>58</v>
      </c>
      <c r="B18" s="299"/>
      <c r="C18" s="300"/>
      <c r="D18" s="301"/>
      <c r="E18" s="302" t="s">
        <v>54</v>
      </c>
      <c r="F18" s="303"/>
      <c r="G18" s="304"/>
      <c r="H18" s="301"/>
    </row>
    <row r="19" spans="1:8" ht="18.600000000000001" customHeight="1" x14ac:dyDescent="0.2">
      <c r="A19" s="23" t="s">
        <v>59</v>
      </c>
      <c r="B19" s="282"/>
      <c r="C19" s="283"/>
      <c r="D19" s="284"/>
      <c r="E19" s="285" t="s">
        <v>38</v>
      </c>
      <c r="F19" s="286"/>
      <c r="G19" s="287"/>
      <c r="H19" s="288"/>
    </row>
    <row r="20" spans="1:8" ht="18.600000000000001" customHeight="1" x14ac:dyDescent="0.2">
      <c r="A20" s="23" t="s">
        <v>60</v>
      </c>
      <c r="B20" s="275"/>
      <c r="C20" s="276"/>
      <c r="D20" s="277"/>
      <c r="E20" s="285" t="s">
        <v>55</v>
      </c>
      <c r="F20" s="286"/>
      <c r="G20" s="287"/>
      <c r="H20" s="289"/>
    </row>
    <row r="21" spans="1:8" ht="18.600000000000001" customHeight="1" x14ac:dyDescent="0.2">
      <c r="A21" s="23" t="s">
        <v>61</v>
      </c>
      <c r="B21" s="275"/>
      <c r="C21" s="276"/>
      <c r="D21" s="277"/>
      <c r="E21" s="278" t="s">
        <v>56</v>
      </c>
      <c r="F21" s="279"/>
      <c r="G21" s="280"/>
      <c r="H21" s="281"/>
    </row>
    <row r="22" spans="1:8" ht="18.600000000000001" customHeight="1" x14ac:dyDescent="0.2">
      <c r="A22" s="26" t="s">
        <v>62</v>
      </c>
      <c r="B22" s="275"/>
      <c r="C22" s="276"/>
      <c r="D22" s="277"/>
      <c r="E22" s="27"/>
      <c r="F22" s="27"/>
      <c r="G22" s="27"/>
      <c r="H22" s="28"/>
    </row>
    <row r="23" spans="1:8" ht="18.600000000000001" customHeight="1" x14ac:dyDescent="0.2">
      <c r="A23" s="23" t="s">
        <v>63</v>
      </c>
      <c r="B23" s="260"/>
      <c r="C23" s="261"/>
      <c r="D23" s="262"/>
      <c r="E23" s="27"/>
      <c r="F23" s="27"/>
      <c r="G23" s="27"/>
      <c r="H23" s="28"/>
    </row>
    <row r="24" spans="1:8" ht="18.600000000000001" customHeight="1" x14ac:dyDescent="0.2">
      <c r="A24" s="23" t="s">
        <v>64</v>
      </c>
      <c r="B24" s="260"/>
      <c r="C24" s="261"/>
      <c r="D24" s="262"/>
      <c r="E24" s="29"/>
      <c r="F24" s="27"/>
      <c r="G24" s="27"/>
      <c r="H24" s="28"/>
    </row>
    <row r="25" spans="1:8" ht="18.600000000000001" customHeight="1" x14ac:dyDescent="0.2">
      <c r="A25" s="30" t="s">
        <v>65</v>
      </c>
      <c r="B25" s="263"/>
      <c r="C25" s="264"/>
      <c r="D25" s="265"/>
      <c r="E25" s="31"/>
      <c r="F25" s="32"/>
      <c r="G25" s="32"/>
      <c r="H25" s="33"/>
    </row>
    <row r="26" spans="1:8" ht="18.600000000000001" customHeight="1" x14ac:dyDescent="0.2">
      <c r="A26" s="266" t="s">
        <v>66</v>
      </c>
      <c r="B26" s="267"/>
      <c r="C26" s="267"/>
      <c r="D26" s="267"/>
      <c r="E26" s="267"/>
      <c r="F26" s="267"/>
      <c r="G26" s="267"/>
      <c r="H26" s="268"/>
    </row>
    <row r="27" spans="1:8" ht="18.600000000000001" customHeight="1" x14ac:dyDescent="0.2">
      <c r="A27" s="269" t="s">
        <v>67</v>
      </c>
      <c r="B27" s="270"/>
      <c r="C27" s="270"/>
      <c r="D27" s="270"/>
      <c r="E27" s="270"/>
      <c r="F27" s="271"/>
      <c r="G27" s="34" t="s">
        <v>13</v>
      </c>
      <c r="H27" s="36" t="s">
        <v>78</v>
      </c>
    </row>
    <row r="28" spans="1:8" ht="36" customHeight="1" x14ac:dyDescent="0.2">
      <c r="A28" s="272"/>
      <c r="B28" s="273"/>
      <c r="C28" s="273"/>
      <c r="D28" s="273"/>
      <c r="E28" s="273"/>
      <c r="F28" s="274"/>
      <c r="G28" s="132" t="str">
        <f>IF(AND(ISBLANK(B16)),"",B16)</f>
        <v/>
      </c>
      <c r="H28" s="134" t="str">
        <f>IF(AND(ISBLANK(B12)),"",B12)</f>
        <v/>
      </c>
    </row>
    <row r="29" spans="1:8" ht="36" customHeight="1" x14ac:dyDescent="0.2">
      <c r="A29" s="246"/>
      <c r="B29" s="247"/>
      <c r="C29" s="247"/>
      <c r="D29" s="247"/>
      <c r="E29" s="247"/>
      <c r="F29" s="248"/>
      <c r="G29" s="54"/>
      <c r="H29" s="35"/>
    </row>
    <row r="30" spans="1:8" ht="36" customHeight="1" x14ac:dyDescent="0.2">
      <c r="A30" s="246"/>
      <c r="B30" s="247"/>
      <c r="C30" s="247"/>
      <c r="D30" s="247"/>
      <c r="E30" s="247"/>
      <c r="F30" s="248"/>
      <c r="G30" s="54"/>
      <c r="H30" s="55"/>
    </row>
    <row r="31" spans="1:8" ht="36" customHeight="1" x14ac:dyDescent="0.2">
      <c r="A31" s="246"/>
      <c r="B31" s="247"/>
      <c r="C31" s="247"/>
      <c r="D31" s="247"/>
      <c r="E31" s="247"/>
      <c r="F31" s="248"/>
      <c r="G31" s="56"/>
      <c r="H31" s="55"/>
    </row>
    <row r="32" spans="1:8" ht="36" customHeight="1" x14ac:dyDescent="0.2">
      <c r="A32" s="251"/>
      <c r="B32" s="252"/>
      <c r="C32" s="252"/>
      <c r="D32" s="252"/>
      <c r="E32" s="252"/>
      <c r="F32" s="253"/>
      <c r="G32" s="57"/>
      <c r="H32" s="58"/>
    </row>
    <row r="33" spans="1:8" ht="15.75" x14ac:dyDescent="0.2">
      <c r="A33" s="257" t="s">
        <v>68</v>
      </c>
      <c r="B33" s="258"/>
      <c r="C33" s="258"/>
      <c r="D33" s="259"/>
      <c r="E33" s="254" t="s">
        <v>69</v>
      </c>
      <c r="F33" s="255"/>
      <c r="G33" s="255"/>
      <c r="H33" s="256"/>
    </row>
    <row r="34" spans="1:8" ht="16.899999999999999" customHeight="1" x14ac:dyDescent="0.2">
      <c r="A34" s="240" t="s">
        <v>70</v>
      </c>
      <c r="B34" s="240"/>
      <c r="C34" s="72"/>
      <c r="D34" s="241"/>
      <c r="E34" s="230" t="s">
        <v>71</v>
      </c>
      <c r="F34" s="233" t="s">
        <v>99</v>
      </c>
      <c r="G34" s="233"/>
      <c r="H34" s="73"/>
    </row>
    <row r="35" spans="1:8" ht="16.899999999999999" customHeight="1" x14ac:dyDescent="0.2">
      <c r="A35" s="240" t="s">
        <v>72</v>
      </c>
      <c r="B35" s="240"/>
      <c r="C35" s="72"/>
      <c r="D35" s="242"/>
      <c r="E35" s="231"/>
      <c r="F35" s="233" t="s">
        <v>100</v>
      </c>
      <c r="G35" s="233"/>
      <c r="H35" s="73"/>
    </row>
    <row r="36" spans="1:8" ht="16.899999999999999" customHeight="1" x14ac:dyDescent="0.2">
      <c r="A36" s="240" t="s">
        <v>73</v>
      </c>
      <c r="B36" s="240"/>
      <c r="C36" s="74"/>
      <c r="D36" s="242"/>
      <c r="E36" s="231"/>
      <c r="F36" s="233" t="s">
        <v>101</v>
      </c>
      <c r="G36" s="233"/>
      <c r="H36" s="73"/>
    </row>
    <row r="37" spans="1:8" ht="16.899999999999999" customHeight="1" x14ac:dyDescent="0.2">
      <c r="A37" s="240" t="s">
        <v>74</v>
      </c>
      <c r="B37" s="240"/>
      <c r="C37" s="74"/>
      <c r="D37" s="242"/>
      <c r="E37" s="231"/>
      <c r="F37" s="236" t="s">
        <v>102</v>
      </c>
      <c r="G37" s="237"/>
      <c r="H37" s="249"/>
    </row>
    <row r="38" spans="1:8" ht="16.899999999999999" customHeight="1" x14ac:dyDescent="0.2">
      <c r="A38" s="240" t="s">
        <v>75</v>
      </c>
      <c r="B38" s="240"/>
      <c r="C38" s="74"/>
      <c r="D38" s="243"/>
      <c r="E38" s="232"/>
      <c r="F38" s="238"/>
      <c r="G38" s="239"/>
      <c r="H38" s="250"/>
    </row>
    <row r="39" spans="1:8" x14ac:dyDescent="0.2">
      <c r="A39" s="234" t="s">
        <v>79</v>
      </c>
      <c r="B39" s="234"/>
      <c r="C39" s="234" t="s">
        <v>76</v>
      </c>
      <c r="D39" s="235"/>
      <c r="E39" s="235"/>
      <c r="F39" s="234" t="s">
        <v>77</v>
      </c>
      <c r="G39" s="234"/>
      <c r="H39" s="234"/>
    </row>
    <row r="40" spans="1:8" x14ac:dyDescent="0.2">
      <c r="A40" s="234"/>
      <c r="B40" s="234"/>
      <c r="C40" s="235"/>
      <c r="D40" s="235"/>
      <c r="E40" s="235"/>
      <c r="F40" s="234"/>
      <c r="G40" s="234"/>
      <c r="H40" s="234"/>
    </row>
    <row r="41" spans="1:8" x14ac:dyDescent="0.2">
      <c r="A41" s="244" t="str">
        <f>IF(AND(ISBLANK(B12)),"",B12)</f>
        <v/>
      </c>
      <c r="B41" s="245"/>
      <c r="C41" s="244" t="str">
        <f>IF(AND(ISBLANK(G18)),"",G18)</f>
        <v/>
      </c>
      <c r="D41" s="245" t="e">
        <f>IF(AND(ISBLANK(#REF!)),"",#REF!)</f>
        <v>#REF!</v>
      </c>
      <c r="E41" s="245" t="e">
        <f>IF(AND(ISBLANK(#REF!)),"",#REF!)</f>
        <v>#REF!</v>
      </c>
      <c r="F41" s="245" t="str">
        <f>IF(AND(ISBLANK(F4)),"",F4)</f>
        <v/>
      </c>
      <c r="G41" s="245" t="e">
        <f>IF(AND(ISBLANK(#REF!)),"",#REF!)</f>
        <v>#REF!</v>
      </c>
      <c r="H41" s="245" t="e">
        <f>IF(AND(ISBLANK(#REF!)),"",#REF!)</f>
        <v>#REF!</v>
      </c>
    </row>
    <row r="42" spans="1:8" ht="24.75" customHeight="1" x14ac:dyDescent="0.2">
      <c r="A42" s="245"/>
      <c r="B42" s="245"/>
      <c r="C42" s="245" t="e">
        <f>IF(AND(ISBLANK(#REF!)),"",#REF!)</f>
        <v>#REF!</v>
      </c>
      <c r="D42" s="245" t="e">
        <f>IF(AND(ISBLANK(#REF!)),"",#REF!)</f>
        <v>#REF!</v>
      </c>
      <c r="E42" s="245" t="e">
        <f>IF(AND(ISBLANK(#REF!)),"",#REF!)</f>
        <v>#REF!</v>
      </c>
      <c r="F42" s="245" t="e">
        <f>IF(AND(ISBLANK(#REF!)),"",#REF!)</f>
        <v>#REF!</v>
      </c>
      <c r="G42" s="245" t="e">
        <f>IF(AND(ISBLANK(#REF!)),"",#REF!)</f>
        <v>#REF!</v>
      </c>
      <c r="H42" s="245" t="e">
        <f>IF(AND(ISBLANK(#REF!)),"",#REF!)</f>
        <v>#REF!</v>
      </c>
    </row>
  </sheetData>
  <protectedRanges>
    <protectedRange sqref="B2:C4 D3:E4 F7 B7 B5 A28:H32" name="Rango1"/>
    <protectedRange sqref="G7:H10" name="Rango1_1"/>
    <protectedRange sqref="H2 F4" name="Rango1_2"/>
    <protectedRange sqref="B12:H16" name="Rango1_3"/>
    <protectedRange sqref="G18:H21" name="Rango1_5"/>
    <protectedRange sqref="A41 C36 C34 F41 C41 B35 B37:B38 F34:F38" name="Rango1_6"/>
    <protectedRange sqref="B20:D24 B25" name="Rango1_7"/>
    <protectedRange sqref="B18:D19" name="Rango1_4_1"/>
  </protectedRanges>
  <mergeCells count="65">
    <mergeCell ref="B2:C2"/>
    <mergeCell ref="D2:E2"/>
    <mergeCell ref="B3:C3"/>
    <mergeCell ref="F3:H3"/>
    <mergeCell ref="B1:F1"/>
    <mergeCell ref="G1:H1"/>
    <mergeCell ref="F2:H2"/>
    <mergeCell ref="B4:C4"/>
    <mergeCell ref="F4:H4"/>
    <mergeCell ref="A5:A6"/>
    <mergeCell ref="B5:E6"/>
    <mergeCell ref="F5:H5"/>
    <mergeCell ref="F6:G6"/>
    <mergeCell ref="A11:H11"/>
    <mergeCell ref="B12:H12"/>
    <mergeCell ref="B13:H13"/>
    <mergeCell ref="B14:H14"/>
    <mergeCell ref="A7:A10"/>
    <mergeCell ref="B7:E10"/>
    <mergeCell ref="B15:H15"/>
    <mergeCell ref="B16:H16"/>
    <mergeCell ref="A17:H17"/>
    <mergeCell ref="B18:D18"/>
    <mergeCell ref="E18:F18"/>
    <mergeCell ref="G18:H18"/>
    <mergeCell ref="B19:D19"/>
    <mergeCell ref="E19:F19"/>
    <mergeCell ref="G19:H19"/>
    <mergeCell ref="B20:D20"/>
    <mergeCell ref="E20:F20"/>
    <mergeCell ref="G20:H20"/>
    <mergeCell ref="B21:D21"/>
    <mergeCell ref="E21:F21"/>
    <mergeCell ref="G21:H21"/>
    <mergeCell ref="B22:D22"/>
    <mergeCell ref="B23:D23"/>
    <mergeCell ref="B24:D24"/>
    <mergeCell ref="B25:D25"/>
    <mergeCell ref="A26:H26"/>
    <mergeCell ref="A27:F27"/>
    <mergeCell ref="A28:F28"/>
    <mergeCell ref="A41:B42"/>
    <mergeCell ref="C41:E42"/>
    <mergeCell ref="F41:H42"/>
    <mergeCell ref="A29:F29"/>
    <mergeCell ref="A30:F30"/>
    <mergeCell ref="H37:H38"/>
    <mergeCell ref="A31:F31"/>
    <mergeCell ref="A32:F32"/>
    <mergeCell ref="E33:H33"/>
    <mergeCell ref="A33:D33"/>
    <mergeCell ref="A34:B34"/>
    <mergeCell ref="A35:B35"/>
    <mergeCell ref="F35:G35"/>
    <mergeCell ref="A36:B36"/>
    <mergeCell ref="F36:G36"/>
    <mergeCell ref="A37:B37"/>
    <mergeCell ref="E34:E38"/>
    <mergeCell ref="F34:G34"/>
    <mergeCell ref="A39:B40"/>
    <mergeCell ref="C39:E40"/>
    <mergeCell ref="F39:H40"/>
    <mergeCell ref="F37:G38"/>
    <mergeCell ref="A38:B38"/>
    <mergeCell ref="D34:D38"/>
  </mergeCells>
  <printOptions horizontalCentered="1" verticalCentered="1"/>
  <pageMargins left="0.70866141732283472" right="0.70866141732283472" top="0.74803149606299213" bottom="0.74803149606299213" header="0.31496062992125984" footer="0.31496062992125984"/>
  <pageSetup paperSize="9" scale="80" orientation="portrait" r:id="rId1"/>
  <headerFooter>
    <oddFooter xml:space="preserve">&amp;L Empresa inscrita en el registro mercantil de Álava, T.1246, F.134, Vi-11448&amp;Rwww.cpavitoria06.com   
info@cpavitoria06.com   </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U332"/>
  <sheetViews>
    <sheetView zoomScaleNormal="100" workbookViewId="0">
      <selection activeCell="L18" sqref="L18"/>
    </sheetView>
  </sheetViews>
  <sheetFormatPr baseColWidth="10" defaultRowHeight="12.75" x14ac:dyDescent="0.2"/>
  <cols>
    <col min="1" max="1" width="3" style="45" customWidth="1"/>
    <col min="2" max="2" width="23" customWidth="1"/>
    <col min="3" max="3" width="11.42578125" customWidth="1"/>
    <col min="7" max="7" width="18.5703125" customWidth="1"/>
    <col min="8" max="8" width="12" customWidth="1"/>
    <col min="9" max="9" width="10.5703125" customWidth="1"/>
    <col min="10" max="10" width="16" style="137" customWidth="1"/>
    <col min="11" max="47" width="11.42578125" style="137"/>
  </cols>
  <sheetData>
    <row r="1" spans="1:47" ht="70.5" customHeight="1" x14ac:dyDescent="0.2">
      <c r="A1" s="143"/>
      <c r="B1" s="46"/>
      <c r="C1" s="397" t="s">
        <v>90</v>
      </c>
      <c r="D1" s="397"/>
      <c r="E1" s="397"/>
      <c r="F1" s="397"/>
      <c r="G1" s="397"/>
      <c r="H1" s="336" t="s">
        <v>103</v>
      </c>
      <c r="I1" s="336"/>
    </row>
    <row r="2" spans="1:47" s="49" customFormat="1" ht="20.25" customHeight="1" x14ac:dyDescent="0.2">
      <c r="A2" s="144"/>
      <c r="B2" s="9" t="s">
        <v>40</v>
      </c>
      <c r="C2" s="336" t="str">
        <f>IF(AND(ISBLANK('Orden de Pedido'!B2)),"",'Orden de Pedido'!B2)</f>
        <v/>
      </c>
      <c r="D2" s="391"/>
      <c r="E2" s="337" t="s">
        <v>41</v>
      </c>
      <c r="F2" s="338"/>
      <c r="G2" s="399"/>
      <c r="H2" s="400"/>
      <c r="I2" s="401"/>
      <c r="J2" s="145"/>
      <c r="K2" s="145"/>
      <c r="L2" s="145"/>
      <c r="M2" s="145"/>
      <c r="N2" s="145"/>
      <c r="O2" s="145"/>
      <c r="P2" s="145"/>
      <c r="Q2" s="145"/>
      <c r="R2" s="145"/>
      <c r="S2" s="145"/>
      <c r="T2" s="145"/>
      <c r="U2" s="145"/>
      <c r="V2" s="145"/>
      <c r="W2" s="145"/>
      <c r="X2" s="145"/>
      <c r="Y2" s="145"/>
      <c r="Z2" s="145"/>
      <c r="AA2" s="145"/>
      <c r="AB2" s="145"/>
      <c r="AC2" s="145"/>
      <c r="AD2" s="145"/>
      <c r="AE2" s="145"/>
      <c r="AF2" s="145"/>
      <c r="AG2" s="145"/>
      <c r="AH2" s="145"/>
      <c r="AI2" s="145"/>
      <c r="AJ2" s="145"/>
      <c r="AK2" s="145"/>
      <c r="AL2" s="145"/>
      <c r="AM2" s="145"/>
      <c r="AN2" s="145"/>
      <c r="AO2" s="145"/>
      <c r="AP2" s="145"/>
      <c r="AQ2" s="145"/>
      <c r="AR2" s="145"/>
      <c r="AS2" s="145"/>
      <c r="AT2" s="145"/>
      <c r="AU2" s="145"/>
    </row>
    <row r="3" spans="1:47" s="49" customFormat="1" ht="20.25" customHeight="1" x14ac:dyDescent="0.2">
      <c r="A3" s="144"/>
      <c r="B3" s="9" t="s">
        <v>42</v>
      </c>
      <c r="C3" s="403" t="str">
        <f>IF(AND(ISBLANK('Orden de Pedido'!B3)),"",'Orden de Pedido'!B3)</f>
        <v/>
      </c>
      <c r="D3" s="403"/>
      <c r="E3" s="126" t="str">
        <f>IF(AND(ISBLANK('Orden de Pedido'!D3)),"",'Orden de Pedido'!D3)</f>
        <v/>
      </c>
      <c r="F3" s="126" t="str">
        <f>IF(AND(ISBLANK('Orden de Pedido'!E3)),"",'Orden de Pedido'!E3)</f>
        <v/>
      </c>
      <c r="G3" s="70" t="s">
        <v>43</v>
      </c>
      <c r="H3" s="244" t="str">
        <f>IF(AND(ISBLANK('Orden de Pedido'!F4)),"",'Orden de Pedido'!F4)</f>
        <v/>
      </c>
      <c r="I3" s="244"/>
      <c r="J3" s="145"/>
      <c r="K3" s="145"/>
      <c r="L3" s="145"/>
      <c r="M3" s="145"/>
      <c r="N3" s="145"/>
      <c r="O3" s="145"/>
      <c r="P3" s="145"/>
      <c r="Q3" s="145"/>
      <c r="R3" s="145"/>
      <c r="S3" s="145"/>
      <c r="T3" s="145"/>
      <c r="U3" s="145"/>
      <c r="V3" s="145"/>
      <c r="W3" s="145"/>
      <c r="X3" s="145"/>
      <c r="Y3" s="145"/>
      <c r="Z3" s="145"/>
      <c r="AA3" s="145"/>
      <c r="AB3" s="145"/>
      <c r="AC3" s="145"/>
      <c r="AD3" s="145"/>
      <c r="AE3" s="145"/>
      <c r="AF3" s="145"/>
      <c r="AG3" s="145"/>
      <c r="AH3" s="145"/>
      <c r="AI3" s="145"/>
      <c r="AJ3" s="145"/>
      <c r="AK3" s="145"/>
      <c r="AL3" s="145"/>
      <c r="AM3" s="145"/>
      <c r="AN3" s="145"/>
      <c r="AO3" s="145"/>
      <c r="AP3" s="145"/>
      <c r="AQ3" s="145"/>
      <c r="AR3" s="145"/>
      <c r="AS3" s="145"/>
      <c r="AT3" s="145"/>
      <c r="AU3" s="145"/>
    </row>
    <row r="4" spans="1:47" s="5" customFormat="1" ht="20.25" customHeight="1" x14ac:dyDescent="0.2">
      <c r="A4" s="143"/>
      <c r="B4" s="9" t="s">
        <v>44</v>
      </c>
      <c r="C4" s="402" t="str">
        <f>IF(AND(ISBLANK('Orden de Pedido'!B4)),"",'Orden de Pedido'!B4)</f>
        <v/>
      </c>
      <c r="D4" s="402"/>
      <c r="E4" s="126" t="str">
        <f>IF(AND(ISBLANK('Orden de Pedido'!D4)),"",'Orden de Pedido'!D4)</f>
        <v/>
      </c>
      <c r="F4" s="126" t="str">
        <f>IF(AND(ISBLANK('Orden de Pedido'!E4)),"",'Orden de Pedido'!E4)</f>
        <v/>
      </c>
      <c r="G4" s="68" t="s">
        <v>104</v>
      </c>
      <c r="H4" s="398"/>
      <c r="I4" s="398"/>
      <c r="J4" s="138"/>
      <c r="K4" s="138"/>
      <c r="L4" s="138"/>
      <c r="M4" s="138"/>
      <c r="N4" s="138"/>
      <c r="O4" s="138"/>
      <c r="P4" s="138"/>
      <c r="Q4" s="138"/>
      <c r="R4" s="138"/>
      <c r="S4" s="138"/>
      <c r="T4" s="138"/>
      <c r="U4" s="138"/>
      <c r="V4" s="138"/>
      <c r="W4" s="138"/>
      <c r="X4" s="138"/>
      <c r="Y4" s="138"/>
      <c r="Z4" s="138"/>
      <c r="AA4" s="138"/>
      <c r="AB4" s="138"/>
      <c r="AC4" s="138"/>
      <c r="AD4" s="138"/>
      <c r="AE4" s="138"/>
      <c r="AF4" s="138"/>
      <c r="AG4" s="138"/>
      <c r="AH4" s="138"/>
      <c r="AI4" s="138"/>
      <c r="AJ4" s="138"/>
      <c r="AK4" s="138"/>
      <c r="AL4" s="138"/>
      <c r="AM4" s="138"/>
      <c r="AN4" s="138"/>
      <c r="AO4" s="138"/>
      <c r="AP4" s="138"/>
      <c r="AQ4" s="138"/>
      <c r="AR4" s="138"/>
      <c r="AS4" s="138"/>
      <c r="AT4" s="138"/>
      <c r="AU4" s="138"/>
    </row>
    <row r="5" spans="1:47" s="5" customFormat="1" x14ac:dyDescent="0.2">
      <c r="A5" s="143"/>
      <c r="B5" s="329" t="s">
        <v>45</v>
      </c>
      <c r="C5" s="244" t="str">
        <f>IF(AND(ISBLANK('Orden de Pedido'!B5)),"",'Orden de Pedido'!B5)</f>
        <v/>
      </c>
      <c r="D5" s="245"/>
      <c r="E5" s="245"/>
      <c r="F5" s="406"/>
      <c r="G5" s="333" t="s">
        <v>46</v>
      </c>
      <c r="H5" s="333"/>
      <c r="I5" s="333"/>
      <c r="J5" s="138"/>
      <c r="K5" s="138"/>
      <c r="L5" s="138"/>
      <c r="M5" s="138"/>
      <c r="N5" s="138"/>
      <c r="O5" s="138"/>
      <c r="P5" s="138"/>
      <c r="Q5" s="138"/>
      <c r="R5" s="138"/>
      <c r="S5" s="138"/>
      <c r="T5" s="138"/>
      <c r="U5" s="138"/>
      <c r="V5" s="138"/>
      <c r="W5" s="138"/>
      <c r="X5" s="138"/>
      <c r="Y5" s="138"/>
      <c r="Z5" s="138"/>
      <c r="AA5" s="138"/>
      <c r="AB5" s="138"/>
      <c r="AC5" s="138"/>
      <c r="AD5" s="138"/>
      <c r="AE5" s="138"/>
      <c r="AF5" s="138"/>
      <c r="AG5" s="138"/>
      <c r="AH5" s="138"/>
      <c r="AI5" s="138"/>
      <c r="AJ5" s="138"/>
      <c r="AK5" s="138"/>
      <c r="AL5" s="138"/>
      <c r="AM5" s="138"/>
      <c r="AN5" s="138"/>
      <c r="AO5" s="138"/>
      <c r="AP5" s="138"/>
      <c r="AQ5" s="138"/>
      <c r="AR5" s="138"/>
      <c r="AS5" s="138"/>
      <c r="AT5" s="138"/>
      <c r="AU5" s="138"/>
    </row>
    <row r="6" spans="1:47" ht="15" customHeight="1" x14ac:dyDescent="0.2">
      <c r="A6" s="143"/>
      <c r="B6" s="330"/>
      <c r="C6" s="245"/>
      <c r="D6" s="245"/>
      <c r="E6" s="245"/>
      <c r="F6" s="406"/>
      <c r="G6" s="334" t="s">
        <v>47</v>
      </c>
      <c r="H6" s="335"/>
      <c r="I6" s="14" t="s">
        <v>48</v>
      </c>
    </row>
    <row r="7" spans="1:47" ht="15" customHeight="1" x14ac:dyDescent="0.2">
      <c r="A7" s="143"/>
      <c r="B7" s="314" t="s">
        <v>49</v>
      </c>
      <c r="C7" s="244" t="str">
        <f>IF(AND(ISBLANK('Orden de Pedido'!B7)),"",'Orden de Pedido'!B7)</f>
        <v/>
      </c>
      <c r="D7" s="244"/>
      <c r="E7" s="244"/>
      <c r="F7" s="244"/>
      <c r="G7" s="15" t="s">
        <v>50</v>
      </c>
      <c r="H7" s="133" t="str">
        <f>IF(AND('Orden de Pedido'!G7="X"),"X","")</f>
        <v/>
      </c>
      <c r="I7" s="17" t="str">
        <f>IF(AND('Orden de Pedido'!H7="X"),"X","")</f>
        <v/>
      </c>
    </row>
    <row r="8" spans="1:47" ht="15" customHeight="1" x14ac:dyDescent="0.2">
      <c r="A8" s="143"/>
      <c r="B8" s="315"/>
      <c r="C8" s="244"/>
      <c r="D8" s="244"/>
      <c r="E8" s="244"/>
      <c r="F8" s="244"/>
      <c r="G8" s="15" t="s">
        <v>51</v>
      </c>
      <c r="H8" s="16" t="str">
        <f>IF(AND('Orden de Pedido'!G8="X"),"X","")</f>
        <v/>
      </c>
      <c r="I8" s="17"/>
    </row>
    <row r="9" spans="1:47" x14ac:dyDescent="0.2">
      <c r="A9" s="143"/>
      <c r="B9" s="315"/>
      <c r="C9" s="244"/>
      <c r="D9" s="244"/>
      <c r="E9" s="244"/>
      <c r="F9" s="244"/>
      <c r="G9" s="15" t="s">
        <v>52</v>
      </c>
      <c r="H9" s="16" t="str">
        <f>IF(AND('Orden de Pedido'!G9="X"),"X","")</f>
        <v/>
      </c>
      <c r="I9" s="18"/>
    </row>
    <row r="10" spans="1:47" x14ac:dyDescent="0.2">
      <c r="A10" s="143"/>
      <c r="B10" s="316"/>
      <c r="C10" s="244"/>
      <c r="D10" s="244"/>
      <c r="E10" s="244"/>
      <c r="F10" s="244"/>
      <c r="G10" s="19" t="s">
        <v>53</v>
      </c>
      <c r="H10" s="20" t="str">
        <f>IF(AND('Orden de Pedido'!G10="X"),"X","")</f>
        <v/>
      </c>
      <c r="I10" s="21" t="str">
        <f>IF(AND('Orden de Pedido'!H10="X"),"X","")</f>
        <v/>
      </c>
    </row>
    <row r="11" spans="1:47" ht="21" customHeight="1" x14ac:dyDescent="0.2">
      <c r="A11" s="143"/>
      <c r="B11" s="48" t="s">
        <v>93</v>
      </c>
      <c r="C11" s="408" t="str">
        <f>IF(AND(ISBLANK(C5)),"",C5)</f>
        <v/>
      </c>
      <c r="D11" s="408"/>
      <c r="E11" s="408"/>
      <c r="F11" s="408"/>
      <c r="G11" s="408"/>
      <c r="H11" s="408"/>
      <c r="I11" s="408"/>
    </row>
    <row r="12" spans="1:47" ht="21" customHeight="1" x14ac:dyDescent="0.2">
      <c r="A12" s="143"/>
      <c r="B12" s="48" t="s">
        <v>92</v>
      </c>
      <c r="C12" s="407" t="str">
        <f>IF(AND(ISBLANK('Orden de Pedido'!B2)),"",'Orden de Pedido'!B2)</f>
        <v/>
      </c>
      <c r="D12" s="407"/>
      <c r="E12" s="407"/>
      <c r="F12" s="407"/>
      <c r="G12" s="407"/>
      <c r="H12" s="407"/>
      <c r="I12" s="407"/>
    </row>
    <row r="13" spans="1:47" x14ac:dyDescent="0.2">
      <c r="A13" s="143"/>
      <c r="B13" s="405" t="s">
        <v>67</v>
      </c>
      <c r="C13" s="405"/>
      <c r="D13" s="405"/>
      <c r="E13" s="405"/>
      <c r="F13" s="405"/>
      <c r="G13" s="405"/>
      <c r="H13" s="405"/>
      <c r="I13" s="405"/>
    </row>
    <row r="14" spans="1:47" ht="66.75" customHeight="1" x14ac:dyDescent="0.2">
      <c r="A14" s="143"/>
      <c r="B14" s="404" t="str">
        <f>IF(AND(ISBLANK('Orden de Pedido'!A28)),"",'Orden de Pedido'!A28)</f>
        <v/>
      </c>
      <c r="C14" s="404"/>
      <c r="D14" s="404"/>
      <c r="E14" s="404"/>
      <c r="F14" s="404"/>
      <c r="G14" s="404"/>
      <c r="H14" s="404"/>
      <c r="I14" s="404"/>
    </row>
    <row r="15" spans="1:47" ht="18" customHeight="1" x14ac:dyDescent="0.2">
      <c r="A15" s="75" t="s">
        <v>91</v>
      </c>
      <c r="B15" s="395" t="s">
        <v>67</v>
      </c>
      <c r="C15" s="396"/>
      <c r="D15" s="395" t="s">
        <v>105</v>
      </c>
      <c r="E15" s="396"/>
      <c r="F15" s="396"/>
      <c r="G15" s="396"/>
      <c r="H15" s="76" t="s">
        <v>106</v>
      </c>
      <c r="I15" s="77" t="s">
        <v>107</v>
      </c>
    </row>
    <row r="16" spans="1:47" ht="18.75" customHeight="1" x14ac:dyDescent="0.2">
      <c r="A16" s="47">
        <v>1</v>
      </c>
      <c r="B16" s="379" t="s">
        <v>108</v>
      </c>
      <c r="C16" s="381"/>
      <c r="D16" s="379"/>
      <c r="E16" s="380"/>
      <c r="F16" s="380"/>
      <c r="G16" s="380"/>
      <c r="H16" s="71"/>
      <c r="I16" s="78"/>
    </row>
    <row r="17" spans="1:9" ht="18.75" customHeight="1" x14ac:dyDescent="0.2">
      <c r="A17" s="351">
        <v>2</v>
      </c>
      <c r="B17" s="352" t="s">
        <v>109</v>
      </c>
      <c r="C17" s="374"/>
      <c r="D17" s="379"/>
      <c r="E17" s="380"/>
      <c r="F17" s="380"/>
      <c r="G17" s="380"/>
      <c r="H17" s="391"/>
      <c r="I17" s="388"/>
    </row>
    <row r="18" spans="1:9" ht="18.75" customHeight="1" x14ac:dyDescent="0.2">
      <c r="A18" s="351"/>
      <c r="B18" s="375"/>
      <c r="C18" s="376"/>
      <c r="D18" s="382"/>
      <c r="E18" s="383"/>
      <c r="F18" s="383"/>
      <c r="G18" s="383"/>
      <c r="H18" s="391"/>
      <c r="I18" s="389"/>
    </row>
    <row r="19" spans="1:9" ht="21" customHeight="1" x14ac:dyDescent="0.2">
      <c r="A19" s="392" t="s">
        <v>110</v>
      </c>
      <c r="B19" s="351" t="s">
        <v>111</v>
      </c>
      <c r="C19" s="351"/>
      <c r="D19" s="391"/>
      <c r="E19" s="391"/>
      <c r="F19" s="391"/>
      <c r="G19" s="391"/>
      <c r="H19" s="71"/>
      <c r="I19" s="71"/>
    </row>
    <row r="20" spans="1:9" ht="21" customHeight="1" x14ac:dyDescent="0.2">
      <c r="A20" s="393"/>
      <c r="B20" s="351" t="s">
        <v>112</v>
      </c>
      <c r="C20" s="351"/>
      <c r="D20" s="391"/>
      <c r="E20" s="391"/>
      <c r="F20" s="391"/>
      <c r="G20" s="391"/>
      <c r="H20" s="71"/>
      <c r="I20" s="71"/>
    </row>
    <row r="21" spans="1:9" ht="21" customHeight="1" x14ac:dyDescent="0.2">
      <c r="A21" s="393"/>
      <c r="B21" s="351" t="s">
        <v>113</v>
      </c>
      <c r="C21" s="351"/>
      <c r="D21" s="391"/>
      <c r="E21" s="391"/>
      <c r="F21" s="391"/>
      <c r="G21" s="391"/>
      <c r="H21" s="71"/>
      <c r="I21" s="71"/>
    </row>
    <row r="22" spans="1:9" ht="21" customHeight="1" x14ac:dyDescent="0.2">
      <c r="A22" s="394"/>
      <c r="B22" s="351" t="s">
        <v>102</v>
      </c>
      <c r="C22" s="351"/>
      <c r="D22" s="391"/>
      <c r="E22" s="391"/>
      <c r="F22" s="391"/>
      <c r="G22" s="391"/>
      <c r="H22" s="71"/>
      <c r="I22" s="69"/>
    </row>
    <row r="23" spans="1:9" ht="27" customHeight="1" x14ac:dyDescent="0.2">
      <c r="A23" s="351">
        <v>3</v>
      </c>
      <c r="B23" s="373" t="s">
        <v>1</v>
      </c>
      <c r="C23" s="374"/>
      <c r="D23" s="379"/>
      <c r="E23" s="380"/>
      <c r="F23" s="380"/>
      <c r="G23" s="380"/>
      <c r="H23" s="391"/>
      <c r="I23" s="388"/>
    </row>
    <row r="24" spans="1:9" ht="27" customHeight="1" x14ac:dyDescent="0.2">
      <c r="A24" s="351"/>
      <c r="B24" s="375"/>
      <c r="C24" s="376"/>
      <c r="D24" s="382"/>
      <c r="E24" s="383"/>
      <c r="F24" s="383"/>
      <c r="G24" s="383"/>
      <c r="H24" s="391"/>
      <c r="I24" s="389"/>
    </row>
    <row r="25" spans="1:9" ht="27" customHeight="1" x14ac:dyDescent="0.2">
      <c r="A25" s="351"/>
      <c r="B25" s="377"/>
      <c r="C25" s="378"/>
      <c r="D25" s="385"/>
      <c r="E25" s="386"/>
      <c r="F25" s="386"/>
      <c r="G25" s="386"/>
      <c r="H25" s="391"/>
      <c r="I25" s="390"/>
    </row>
    <row r="26" spans="1:9" ht="27" customHeight="1" x14ac:dyDescent="0.2">
      <c r="A26" s="351">
        <v>4</v>
      </c>
      <c r="B26" s="373" t="s">
        <v>1</v>
      </c>
      <c r="C26" s="374"/>
      <c r="D26" s="379"/>
      <c r="E26" s="380"/>
      <c r="F26" s="380"/>
      <c r="G26" s="380"/>
      <c r="H26" s="391"/>
      <c r="I26" s="388"/>
    </row>
    <row r="27" spans="1:9" ht="27" customHeight="1" x14ac:dyDescent="0.2">
      <c r="A27" s="351"/>
      <c r="B27" s="375"/>
      <c r="C27" s="376"/>
      <c r="D27" s="382"/>
      <c r="E27" s="383"/>
      <c r="F27" s="383"/>
      <c r="G27" s="383"/>
      <c r="H27" s="391"/>
      <c r="I27" s="389"/>
    </row>
    <row r="28" spans="1:9" ht="27" customHeight="1" x14ac:dyDescent="0.2">
      <c r="A28" s="351"/>
      <c r="B28" s="377"/>
      <c r="C28" s="378"/>
      <c r="D28" s="385"/>
      <c r="E28" s="386"/>
      <c r="F28" s="386"/>
      <c r="G28" s="386"/>
      <c r="H28" s="391"/>
      <c r="I28" s="390"/>
    </row>
    <row r="29" spans="1:9" ht="27" customHeight="1" x14ac:dyDescent="0.2">
      <c r="A29" s="351">
        <v>5</v>
      </c>
      <c r="B29" s="373" t="s">
        <v>1</v>
      </c>
      <c r="C29" s="374"/>
      <c r="D29" s="379"/>
      <c r="E29" s="380"/>
      <c r="F29" s="380"/>
      <c r="G29" s="380"/>
      <c r="H29" s="391"/>
      <c r="I29" s="388"/>
    </row>
    <row r="30" spans="1:9" ht="27" customHeight="1" x14ac:dyDescent="0.2">
      <c r="A30" s="351"/>
      <c r="B30" s="375"/>
      <c r="C30" s="376"/>
      <c r="D30" s="382"/>
      <c r="E30" s="383"/>
      <c r="F30" s="383"/>
      <c r="G30" s="383"/>
      <c r="H30" s="391"/>
      <c r="I30" s="389"/>
    </row>
    <row r="31" spans="1:9" ht="27" customHeight="1" x14ac:dyDescent="0.2">
      <c r="A31" s="351"/>
      <c r="B31" s="377"/>
      <c r="C31" s="378"/>
      <c r="D31" s="385"/>
      <c r="E31" s="386"/>
      <c r="F31" s="386"/>
      <c r="G31" s="386"/>
      <c r="H31" s="391"/>
      <c r="I31" s="390"/>
    </row>
    <row r="32" spans="1:9" ht="27" customHeight="1" x14ac:dyDescent="0.2">
      <c r="A32" s="351">
        <v>6</v>
      </c>
      <c r="B32" s="373" t="s">
        <v>1</v>
      </c>
      <c r="C32" s="374"/>
      <c r="D32" s="379"/>
      <c r="E32" s="380"/>
      <c r="F32" s="380"/>
      <c r="G32" s="380"/>
      <c r="H32" s="391"/>
      <c r="I32" s="388"/>
    </row>
    <row r="33" spans="1:9" ht="27" customHeight="1" x14ac:dyDescent="0.2">
      <c r="A33" s="351"/>
      <c r="B33" s="375"/>
      <c r="C33" s="376"/>
      <c r="D33" s="382"/>
      <c r="E33" s="383"/>
      <c r="F33" s="383"/>
      <c r="G33" s="383"/>
      <c r="H33" s="391"/>
      <c r="I33" s="389"/>
    </row>
    <row r="34" spans="1:9" ht="27" customHeight="1" x14ac:dyDescent="0.2">
      <c r="A34" s="351"/>
      <c r="B34" s="377"/>
      <c r="C34" s="378"/>
      <c r="D34" s="385"/>
      <c r="E34" s="386"/>
      <c r="F34" s="386"/>
      <c r="G34" s="386"/>
      <c r="H34" s="391"/>
      <c r="I34" s="390"/>
    </row>
    <row r="35" spans="1:9" ht="27" customHeight="1" x14ac:dyDescent="0.2">
      <c r="A35" s="351">
        <v>7</v>
      </c>
      <c r="B35" s="373" t="s">
        <v>1</v>
      </c>
      <c r="C35" s="374"/>
      <c r="D35" s="379"/>
      <c r="E35" s="380"/>
      <c r="F35" s="380"/>
      <c r="G35" s="380"/>
      <c r="H35" s="391"/>
      <c r="I35" s="388"/>
    </row>
    <row r="36" spans="1:9" ht="27" customHeight="1" x14ac:dyDescent="0.2">
      <c r="A36" s="351"/>
      <c r="B36" s="375"/>
      <c r="C36" s="376"/>
      <c r="D36" s="382"/>
      <c r="E36" s="383"/>
      <c r="F36" s="383"/>
      <c r="G36" s="383"/>
      <c r="H36" s="391"/>
      <c r="I36" s="389"/>
    </row>
    <row r="37" spans="1:9" ht="27" customHeight="1" x14ac:dyDescent="0.2">
      <c r="A37" s="351"/>
      <c r="B37" s="377"/>
      <c r="C37" s="378"/>
      <c r="D37" s="385"/>
      <c r="E37" s="386"/>
      <c r="F37" s="386"/>
      <c r="G37" s="386"/>
      <c r="H37" s="391"/>
      <c r="I37" s="390"/>
    </row>
    <row r="38" spans="1:9" ht="27" customHeight="1" x14ac:dyDescent="0.2">
      <c r="A38" s="351">
        <v>8</v>
      </c>
      <c r="B38" s="373" t="s">
        <v>1</v>
      </c>
      <c r="C38" s="374"/>
      <c r="D38" s="379"/>
      <c r="E38" s="380"/>
      <c r="F38" s="380"/>
      <c r="G38" s="380"/>
      <c r="H38" s="391"/>
      <c r="I38" s="388"/>
    </row>
    <row r="39" spans="1:9" ht="27" customHeight="1" x14ac:dyDescent="0.2">
      <c r="A39" s="351"/>
      <c r="B39" s="375"/>
      <c r="C39" s="376"/>
      <c r="D39" s="382"/>
      <c r="E39" s="383"/>
      <c r="F39" s="383"/>
      <c r="G39" s="383"/>
      <c r="H39" s="391"/>
      <c r="I39" s="389"/>
    </row>
    <row r="40" spans="1:9" ht="27" customHeight="1" x14ac:dyDescent="0.2">
      <c r="A40" s="351"/>
      <c r="B40" s="377"/>
      <c r="C40" s="378"/>
      <c r="D40" s="385"/>
      <c r="E40" s="386"/>
      <c r="F40" s="386"/>
      <c r="G40" s="386"/>
      <c r="H40" s="391"/>
      <c r="I40" s="390"/>
    </row>
    <row r="41" spans="1:9" ht="27" customHeight="1" x14ac:dyDescent="0.2">
      <c r="A41" s="348">
        <v>9</v>
      </c>
      <c r="B41" s="373" t="s">
        <v>1</v>
      </c>
      <c r="C41" s="374"/>
      <c r="D41" s="379"/>
      <c r="E41" s="380"/>
      <c r="F41" s="380"/>
      <c r="G41" s="381"/>
      <c r="H41" s="388"/>
      <c r="I41" s="388"/>
    </row>
    <row r="42" spans="1:9" ht="27" customHeight="1" x14ac:dyDescent="0.2">
      <c r="A42" s="349"/>
      <c r="B42" s="375"/>
      <c r="C42" s="376"/>
      <c r="D42" s="382"/>
      <c r="E42" s="383"/>
      <c r="F42" s="383"/>
      <c r="G42" s="384"/>
      <c r="H42" s="389"/>
      <c r="I42" s="389"/>
    </row>
    <row r="43" spans="1:9" ht="27" customHeight="1" x14ac:dyDescent="0.2">
      <c r="A43" s="350"/>
      <c r="B43" s="377"/>
      <c r="C43" s="378"/>
      <c r="D43" s="385"/>
      <c r="E43" s="386"/>
      <c r="F43" s="386"/>
      <c r="G43" s="387"/>
      <c r="H43" s="390"/>
      <c r="I43" s="390"/>
    </row>
    <row r="44" spans="1:9" ht="27" customHeight="1" x14ac:dyDescent="0.2">
      <c r="A44" s="348">
        <v>10</v>
      </c>
      <c r="B44" s="373" t="s">
        <v>1</v>
      </c>
      <c r="C44" s="374"/>
      <c r="D44" s="379"/>
      <c r="E44" s="380"/>
      <c r="F44" s="380"/>
      <c r="G44" s="381"/>
      <c r="H44" s="388"/>
      <c r="I44" s="388"/>
    </row>
    <row r="45" spans="1:9" ht="27" customHeight="1" x14ac:dyDescent="0.2">
      <c r="A45" s="349"/>
      <c r="B45" s="375"/>
      <c r="C45" s="376"/>
      <c r="D45" s="382"/>
      <c r="E45" s="383"/>
      <c r="F45" s="383"/>
      <c r="G45" s="384"/>
      <c r="H45" s="389"/>
      <c r="I45" s="389"/>
    </row>
    <row r="46" spans="1:9" ht="27" customHeight="1" x14ac:dyDescent="0.2">
      <c r="A46" s="350"/>
      <c r="B46" s="377"/>
      <c r="C46" s="378"/>
      <c r="D46" s="385"/>
      <c r="E46" s="386"/>
      <c r="F46" s="386"/>
      <c r="G46" s="387"/>
      <c r="H46" s="390"/>
      <c r="I46" s="390"/>
    </row>
    <row r="47" spans="1:9" ht="27" customHeight="1" x14ac:dyDescent="0.2">
      <c r="A47" s="348">
        <v>11</v>
      </c>
      <c r="B47" s="373" t="s">
        <v>1</v>
      </c>
      <c r="C47" s="374"/>
      <c r="D47" s="379"/>
      <c r="E47" s="380"/>
      <c r="F47" s="380"/>
      <c r="G47" s="381"/>
      <c r="H47" s="388"/>
      <c r="I47" s="388"/>
    </row>
    <row r="48" spans="1:9" ht="27" customHeight="1" x14ac:dyDescent="0.2">
      <c r="A48" s="349"/>
      <c r="B48" s="375"/>
      <c r="C48" s="376"/>
      <c r="D48" s="382"/>
      <c r="E48" s="383"/>
      <c r="F48" s="383"/>
      <c r="G48" s="384"/>
      <c r="H48" s="389"/>
      <c r="I48" s="389"/>
    </row>
    <row r="49" spans="1:9" ht="27" customHeight="1" x14ac:dyDescent="0.2">
      <c r="A49" s="350"/>
      <c r="B49" s="377"/>
      <c r="C49" s="378"/>
      <c r="D49" s="385"/>
      <c r="E49" s="386"/>
      <c r="F49" s="386"/>
      <c r="G49" s="387"/>
      <c r="H49" s="390"/>
      <c r="I49" s="390"/>
    </row>
    <row r="50" spans="1:9" ht="27" customHeight="1" x14ac:dyDescent="0.2">
      <c r="A50" s="348">
        <v>12</v>
      </c>
      <c r="B50" s="373" t="s">
        <v>1</v>
      </c>
      <c r="C50" s="374"/>
      <c r="D50" s="379"/>
      <c r="E50" s="380"/>
      <c r="F50" s="380"/>
      <c r="G50" s="381"/>
      <c r="H50" s="388"/>
      <c r="I50" s="388"/>
    </row>
    <row r="51" spans="1:9" ht="27" customHeight="1" x14ac:dyDescent="0.2">
      <c r="A51" s="349"/>
      <c r="B51" s="375"/>
      <c r="C51" s="376"/>
      <c r="D51" s="382"/>
      <c r="E51" s="383"/>
      <c r="F51" s="383"/>
      <c r="G51" s="384"/>
      <c r="H51" s="389"/>
      <c r="I51" s="389"/>
    </row>
    <row r="52" spans="1:9" ht="27" customHeight="1" x14ac:dyDescent="0.2">
      <c r="A52" s="350"/>
      <c r="B52" s="377"/>
      <c r="C52" s="378"/>
      <c r="D52" s="385"/>
      <c r="E52" s="386"/>
      <c r="F52" s="386"/>
      <c r="G52" s="387"/>
      <c r="H52" s="390"/>
      <c r="I52" s="390"/>
    </row>
    <row r="53" spans="1:9" ht="36" customHeight="1" x14ac:dyDescent="0.2">
      <c r="A53" s="348">
        <v>13</v>
      </c>
      <c r="B53" s="352"/>
      <c r="C53" s="353"/>
      <c r="D53" s="358"/>
      <c r="E53" s="359"/>
      <c r="F53" s="359"/>
      <c r="G53" s="360"/>
      <c r="H53" s="367"/>
      <c r="I53" s="388"/>
    </row>
    <row r="54" spans="1:9" ht="36" customHeight="1" x14ac:dyDescent="0.2">
      <c r="A54" s="349"/>
      <c r="B54" s="354"/>
      <c r="C54" s="355"/>
      <c r="D54" s="361"/>
      <c r="E54" s="362"/>
      <c r="F54" s="362"/>
      <c r="G54" s="363"/>
      <c r="H54" s="368"/>
      <c r="I54" s="389"/>
    </row>
    <row r="55" spans="1:9" ht="36" customHeight="1" x14ac:dyDescent="0.2">
      <c r="A55" s="350"/>
      <c r="B55" s="356"/>
      <c r="C55" s="357"/>
      <c r="D55" s="364"/>
      <c r="E55" s="365"/>
      <c r="F55" s="365"/>
      <c r="G55" s="366"/>
      <c r="H55" s="369"/>
      <c r="I55" s="390"/>
    </row>
    <row r="56" spans="1:9" ht="18.75" customHeight="1" x14ac:dyDescent="0.2">
      <c r="A56" s="370"/>
      <c r="B56" s="371"/>
      <c r="C56" s="371"/>
      <c r="D56" s="371"/>
      <c r="E56" s="371"/>
      <c r="F56" s="371"/>
      <c r="G56" s="371"/>
      <c r="H56" s="371"/>
      <c r="I56" s="372"/>
    </row>
    <row r="57" spans="1:9" ht="33.75" customHeight="1" x14ac:dyDescent="0.2">
      <c r="A57" s="348">
        <v>14</v>
      </c>
      <c r="B57" s="352"/>
      <c r="C57" s="353"/>
      <c r="D57" s="358"/>
      <c r="E57" s="359"/>
      <c r="F57" s="359"/>
      <c r="G57" s="360"/>
      <c r="H57" s="367"/>
      <c r="I57" s="367"/>
    </row>
    <row r="58" spans="1:9" ht="33.75" customHeight="1" x14ac:dyDescent="0.2">
      <c r="A58" s="349"/>
      <c r="B58" s="354"/>
      <c r="C58" s="355"/>
      <c r="D58" s="361"/>
      <c r="E58" s="362"/>
      <c r="F58" s="362"/>
      <c r="G58" s="363"/>
      <c r="H58" s="368"/>
      <c r="I58" s="368"/>
    </row>
    <row r="59" spans="1:9" ht="33.75" customHeight="1" x14ac:dyDescent="0.2">
      <c r="A59" s="350"/>
      <c r="B59" s="356"/>
      <c r="C59" s="357"/>
      <c r="D59" s="364"/>
      <c r="E59" s="365"/>
      <c r="F59" s="365"/>
      <c r="G59" s="366"/>
      <c r="H59" s="369"/>
      <c r="I59" s="369"/>
    </row>
    <row r="60" spans="1:9" s="137" customFormat="1" x14ac:dyDescent="0.2">
      <c r="A60" s="143"/>
    </row>
    <row r="61" spans="1:9" s="137" customFormat="1" x14ac:dyDescent="0.2">
      <c r="A61" s="143"/>
    </row>
    <row r="62" spans="1:9" s="137" customFormat="1" x14ac:dyDescent="0.2">
      <c r="A62" s="143"/>
    </row>
    <row r="63" spans="1:9" s="137" customFormat="1" x14ac:dyDescent="0.2">
      <c r="A63" s="143"/>
    </row>
    <row r="64" spans="1:9" s="137" customFormat="1" x14ac:dyDescent="0.2">
      <c r="A64" s="143"/>
    </row>
    <row r="65" spans="1:1" s="137" customFormat="1" x14ac:dyDescent="0.2">
      <c r="A65" s="143"/>
    </row>
    <row r="66" spans="1:1" s="137" customFormat="1" x14ac:dyDescent="0.2">
      <c r="A66" s="143"/>
    </row>
    <row r="67" spans="1:1" s="137" customFormat="1" x14ac:dyDescent="0.2">
      <c r="A67" s="143"/>
    </row>
    <row r="68" spans="1:1" s="137" customFormat="1" x14ac:dyDescent="0.2">
      <c r="A68" s="143"/>
    </row>
    <row r="69" spans="1:1" s="137" customFormat="1" x14ac:dyDescent="0.2">
      <c r="A69" s="143"/>
    </row>
    <row r="70" spans="1:1" s="137" customFormat="1" x14ac:dyDescent="0.2">
      <c r="A70" s="143"/>
    </row>
    <row r="71" spans="1:1" s="137" customFormat="1" x14ac:dyDescent="0.2">
      <c r="A71" s="143"/>
    </row>
    <row r="72" spans="1:1" s="137" customFormat="1" x14ac:dyDescent="0.2">
      <c r="A72" s="143"/>
    </row>
    <row r="73" spans="1:1" s="137" customFormat="1" x14ac:dyDescent="0.2">
      <c r="A73" s="143"/>
    </row>
    <row r="74" spans="1:1" s="137" customFormat="1" x14ac:dyDescent="0.2">
      <c r="A74" s="143"/>
    </row>
    <row r="75" spans="1:1" s="137" customFormat="1" x14ac:dyDescent="0.2">
      <c r="A75" s="143"/>
    </row>
    <row r="76" spans="1:1" s="137" customFormat="1" x14ac:dyDescent="0.2">
      <c r="A76" s="143"/>
    </row>
    <row r="77" spans="1:1" s="137" customFormat="1" x14ac:dyDescent="0.2">
      <c r="A77" s="143"/>
    </row>
    <row r="78" spans="1:1" s="137" customFormat="1" x14ac:dyDescent="0.2">
      <c r="A78" s="143"/>
    </row>
    <row r="79" spans="1:1" s="137" customFormat="1" x14ac:dyDescent="0.2">
      <c r="A79" s="143"/>
    </row>
    <row r="80" spans="1:1" s="137" customFormat="1" x14ac:dyDescent="0.2">
      <c r="A80" s="143"/>
    </row>
    <row r="81" spans="1:1" s="137" customFormat="1" x14ac:dyDescent="0.2">
      <c r="A81" s="143"/>
    </row>
    <row r="82" spans="1:1" s="137" customFormat="1" x14ac:dyDescent="0.2">
      <c r="A82" s="143"/>
    </row>
    <row r="83" spans="1:1" s="137" customFormat="1" x14ac:dyDescent="0.2">
      <c r="A83" s="143"/>
    </row>
    <row r="84" spans="1:1" s="137" customFormat="1" x14ac:dyDescent="0.2">
      <c r="A84" s="143"/>
    </row>
    <row r="85" spans="1:1" s="137" customFormat="1" x14ac:dyDescent="0.2">
      <c r="A85" s="143"/>
    </row>
    <row r="86" spans="1:1" s="137" customFormat="1" x14ac:dyDescent="0.2">
      <c r="A86" s="143"/>
    </row>
    <row r="87" spans="1:1" s="137" customFormat="1" x14ac:dyDescent="0.2">
      <c r="A87" s="143"/>
    </row>
    <row r="88" spans="1:1" s="137" customFormat="1" x14ac:dyDescent="0.2">
      <c r="A88" s="143"/>
    </row>
    <row r="89" spans="1:1" s="137" customFormat="1" x14ac:dyDescent="0.2">
      <c r="A89" s="143"/>
    </row>
    <row r="90" spans="1:1" s="137" customFormat="1" x14ac:dyDescent="0.2">
      <c r="A90" s="143"/>
    </row>
    <row r="91" spans="1:1" s="137" customFormat="1" x14ac:dyDescent="0.2">
      <c r="A91" s="143"/>
    </row>
    <row r="92" spans="1:1" s="137" customFormat="1" x14ac:dyDescent="0.2">
      <c r="A92" s="143"/>
    </row>
    <row r="93" spans="1:1" s="137" customFormat="1" x14ac:dyDescent="0.2">
      <c r="A93" s="143"/>
    </row>
    <row r="94" spans="1:1" s="137" customFormat="1" x14ac:dyDescent="0.2">
      <c r="A94" s="143"/>
    </row>
    <row r="95" spans="1:1" s="137" customFormat="1" x14ac:dyDescent="0.2">
      <c r="A95" s="143"/>
    </row>
    <row r="96" spans="1:1" s="137" customFormat="1" x14ac:dyDescent="0.2">
      <c r="A96" s="143"/>
    </row>
    <row r="97" spans="1:1" s="137" customFormat="1" x14ac:dyDescent="0.2">
      <c r="A97" s="143"/>
    </row>
    <row r="98" spans="1:1" s="137" customFormat="1" x14ac:dyDescent="0.2">
      <c r="A98" s="143"/>
    </row>
    <row r="99" spans="1:1" s="137" customFormat="1" x14ac:dyDescent="0.2">
      <c r="A99" s="143"/>
    </row>
    <row r="100" spans="1:1" s="137" customFormat="1" x14ac:dyDescent="0.2">
      <c r="A100" s="143"/>
    </row>
    <row r="101" spans="1:1" s="137" customFormat="1" x14ac:dyDescent="0.2">
      <c r="A101" s="143"/>
    </row>
    <row r="102" spans="1:1" s="137" customFormat="1" x14ac:dyDescent="0.2">
      <c r="A102" s="143"/>
    </row>
    <row r="103" spans="1:1" s="137" customFormat="1" x14ac:dyDescent="0.2">
      <c r="A103" s="143"/>
    </row>
    <row r="104" spans="1:1" s="137" customFormat="1" x14ac:dyDescent="0.2">
      <c r="A104" s="143"/>
    </row>
    <row r="105" spans="1:1" s="137" customFormat="1" x14ac:dyDescent="0.2">
      <c r="A105" s="143"/>
    </row>
    <row r="106" spans="1:1" s="137" customFormat="1" x14ac:dyDescent="0.2">
      <c r="A106" s="143"/>
    </row>
    <row r="107" spans="1:1" s="137" customFormat="1" x14ac:dyDescent="0.2">
      <c r="A107" s="143"/>
    </row>
    <row r="108" spans="1:1" s="137" customFormat="1" x14ac:dyDescent="0.2">
      <c r="A108" s="143"/>
    </row>
    <row r="109" spans="1:1" s="137" customFormat="1" x14ac:dyDescent="0.2">
      <c r="A109" s="143"/>
    </row>
    <row r="110" spans="1:1" s="137" customFormat="1" x14ac:dyDescent="0.2">
      <c r="A110" s="143"/>
    </row>
    <row r="111" spans="1:1" s="137" customFormat="1" x14ac:dyDescent="0.2">
      <c r="A111" s="143"/>
    </row>
    <row r="112" spans="1:1" s="137" customFormat="1" x14ac:dyDescent="0.2">
      <c r="A112" s="143"/>
    </row>
    <row r="113" spans="1:1" s="137" customFormat="1" x14ac:dyDescent="0.2">
      <c r="A113" s="143"/>
    </row>
    <row r="114" spans="1:1" s="137" customFormat="1" x14ac:dyDescent="0.2">
      <c r="A114" s="143"/>
    </row>
    <row r="115" spans="1:1" s="137" customFormat="1" x14ac:dyDescent="0.2">
      <c r="A115" s="143"/>
    </row>
    <row r="116" spans="1:1" s="137" customFormat="1" x14ac:dyDescent="0.2">
      <c r="A116" s="143"/>
    </row>
    <row r="117" spans="1:1" s="137" customFormat="1" x14ac:dyDescent="0.2">
      <c r="A117" s="143"/>
    </row>
    <row r="118" spans="1:1" s="137" customFormat="1" x14ac:dyDescent="0.2">
      <c r="A118" s="143"/>
    </row>
    <row r="119" spans="1:1" s="137" customFormat="1" x14ac:dyDescent="0.2">
      <c r="A119" s="143"/>
    </row>
    <row r="120" spans="1:1" s="137" customFormat="1" x14ac:dyDescent="0.2">
      <c r="A120" s="143"/>
    </row>
    <row r="121" spans="1:1" s="137" customFormat="1" x14ac:dyDescent="0.2">
      <c r="A121" s="143"/>
    </row>
    <row r="122" spans="1:1" s="137" customFormat="1" x14ac:dyDescent="0.2">
      <c r="A122" s="143"/>
    </row>
    <row r="123" spans="1:1" s="137" customFormat="1" x14ac:dyDescent="0.2">
      <c r="A123" s="143"/>
    </row>
    <row r="124" spans="1:1" s="137" customFormat="1" x14ac:dyDescent="0.2">
      <c r="A124" s="143"/>
    </row>
    <row r="125" spans="1:1" s="137" customFormat="1" x14ac:dyDescent="0.2">
      <c r="A125" s="143"/>
    </row>
    <row r="126" spans="1:1" s="137" customFormat="1" x14ac:dyDescent="0.2">
      <c r="A126" s="143"/>
    </row>
    <row r="127" spans="1:1" s="137" customFormat="1" x14ac:dyDescent="0.2">
      <c r="A127" s="143"/>
    </row>
    <row r="128" spans="1:1" s="137" customFormat="1" x14ac:dyDescent="0.2">
      <c r="A128" s="143"/>
    </row>
    <row r="129" spans="1:1" s="137" customFormat="1" x14ac:dyDescent="0.2">
      <c r="A129" s="143"/>
    </row>
    <row r="130" spans="1:1" s="137" customFormat="1" x14ac:dyDescent="0.2">
      <c r="A130" s="143"/>
    </row>
    <row r="131" spans="1:1" s="137" customFormat="1" x14ac:dyDescent="0.2">
      <c r="A131" s="143"/>
    </row>
    <row r="132" spans="1:1" s="137" customFormat="1" x14ac:dyDescent="0.2">
      <c r="A132" s="143"/>
    </row>
    <row r="133" spans="1:1" s="137" customFormat="1" x14ac:dyDescent="0.2">
      <c r="A133" s="143"/>
    </row>
    <row r="134" spans="1:1" s="137" customFormat="1" x14ac:dyDescent="0.2">
      <c r="A134" s="143"/>
    </row>
    <row r="135" spans="1:1" s="137" customFormat="1" x14ac:dyDescent="0.2">
      <c r="A135" s="143"/>
    </row>
    <row r="136" spans="1:1" s="137" customFormat="1" x14ac:dyDescent="0.2">
      <c r="A136" s="143"/>
    </row>
    <row r="137" spans="1:1" s="137" customFormat="1" x14ac:dyDescent="0.2">
      <c r="A137" s="143"/>
    </row>
    <row r="138" spans="1:1" s="137" customFormat="1" x14ac:dyDescent="0.2">
      <c r="A138" s="143"/>
    </row>
    <row r="139" spans="1:1" s="137" customFormat="1" x14ac:dyDescent="0.2">
      <c r="A139" s="143"/>
    </row>
    <row r="140" spans="1:1" s="137" customFormat="1" x14ac:dyDescent="0.2">
      <c r="A140" s="143"/>
    </row>
    <row r="141" spans="1:1" s="137" customFormat="1" x14ac:dyDescent="0.2">
      <c r="A141" s="143"/>
    </row>
    <row r="142" spans="1:1" s="137" customFormat="1" x14ac:dyDescent="0.2">
      <c r="A142" s="143"/>
    </row>
    <row r="143" spans="1:1" s="137" customFormat="1" x14ac:dyDescent="0.2">
      <c r="A143" s="143"/>
    </row>
    <row r="144" spans="1:1" s="137" customFormat="1" x14ac:dyDescent="0.2">
      <c r="A144" s="143"/>
    </row>
    <row r="145" spans="1:1" s="137" customFormat="1" x14ac:dyDescent="0.2">
      <c r="A145" s="143"/>
    </row>
    <row r="146" spans="1:1" s="137" customFormat="1" x14ac:dyDescent="0.2">
      <c r="A146" s="143"/>
    </row>
    <row r="147" spans="1:1" s="137" customFormat="1" x14ac:dyDescent="0.2">
      <c r="A147" s="143"/>
    </row>
    <row r="148" spans="1:1" s="137" customFormat="1" x14ac:dyDescent="0.2">
      <c r="A148" s="143"/>
    </row>
    <row r="149" spans="1:1" s="137" customFormat="1" x14ac:dyDescent="0.2">
      <c r="A149" s="143"/>
    </row>
    <row r="150" spans="1:1" s="137" customFormat="1" x14ac:dyDescent="0.2">
      <c r="A150" s="143"/>
    </row>
    <row r="151" spans="1:1" s="137" customFormat="1" x14ac:dyDescent="0.2">
      <c r="A151" s="143"/>
    </row>
    <row r="152" spans="1:1" s="137" customFormat="1" x14ac:dyDescent="0.2">
      <c r="A152" s="143"/>
    </row>
    <row r="153" spans="1:1" s="137" customFormat="1" x14ac:dyDescent="0.2">
      <c r="A153" s="143"/>
    </row>
    <row r="154" spans="1:1" s="137" customFormat="1" x14ac:dyDescent="0.2">
      <c r="A154" s="143"/>
    </row>
    <row r="155" spans="1:1" s="137" customFormat="1" x14ac:dyDescent="0.2">
      <c r="A155" s="143"/>
    </row>
    <row r="156" spans="1:1" s="137" customFormat="1" x14ac:dyDescent="0.2">
      <c r="A156" s="143"/>
    </row>
    <row r="157" spans="1:1" s="137" customFormat="1" x14ac:dyDescent="0.2">
      <c r="A157" s="143"/>
    </row>
    <row r="158" spans="1:1" s="137" customFormat="1" x14ac:dyDescent="0.2">
      <c r="A158" s="143"/>
    </row>
    <row r="159" spans="1:1" s="137" customFormat="1" x14ac:dyDescent="0.2">
      <c r="A159" s="143"/>
    </row>
    <row r="160" spans="1:1" s="137" customFormat="1" x14ac:dyDescent="0.2">
      <c r="A160" s="143"/>
    </row>
    <row r="161" spans="1:1" s="137" customFormat="1" x14ac:dyDescent="0.2">
      <c r="A161" s="143"/>
    </row>
    <row r="162" spans="1:1" s="137" customFormat="1" x14ac:dyDescent="0.2">
      <c r="A162" s="143"/>
    </row>
    <row r="163" spans="1:1" s="137" customFormat="1" x14ac:dyDescent="0.2">
      <c r="A163" s="143"/>
    </row>
    <row r="164" spans="1:1" s="137" customFormat="1" x14ac:dyDescent="0.2">
      <c r="A164" s="143"/>
    </row>
    <row r="165" spans="1:1" s="137" customFormat="1" x14ac:dyDescent="0.2">
      <c r="A165" s="143"/>
    </row>
    <row r="166" spans="1:1" s="137" customFormat="1" x14ac:dyDescent="0.2">
      <c r="A166" s="143"/>
    </row>
    <row r="167" spans="1:1" s="137" customFormat="1" x14ac:dyDescent="0.2">
      <c r="A167" s="143"/>
    </row>
    <row r="168" spans="1:1" s="137" customFormat="1" x14ac:dyDescent="0.2">
      <c r="A168" s="143"/>
    </row>
    <row r="169" spans="1:1" s="137" customFormat="1" x14ac:dyDescent="0.2">
      <c r="A169" s="143"/>
    </row>
    <row r="170" spans="1:1" s="137" customFormat="1" x14ac:dyDescent="0.2">
      <c r="A170" s="143"/>
    </row>
    <row r="171" spans="1:1" s="137" customFormat="1" x14ac:dyDescent="0.2">
      <c r="A171" s="143"/>
    </row>
    <row r="172" spans="1:1" s="137" customFormat="1" x14ac:dyDescent="0.2">
      <c r="A172" s="143"/>
    </row>
    <row r="173" spans="1:1" s="137" customFormat="1" x14ac:dyDescent="0.2">
      <c r="A173" s="143"/>
    </row>
    <row r="174" spans="1:1" s="137" customFormat="1" x14ac:dyDescent="0.2">
      <c r="A174" s="143"/>
    </row>
    <row r="175" spans="1:1" s="137" customFormat="1" x14ac:dyDescent="0.2">
      <c r="A175" s="143"/>
    </row>
    <row r="176" spans="1:1" s="137" customFormat="1" x14ac:dyDescent="0.2">
      <c r="A176" s="143"/>
    </row>
    <row r="177" spans="1:1" s="137" customFormat="1" x14ac:dyDescent="0.2">
      <c r="A177" s="143"/>
    </row>
    <row r="178" spans="1:1" s="137" customFormat="1" x14ac:dyDescent="0.2">
      <c r="A178" s="143"/>
    </row>
    <row r="179" spans="1:1" s="137" customFormat="1" x14ac:dyDescent="0.2">
      <c r="A179" s="143"/>
    </row>
    <row r="180" spans="1:1" s="137" customFormat="1" x14ac:dyDescent="0.2">
      <c r="A180" s="143"/>
    </row>
    <row r="181" spans="1:1" s="137" customFormat="1" x14ac:dyDescent="0.2">
      <c r="A181" s="143"/>
    </row>
    <row r="182" spans="1:1" s="137" customFormat="1" x14ac:dyDescent="0.2">
      <c r="A182" s="143"/>
    </row>
    <row r="183" spans="1:1" s="137" customFormat="1" x14ac:dyDescent="0.2">
      <c r="A183" s="143"/>
    </row>
    <row r="184" spans="1:1" s="137" customFormat="1" x14ac:dyDescent="0.2">
      <c r="A184" s="143"/>
    </row>
    <row r="185" spans="1:1" s="137" customFormat="1" x14ac:dyDescent="0.2">
      <c r="A185" s="143"/>
    </row>
    <row r="186" spans="1:1" s="137" customFormat="1" x14ac:dyDescent="0.2">
      <c r="A186" s="143"/>
    </row>
    <row r="187" spans="1:1" s="137" customFormat="1" x14ac:dyDescent="0.2">
      <c r="A187" s="143"/>
    </row>
    <row r="188" spans="1:1" s="137" customFormat="1" x14ac:dyDescent="0.2">
      <c r="A188" s="143"/>
    </row>
    <row r="189" spans="1:1" s="137" customFormat="1" x14ac:dyDescent="0.2">
      <c r="A189" s="143"/>
    </row>
    <row r="190" spans="1:1" s="137" customFormat="1" x14ac:dyDescent="0.2">
      <c r="A190" s="143"/>
    </row>
    <row r="191" spans="1:1" s="137" customFormat="1" x14ac:dyDescent="0.2">
      <c r="A191" s="143"/>
    </row>
    <row r="192" spans="1:1" s="137" customFormat="1" x14ac:dyDescent="0.2">
      <c r="A192" s="143"/>
    </row>
    <row r="193" spans="1:1" s="137" customFormat="1" x14ac:dyDescent="0.2">
      <c r="A193" s="143"/>
    </row>
    <row r="194" spans="1:1" s="137" customFormat="1" x14ac:dyDescent="0.2">
      <c r="A194" s="143"/>
    </row>
    <row r="195" spans="1:1" s="137" customFormat="1" x14ac:dyDescent="0.2">
      <c r="A195" s="143"/>
    </row>
    <row r="196" spans="1:1" s="137" customFormat="1" x14ac:dyDescent="0.2">
      <c r="A196" s="143"/>
    </row>
    <row r="197" spans="1:1" s="137" customFormat="1" x14ac:dyDescent="0.2">
      <c r="A197" s="143"/>
    </row>
    <row r="198" spans="1:1" s="137" customFormat="1" x14ac:dyDescent="0.2">
      <c r="A198" s="143"/>
    </row>
    <row r="199" spans="1:1" s="137" customFormat="1" x14ac:dyDescent="0.2">
      <c r="A199" s="143"/>
    </row>
    <row r="200" spans="1:1" s="137" customFormat="1" x14ac:dyDescent="0.2">
      <c r="A200" s="143"/>
    </row>
    <row r="201" spans="1:1" s="137" customFormat="1" x14ac:dyDescent="0.2">
      <c r="A201" s="143"/>
    </row>
    <row r="202" spans="1:1" s="137" customFormat="1" x14ac:dyDescent="0.2">
      <c r="A202" s="143"/>
    </row>
    <row r="203" spans="1:1" s="137" customFormat="1" x14ac:dyDescent="0.2">
      <c r="A203" s="143"/>
    </row>
    <row r="204" spans="1:1" s="137" customFormat="1" x14ac:dyDescent="0.2">
      <c r="A204" s="143"/>
    </row>
    <row r="205" spans="1:1" s="137" customFormat="1" x14ac:dyDescent="0.2">
      <c r="A205" s="143"/>
    </row>
    <row r="206" spans="1:1" s="137" customFormat="1" x14ac:dyDescent="0.2">
      <c r="A206" s="143"/>
    </row>
    <row r="207" spans="1:1" s="137" customFormat="1" x14ac:dyDescent="0.2">
      <c r="A207" s="143"/>
    </row>
    <row r="208" spans="1:1" s="137" customFormat="1" x14ac:dyDescent="0.2">
      <c r="A208" s="143"/>
    </row>
    <row r="209" spans="1:1" s="137" customFormat="1" x14ac:dyDescent="0.2">
      <c r="A209" s="143"/>
    </row>
    <row r="210" spans="1:1" s="137" customFormat="1" x14ac:dyDescent="0.2">
      <c r="A210" s="143"/>
    </row>
    <row r="211" spans="1:1" s="137" customFormat="1" x14ac:dyDescent="0.2">
      <c r="A211" s="143"/>
    </row>
    <row r="212" spans="1:1" s="137" customFormat="1" x14ac:dyDescent="0.2">
      <c r="A212" s="143"/>
    </row>
    <row r="213" spans="1:1" s="137" customFormat="1" x14ac:dyDescent="0.2">
      <c r="A213" s="143"/>
    </row>
    <row r="214" spans="1:1" s="137" customFormat="1" x14ac:dyDescent="0.2">
      <c r="A214" s="143"/>
    </row>
    <row r="215" spans="1:1" s="137" customFormat="1" x14ac:dyDescent="0.2">
      <c r="A215" s="143"/>
    </row>
    <row r="216" spans="1:1" s="137" customFormat="1" x14ac:dyDescent="0.2">
      <c r="A216" s="143"/>
    </row>
    <row r="217" spans="1:1" s="137" customFormat="1" x14ac:dyDescent="0.2">
      <c r="A217" s="143"/>
    </row>
    <row r="218" spans="1:1" s="137" customFormat="1" x14ac:dyDescent="0.2">
      <c r="A218" s="143"/>
    </row>
    <row r="219" spans="1:1" s="137" customFormat="1" x14ac:dyDescent="0.2">
      <c r="A219" s="143"/>
    </row>
    <row r="220" spans="1:1" s="137" customFormat="1" x14ac:dyDescent="0.2">
      <c r="A220" s="143"/>
    </row>
    <row r="221" spans="1:1" s="137" customFormat="1" x14ac:dyDescent="0.2">
      <c r="A221" s="143"/>
    </row>
    <row r="222" spans="1:1" s="137" customFormat="1" x14ac:dyDescent="0.2">
      <c r="A222" s="143"/>
    </row>
    <row r="223" spans="1:1" s="137" customFormat="1" x14ac:dyDescent="0.2">
      <c r="A223" s="143"/>
    </row>
    <row r="224" spans="1:1" s="137" customFormat="1" x14ac:dyDescent="0.2">
      <c r="A224" s="143"/>
    </row>
    <row r="225" spans="1:1" s="137" customFormat="1" x14ac:dyDescent="0.2">
      <c r="A225" s="143"/>
    </row>
    <row r="226" spans="1:1" s="137" customFormat="1" x14ac:dyDescent="0.2">
      <c r="A226" s="143"/>
    </row>
    <row r="227" spans="1:1" s="137" customFormat="1" x14ac:dyDescent="0.2">
      <c r="A227" s="143"/>
    </row>
    <row r="228" spans="1:1" s="137" customFormat="1" x14ac:dyDescent="0.2">
      <c r="A228" s="143"/>
    </row>
    <row r="229" spans="1:1" s="137" customFormat="1" x14ac:dyDescent="0.2">
      <c r="A229" s="143"/>
    </row>
    <row r="230" spans="1:1" s="137" customFormat="1" x14ac:dyDescent="0.2">
      <c r="A230" s="143"/>
    </row>
    <row r="231" spans="1:1" s="137" customFormat="1" x14ac:dyDescent="0.2">
      <c r="A231" s="143"/>
    </row>
    <row r="232" spans="1:1" s="137" customFormat="1" x14ac:dyDescent="0.2">
      <c r="A232" s="143"/>
    </row>
    <row r="233" spans="1:1" s="137" customFormat="1" x14ac:dyDescent="0.2">
      <c r="A233" s="143"/>
    </row>
    <row r="234" spans="1:1" s="137" customFormat="1" x14ac:dyDescent="0.2">
      <c r="A234" s="143"/>
    </row>
    <row r="235" spans="1:1" s="137" customFormat="1" x14ac:dyDescent="0.2">
      <c r="A235" s="143"/>
    </row>
    <row r="236" spans="1:1" s="137" customFormat="1" x14ac:dyDescent="0.2">
      <c r="A236" s="143"/>
    </row>
    <row r="237" spans="1:1" s="137" customFormat="1" x14ac:dyDescent="0.2">
      <c r="A237" s="143"/>
    </row>
    <row r="238" spans="1:1" s="137" customFormat="1" x14ac:dyDescent="0.2">
      <c r="A238" s="143"/>
    </row>
    <row r="239" spans="1:1" s="137" customFormat="1" x14ac:dyDescent="0.2">
      <c r="A239" s="143"/>
    </row>
    <row r="240" spans="1:1" s="137" customFormat="1" x14ac:dyDescent="0.2">
      <c r="A240" s="143"/>
    </row>
    <row r="241" spans="1:1" s="137" customFormat="1" x14ac:dyDescent="0.2">
      <c r="A241" s="143"/>
    </row>
    <row r="242" spans="1:1" s="137" customFormat="1" x14ac:dyDescent="0.2">
      <c r="A242" s="143"/>
    </row>
    <row r="243" spans="1:1" s="137" customFormat="1" x14ac:dyDescent="0.2">
      <c r="A243" s="143"/>
    </row>
    <row r="244" spans="1:1" s="137" customFormat="1" x14ac:dyDescent="0.2">
      <c r="A244" s="143"/>
    </row>
    <row r="245" spans="1:1" s="137" customFormat="1" x14ac:dyDescent="0.2">
      <c r="A245" s="143"/>
    </row>
    <row r="246" spans="1:1" s="137" customFormat="1" x14ac:dyDescent="0.2">
      <c r="A246" s="143"/>
    </row>
    <row r="247" spans="1:1" s="137" customFormat="1" x14ac:dyDescent="0.2">
      <c r="A247" s="143"/>
    </row>
    <row r="248" spans="1:1" s="137" customFormat="1" x14ac:dyDescent="0.2">
      <c r="A248" s="143"/>
    </row>
    <row r="249" spans="1:1" s="137" customFormat="1" x14ac:dyDescent="0.2">
      <c r="A249" s="143"/>
    </row>
    <row r="250" spans="1:1" s="137" customFormat="1" x14ac:dyDescent="0.2">
      <c r="A250" s="143"/>
    </row>
    <row r="251" spans="1:1" s="137" customFormat="1" x14ac:dyDescent="0.2">
      <c r="A251" s="143"/>
    </row>
    <row r="252" spans="1:1" s="137" customFormat="1" x14ac:dyDescent="0.2">
      <c r="A252" s="143"/>
    </row>
    <row r="253" spans="1:1" s="137" customFormat="1" x14ac:dyDescent="0.2">
      <c r="A253" s="143"/>
    </row>
    <row r="254" spans="1:1" s="137" customFormat="1" x14ac:dyDescent="0.2">
      <c r="A254" s="143"/>
    </row>
    <row r="255" spans="1:1" s="137" customFormat="1" x14ac:dyDescent="0.2">
      <c r="A255" s="143"/>
    </row>
    <row r="256" spans="1:1" s="137" customFormat="1" x14ac:dyDescent="0.2">
      <c r="A256" s="143"/>
    </row>
    <row r="257" spans="1:1" s="137" customFormat="1" x14ac:dyDescent="0.2">
      <c r="A257" s="143"/>
    </row>
    <row r="258" spans="1:1" s="137" customFormat="1" x14ac:dyDescent="0.2">
      <c r="A258" s="143"/>
    </row>
    <row r="259" spans="1:1" s="137" customFormat="1" x14ac:dyDescent="0.2">
      <c r="A259" s="143"/>
    </row>
    <row r="260" spans="1:1" s="137" customFormat="1" x14ac:dyDescent="0.2">
      <c r="A260" s="143"/>
    </row>
    <row r="261" spans="1:1" s="137" customFormat="1" x14ac:dyDescent="0.2">
      <c r="A261" s="143"/>
    </row>
    <row r="262" spans="1:1" s="137" customFormat="1" x14ac:dyDescent="0.2">
      <c r="A262" s="143"/>
    </row>
    <row r="263" spans="1:1" s="137" customFormat="1" x14ac:dyDescent="0.2">
      <c r="A263" s="143"/>
    </row>
    <row r="264" spans="1:1" s="137" customFormat="1" x14ac:dyDescent="0.2">
      <c r="A264" s="143"/>
    </row>
    <row r="265" spans="1:1" s="137" customFormat="1" x14ac:dyDescent="0.2">
      <c r="A265" s="143"/>
    </row>
    <row r="266" spans="1:1" s="137" customFormat="1" x14ac:dyDescent="0.2">
      <c r="A266" s="143"/>
    </row>
    <row r="267" spans="1:1" s="137" customFormat="1" x14ac:dyDescent="0.2">
      <c r="A267" s="143"/>
    </row>
    <row r="268" spans="1:1" s="137" customFormat="1" x14ac:dyDescent="0.2">
      <c r="A268" s="143"/>
    </row>
    <row r="269" spans="1:1" s="137" customFormat="1" x14ac:dyDescent="0.2">
      <c r="A269" s="143"/>
    </row>
    <row r="270" spans="1:1" s="137" customFormat="1" x14ac:dyDescent="0.2">
      <c r="A270" s="143"/>
    </row>
    <row r="271" spans="1:1" s="137" customFormat="1" x14ac:dyDescent="0.2">
      <c r="A271" s="143"/>
    </row>
    <row r="272" spans="1:1" s="137" customFormat="1" x14ac:dyDescent="0.2">
      <c r="A272" s="143"/>
    </row>
    <row r="273" spans="1:1" s="137" customFormat="1" x14ac:dyDescent="0.2">
      <c r="A273" s="143"/>
    </row>
    <row r="274" spans="1:1" s="137" customFormat="1" x14ac:dyDescent="0.2">
      <c r="A274" s="143"/>
    </row>
    <row r="275" spans="1:1" s="137" customFormat="1" x14ac:dyDescent="0.2">
      <c r="A275" s="143"/>
    </row>
    <row r="276" spans="1:1" s="137" customFormat="1" x14ac:dyDescent="0.2">
      <c r="A276" s="143"/>
    </row>
    <row r="277" spans="1:1" s="137" customFormat="1" x14ac:dyDescent="0.2">
      <c r="A277" s="143"/>
    </row>
    <row r="278" spans="1:1" s="137" customFormat="1" x14ac:dyDescent="0.2">
      <c r="A278" s="143"/>
    </row>
    <row r="279" spans="1:1" s="137" customFormat="1" x14ac:dyDescent="0.2">
      <c r="A279" s="143"/>
    </row>
    <row r="280" spans="1:1" s="137" customFormat="1" x14ac:dyDescent="0.2">
      <c r="A280" s="143"/>
    </row>
    <row r="281" spans="1:1" s="137" customFormat="1" x14ac:dyDescent="0.2">
      <c r="A281" s="143"/>
    </row>
    <row r="282" spans="1:1" s="137" customFormat="1" x14ac:dyDescent="0.2">
      <c r="A282" s="143"/>
    </row>
    <row r="283" spans="1:1" s="137" customFormat="1" x14ac:dyDescent="0.2">
      <c r="A283" s="143"/>
    </row>
    <row r="284" spans="1:1" s="137" customFormat="1" x14ac:dyDescent="0.2">
      <c r="A284" s="143"/>
    </row>
    <row r="285" spans="1:1" s="137" customFormat="1" x14ac:dyDescent="0.2">
      <c r="A285" s="143"/>
    </row>
    <row r="286" spans="1:1" s="137" customFormat="1" x14ac:dyDescent="0.2">
      <c r="A286" s="143"/>
    </row>
    <row r="287" spans="1:1" s="137" customFormat="1" x14ac:dyDescent="0.2">
      <c r="A287" s="143"/>
    </row>
    <row r="288" spans="1:1" s="137" customFormat="1" x14ac:dyDescent="0.2">
      <c r="A288" s="143"/>
    </row>
    <row r="289" spans="1:1" s="137" customFormat="1" x14ac:dyDescent="0.2">
      <c r="A289" s="143"/>
    </row>
    <row r="290" spans="1:1" s="137" customFormat="1" x14ac:dyDescent="0.2">
      <c r="A290" s="143"/>
    </row>
    <row r="291" spans="1:1" s="137" customFormat="1" x14ac:dyDescent="0.2">
      <c r="A291" s="143"/>
    </row>
    <row r="292" spans="1:1" s="137" customFormat="1" x14ac:dyDescent="0.2">
      <c r="A292" s="143"/>
    </row>
    <row r="293" spans="1:1" s="137" customFormat="1" x14ac:dyDescent="0.2">
      <c r="A293" s="143"/>
    </row>
    <row r="294" spans="1:1" s="137" customFormat="1" x14ac:dyDescent="0.2">
      <c r="A294" s="143"/>
    </row>
    <row r="295" spans="1:1" s="137" customFormat="1" x14ac:dyDescent="0.2">
      <c r="A295" s="143"/>
    </row>
    <row r="296" spans="1:1" s="137" customFormat="1" x14ac:dyDescent="0.2">
      <c r="A296" s="143"/>
    </row>
    <row r="297" spans="1:1" s="137" customFormat="1" x14ac:dyDescent="0.2">
      <c r="A297" s="143"/>
    </row>
    <row r="298" spans="1:1" s="137" customFormat="1" x14ac:dyDescent="0.2">
      <c r="A298" s="143"/>
    </row>
    <row r="299" spans="1:1" s="137" customFormat="1" x14ac:dyDescent="0.2">
      <c r="A299" s="143"/>
    </row>
    <row r="300" spans="1:1" s="137" customFormat="1" x14ac:dyDescent="0.2">
      <c r="A300" s="143"/>
    </row>
    <row r="301" spans="1:1" s="137" customFormat="1" x14ac:dyDescent="0.2">
      <c r="A301" s="143"/>
    </row>
    <row r="302" spans="1:1" s="137" customFormat="1" x14ac:dyDescent="0.2">
      <c r="A302" s="143"/>
    </row>
    <row r="303" spans="1:1" s="137" customFormat="1" x14ac:dyDescent="0.2">
      <c r="A303" s="143"/>
    </row>
    <row r="304" spans="1:1" s="137" customFormat="1" x14ac:dyDescent="0.2">
      <c r="A304" s="143"/>
    </row>
    <row r="305" spans="1:1" s="137" customFormat="1" x14ac:dyDescent="0.2">
      <c r="A305" s="143"/>
    </row>
    <row r="306" spans="1:1" s="137" customFormat="1" x14ac:dyDescent="0.2">
      <c r="A306" s="143"/>
    </row>
    <row r="307" spans="1:1" s="137" customFormat="1" x14ac:dyDescent="0.2">
      <c r="A307" s="143"/>
    </row>
    <row r="308" spans="1:1" s="137" customFormat="1" x14ac:dyDescent="0.2">
      <c r="A308" s="143"/>
    </row>
    <row r="309" spans="1:1" s="137" customFormat="1" x14ac:dyDescent="0.2">
      <c r="A309" s="143"/>
    </row>
    <row r="310" spans="1:1" s="137" customFormat="1" x14ac:dyDescent="0.2">
      <c r="A310" s="143"/>
    </row>
    <row r="311" spans="1:1" s="137" customFormat="1" x14ac:dyDescent="0.2">
      <c r="A311" s="143"/>
    </row>
    <row r="312" spans="1:1" s="137" customFormat="1" x14ac:dyDescent="0.2">
      <c r="A312" s="143"/>
    </row>
    <row r="313" spans="1:1" s="137" customFormat="1" x14ac:dyDescent="0.2">
      <c r="A313" s="143"/>
    </row>
    <row r="314" spans="1:1" s="137" customFormat="1" x14ac:dyDescent="0.2">
      <c r="A314" s="143"/>
    </row>
    <row r="315" spans="1:1" s="137" customFormat="1" x14ac:dyDescent="0.2">
      <c r="A315" s="143"/>
    </row>
    <row r="316" spans="1:1" s="137" customFormat="1" x14ac:dyDescent="0.2">
      <c r="A316" s="143"/>
    </row>
    <row r="317" spans="1:1" s="137" customFormat="1" x14ac:dyDescent="0.2">
      <c r="A317" s="143"/>
    </row>
    <row r="318" spans="1:1" s="137" customFormat="1" x14ac:dyDescent="0.2">
      <c r="A318" s="143"/>
    </row>
    <row r="319" spans="1:1" s="137" customFormat="1" x14ac:dyDescent="0.2">
      <c r="A319" s="143"/>
    </row>
    <row r="320" spans="1:1" s="137" customFormat="1" x14ac:dyDescent="0.2">
      <c r="A320" s="143"/>
    </row>
    <row r="321" spans="1:1" s="137" customFormat="1" x14ac:dyDescent="0.2">
      <c r="A321" s="143"/>
    </row>
    <row r="322" spans="1:1" s="137" customFormat="1" x14ac:dyDescent="0.2">
      <c r="A322" s="143"/>
    </row>
    <row r="323" spans="1:1" s="137" customFormat="1" x14ac:dyDescent="0.2">
      <c r="A323" s="143"/>
    </row>
    <row r="324" spans="1:1" s="137" customFormat="1" x14ac:dyDescent="0.2">
      <c r="A324" s="143"/>
    </row>
    <row r="325" spans="1:1" s="137" customFormat="1" x14ac:dyDescent="0.2">
      <c r="A325" s="143"/>
    </row>
    <row r="326" spans="1:1" s="137" customFormat="1" x14ac:dyDescent="0.2">
      <c r="A326" s="143"/>
    </row>
    <row r="327" spans="1:1" s="137" customFormat="1" x14ac:dyDescent="0.2">
      <c r="A327" s="143"/>
    </row>
    <row r="328" spans="1:1" s="137" customFormat="1" x14ac:dyDescent="0.2">
      <c r="A328" s="143"/>
    </row>
    <row r="329" spans="1:1" s="137" customFormat="1" x14ac:dyDescent="0.2">
      <c r="A329" s="143"/>
    </row>
    <row r="330" spans="1:1" s="137" customFormat="1" x14ac:dyDescent="0.2">
      <c r="A330" s="143"/>
    </row>
    <row r="331" spans="1:1" s="137" customFormat="1" x14ac:dyDescent="0.2">
      <c r="A331" s="143"/>
    </row>
    <row r="332" spans="1:1" s="137" customFormat="1" x14ac:dyDescent="0.2">
      <c r="A332" s="143"/>
    </row>
  </sheetData>
  <protectedRanges>
    <protectedRange sqref="D15 H15:I15" name="Rango1_1_3_1"/>
    <protectedRange sqref="C2:D4 I2 G7 C7 C5 E3:F3 E4:G4" name="Rango1_2_1"/>
    <protectedRange sqref="H7:I10" name="Rango1_1_1_1"/>
  </protectedRanges>
  <mergeCells count="98">
    <mergeCell ref="B44:C46"/>
    <mergeCell ref="D44:G46"/>
    <mergeCell ref="H44:H46"/>
    <mergeCell ref="I44:I46"/>
    <mergeCell ref="B38:C40"/>
    <mergeCell ref="D38:G40"/>
    <mergeCell ref="H38:H40"/>
    <mergeCell ref="I38:I40"/>
    <mergeCell ref="B41:C43"/>
    <mergeCell ref="D41:G43"/>
    <mergeCell ref="H41:H43"/>
    <mergeCell ref="I41:I43"/>
    <mergeCell ref="B32:C34"/>
    <mergeCell ref="D32:G34"/>
    <mergeCell ref="H32:H34"/>
    <mergeCell ref="I32:I34"/>
    <mergeCell ref="B35:C37"/>
    <mergeCell ref="D35:G37"/>
    <mergeCell ref="H35:H37"/>
    <mergeCell ref="I35:I37"/>
    <mergeCell ref="B26:C28"/>
    <mergeCell ref="D26:G28"/>
    <mergeCell ref="H26:H28"/>
    <mergeCell ref="I26:I28"/>
    <mergeCell ref="B29:C31"/>
    <mergeCell ref="D29:G31"/>
    <mergeCell ref="H29:H31"/>
    <mergeCell ref="I29:I31"/>
    <mergeCell ref="B14:I14"/>
    <mergeCell ref="B13:I13"/>
    <mergeCell ref="C7:F10"/>
    <mergeCell ref="B7:B10"/>
    <mergeCell ref="G5:I5"/>
    <mergeCell ref="B5:B6"/>
    <mergeCell ref="C5:F6"/>
    <mergeCell ref="C12:I12"/>
    <mergeCell ref="C11:I11"/>
    <mergeCell ref="G6:H6"/>
    <mergeCell ref="H1:I1"/>
    <mergeCell ref="C1:G1"/>
    <mergeCell ref="H3:I3"/>
    <mergeCell ref="H4:I4"/>
    <mergeCell ref="G2:I2"/>
    <mergeCell ref="E2:F2"/>
    <mergeCell ref="C4:D4"/>
    <mergeCell ref="C2:D2"/>
    <mergeCell ref="C3:D3"/>
    <mergeCell ref="B15:C15"/>
    <mergeCell ref="D15:G15"/>
    <mergeCell ref="B16:C16"/>
    <mergeCell ref="D16:G16"/>
    <mergeCell ref="A17:A18"/>
    <mergeCell ref="B17:C18"/>
    <mergeCell ref="D17:G18"/>
    <mergeCell ref="I23:I25"/>
    <mergeCell ref="H17:H18"/>
    <mergeCell ref="I17:I18"/>
    <mergeCell ref="A19:A22"/>
    <mergeCell ref="B19:C19"/>
    <mergeCell ref="D19:G19"/>
    <mergeCell ref="B20:C20"/>
    <mergeCell ref="D20:G20"/>
    <mergeCell ref="B21:C21"/>
    <mergeCell ref="D21:G21"/>
    <mergeCell ref="B22:C22"/>
    <mergeCell ref="D22:G22"/>
    <mergeCell ref="A23:A25"/>
    <mergeCell ref="B23:C25"/>
    <mergeCell ref="D23:G25"/>
    <mergeCell ref="H23:H25"/>
    <mergeCell ref="A56:I56"/>
    <mergeCell ref="A47:A49"/>
    <mergeCell ref="B47:C49"/>
    <mergeCell ref="D47:G49"/>
    <mergeCell ref="H47:H49"/>
    <mergeCell ref="I47:I49"/>
    <mergeCell ref="A50:A52"/>
    <mergeCell ref="B50:C52"/>
    <mergeCell ref="D50:G52"/>
    <mergeCell ref="H50:H52"/>
    <mergeCell ref="A53:A55"/>
    <mergeCell ref="B53:C55"/>
    <mergeCell ref="D53:G55"/>
    <mergeCell ref="H53:H55"/>
    <mergeCell ref="I53:I55"/>
    <mergeCell ref="I50:I52"/>
    <mergeCell ref="A57:A59"/>
    <mergeCell ref="B57:C59"/>
    <mergeCell ref="D57:G59"/>
    <mergeCell ref="H57:H59"/>
    <mergeCell ref="I57:I59"/>
    <mergeCell ref="A41:A43"/>
    <mergeCell ref="A44:A46"/>
    <mergeCell ref="A26:A28"/>
    <mergeCell ref="A29:A31"/>
    <mergeCell ref="A32:A34"/>
    <mergeCell ref="A35:A37"/>
    <mergeCell ref="A38:A40"/>
  </mergeCells>
  <printOptions horizontalCentered="1" verticalCentered="1"/>
  <pageMargins left="0.15748031496062992" right="0.15748031496062992" top="0.15748031496062992" bottom="0.35433070866141736" header="0.62992125984251968" footer="0.27559055118110237"/>
  <pageSetup paperSize="9" scale="83" orientation="portrait" r:id="rId1"/>
  <headerFooter>
    <oddFooter xml:space="preserve">&amp;C&amp;P de &amp;N&amp;Rwww.cpavitoria06.com   
info@cpavitoria06.com </oddFooter>
  </headerFooter>
  <rowBreaks count="1" manualBreakCount="1">
    <brk id="75" max="8"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1:AS46"/>
  <sheetViews>
    <sheetView showGridLines="0" zoomScale="40" zoomScaleNormal="40" zoomScalePageLayoutView="40" workbookViewId="0">
      <selection activeCell="L7" sqref="L7"/>
    </sheetView>
  </sheetViews>
  <sheetFormatPr baseColWidth="10" defaultRowHeight="12.75" x14ac:dyDescent="0.2"/>
  <cols>
    <col min="1" max="1" width="16.42578125" style="79" customWidth="1"/>
    <col min="2" max="5" width="10.85546875" style="5" customWidth="1"/>
    <col min="6" max="6" width="13.5703125" style="5" customWidth="1"/>
    <col min="7" max="7" width="10.85546875" style="5" customWidth="1"/>
    <col min="8" max="8" width="16.28515625" style="5" customWidth="1"/>
    <col min="9" max="9" width="12" style="5" customWidth="1"/>
    <col min="10" max="10" width="12.140625" style="5" customWidth="1"/>
    <col min="11" max="11" width="14.140625" style="5" customWidth="1"/>
    <col min="12" max="38" width="12.140625" style="5" customWidth="1"/>
    <col min="39" max="39" width="17.7109375" style="5" customWidth="1"/>
    <col min="40" max="54" width="4.28515625" style="5" customWidth="1"/>
    <col min="55" max="16384" width="11.42578125" style="5"/>
  </cols>
  <sheetData>
    <row r="1" spans="1:45" ht="178.5" customHeight="1" x14ac:dyDescent="0.2">
      <c r="B1" s="391"/>
      <c r="C1" s="391"/>
      <c r="D1" s="391"/>
      <c r="E1" s="391"/>
      <c r="F1" s="391"/>
      <c r="G1" s="391"/>
      <c r="H1" s="391"/>
      <c r="I1" s="428" t="s">
        <v>86</v>
      </c>
      <c r="J1" s="235"/>
      <c r="K1" s="235"/>
      <c r="L1" s="235"/>
      <c r="M1" s="235"/>
      <c r="N1" s="235"/>
      <c r="O1" s="235"/>
      <c r="P1" s="235"/>
      <c r="Q1" s="235"/>
      <c r="R1" s="235"/>
      <c r="S1" s="235"/>
      <c r="T1" s="235"/>
      <c r="U1" s="235"/>
      <c r="V1" s="235"/>
      <c r="W1" s="235"/>
      <c r="X1" s="235"/>
      <c r="Y1" s="235"/>
      <c r="Z1" s="235"/>
      <c r="AA1" s="235"/>
      <c r="AB1" s="235"/>
      <c r="AC1" s="235"/>
      <c r="AD1" s="235"/>
      <c r="AE1" s="235"/>
      <c r="AF1" s="235"/>
      <c r="AG1" s="235"/>
      <c r="AH1" s="235"/>
      <c r="AI1" s="235"/>
      <c r="AJ1" s="429" t="s">
        <v>114</v>
      </c>
      <c r="AK1" s="429"/>
      <c r="AL1" s="429"/>
      <c r="AM1" s="429"/>
    </row>
    <row r="2" spans="1:45" s="81" customFormat="1" ht="110.25" customHeight="1" thickBot="1" x14ac:dyDescent="0.25">
      <c r="A2" s="3"/>
      <c r="B2" s="430" t="s">
        <v>115</v>
      </c>
      <c r="C2" s="430"/>
      <c r="D2" s="430"/>
      <c r="E2" s="430"/>
      <c r="F2" s="430"/>
      <c r="G2" s="430"/>
      <c r="H2" s="430"/>
      <c r="I2" s="80"/>
      <c r="J2" s="80"/>
      <c r="K2" s="80"/>
      <c r="L2" s="80"/>
      <c r="M2" s="80"/>
      <c r="N2" s="80"/>
      <c r="O2" s="80"/>
      <c r="P2" s="80"/>
      <c r="Q2" s="80"/>
      <c r="R2" s="80"/>
      <c r="S2" s="80"/>
      <c r="T2" s="80"/>
      <c r="U2" s="80"/>
      <c r="V2" s="80"/>
      <c r="W2" s="80"/>
      <c r="X2" s="80"/>
      <c r="Y2" s="80"/>
      <c r="Z2" s="80"/>
      <c r="AA2" s="80"/>
      <c r="AB2" s="80"/>
      <c r="AC2" s="80"/>
      <c r="AD2" s="80"/>
      <c r="AE2" s="80"/>
      <c r="AF2" s="80"/>
      <c r="AG2" s="80"/>
      <c r="AH2" s="80"/>
      <c r="AI2" s="80"/>
      <c r="AJ2" s="80"/>
      <c r="AK2" s="80"/>
      <c r="AL2" s="80"/>
      <c r="AM2" s="61" t="s">
        <v>0</v>
      </c>
      <c r="AN2" s="3"/>
      <c r="AO2" s="3"/>
      <c r="AP2" s="3"/>
      <c r="AQ2" s="3"/>
      <c r="AR2" s="3"/>
      <c r="AS2" s="3"/>
    </row>
    <row r="3" spans="1:45" ht="50.25" customHeight="1" x14ac:dyDescent="0.2">
      <c r="A3" s="415" t="s">
        <v>115</v>
      </c>
      <c r="B3" s="431"/>
      <c r="C3" s="432"/>
      <c r="D3" s="432"/>
      <c r="E3" s="432"/>
      <c r="F3" s="432"/>
      <c r="G3" s="432"/>
      <c r="H3" s="432"/>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2">
        <f t="shared" ref="AM3:AM8" si="0">SUM(I3:AL3)</f>
        <v>0</v>
      </c>
      <c r="AN3" s="79"/>
      <c r="AO3" s="79"/>
      <c r="AP3" s="79"/>
      <c r="AQ3" s="79"/>
      <c r="AR3" s="79"/>
      <c r="AS3" s="79"/>
    </row>
    <row r="4" spans="1:45" ht="50.25" customHeight="1" x14ac:dyDescent="0.2">
      <c r="A4" s="416"/>
      <c r="B4" s="431" t="s">
        <v>1</v>
      </c>
      <c r="C4" s="432"/>
      <c r="D4" s="432"/>
      <c r="E4" s="432"/>
      <c r="F4" s="432"/>
      <c r="G4" s="432"/>
      <c r="H4" s="432"/>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2">
        <f t="shared" si="0"/>
        <v>0</v>
      </c>
      <c r="AN4" s="79"/>
      <c r="AO4" s="79"/>
      <c r="AP4" s="79"/>
      <c r="AQ4" s="79"/>
      <c r="AR4" s="79"/>
      <c r="AS4" s="79"/>
    </row>
    <row r="5" spans="1:45" ht="50.25" customHeight="1" x14ac:dyDescent="0.2">
      <c r="A5" s="416"/>
      <c r="B5" s="433" t="s">
        <v>1</v>
      </c>
      <c r="C5" s="434"/>
      <c r="D5" s="434"/>
      <c r="E5" s="434"/>
      <c r="F5" s="434"/>
      <c r="G5" s="434"/>
      <c r="H5" s="434"/>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62">
        <f t="shared" si="0"/>
        <v>0</v>
      </c>
      <c r="AN5" s="79"/>
      <c r="AO5" s="79"/>
      <c r="AP5" s="79"/>
      <c r="AQ5" s="79"/>
      <c r="AR5" s="79"/>
      <c r="AS5" s="79"/>
    </row>
    <row r="6" spans="1:45" ht="50.25" customHeight="1" x14ac:dyDescent="0.2">
      <c r="A6" s="416"/>
      <c r="B6" s="433" t="s">
        <v>1</v>
      </c>
      <c r="C6" s="434"/>
      <c r="D6" s="434"/>
      <c r="E6" s="434"/>
      <c r="F6" s="434"/>
      <c r="G6" s="434"/>
      <c r="H6" s="434"/>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2">
        <f t="shared" si="0"/>
        <v>0</v>
      </c>
      <c r="AN6" s="79"/>
      <c r="AO6" s="79"/>
      <c r="AP6" s="79"/>
      <c r="AQ6" s="79"/>
      <c r="AR6" s="79"/>
      <c r="AS6" s="79"/>
    </row>
    <row r="7" spans="1:45" ht="50.25" customHeight="1" x14ac:dyDescent="0.2">
      <c r="A7" s="416"/>
      <c r="B7" s="433" t="s">
        <v>1</v>
      </c>
      <c r="C7" s="434"/>
      <c r="D7" s="434"/>
      <c r="E7" s="434"/>
      <c r="F7" s="434"/>
      <c r="G7" s="434"/>
      <c r="H7" s="434"/>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2">
        <f t="shared" si="0"/>
        <v>0</v>
      </c>
      <c r="AN7" s="79"/>
      <c r="AO7" s="79"/>
      <c r="AP7" s="79"/>
      <c r="AQ7" s="79"/>
      <c r="AR7" s="79"/>
      <c r="AS7" s="79"/>
    </row>
    <row r="8" spans="1:45" ht="50.25" customHeight="1" thickBot="1" x14ac:dyDescent="0.25">
      <c r="A8" s="417"/>
      <c r="B8" s="433" t="s">
        <v>1</v>
      </c>
      <c r="C8" s="434"/>
      <c r="D8" s="434"/>
      <c r="E8" s="434"/>
      <c r="F8" s="434"/>
      <c r="G8" s="434"/>
      <c r="H8" s="434"/>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2">
        <f t="shared" si="0"/>
        <v>0</v>
      </c>
      <c r="AN8" s="79"/>
      <c r="AO8" s="79"/>
      <c r="AP8" s="79"/>
      <c r="AQ8" s="79"/>
      <c r="AR8" s="79"/>
      <c r="AS8" s="79"/>
    </row>
    <row r="9" spans="1:45" ht="114.75" customHeight="1" thickBot="1" x14ac:dyDescent="0.25">
      <c r="B9" s="427" t="s">
        <v>12</v>
      </c>
      <c r="C9" s="427"/>
      <c r="D9" s="427"/>
      <c r="E9" s="427"/>
      <c r="F9" s="427"/>
      <c r="G9" s="427"/>
      <c r="H9" s="427"/>
      <c r="I9" s="414" t="s">
        <v>1</v>
      </c>
      <c r="J9" s="414"/>
      <c r="K9" s="414"/>
      <c r="L9" s="414"/>
      <c r="M9" s="414"/>
      <c r="N9" s="414"/>
      <c r="O9" s="414"/>
      <c r="P9" s="414"/>
      <c r="Q9" s="414"/>
      <c r="R9" s="414"/>
      <c r="S9" s="414"/>
      <c r="T9" s="414"/>
      <c r="U9" s="414"/>
      <c r="V9" s="414"/>
      <c r="W9" s="414"/>
      <c r="X9" s="414"/>
      <c r="Y9" s="414"/>
      <c r="Z9" s="414"/>
      <c r="AA9" s="414"/>
      <c r="AB9" s="414"/>
      <c r="AC9" s="414"/>
      <c r="AD9" s="414"/>
      <c r="AE9" s="414"/>
      <c r="AF9" s="414"/>
      <c r="AG9" s="414"/>
      <c r="AH9" s="414"/>
      <c r="AI9" s="414"/>
      <c r="AJ9" s="414"/>
      <c r="AK9" s="414"/>
      <c r="AL9" s="414"/>
      <c r="AM9" s="414"/>
      <c r="AN9" s="79"/>
      <c r="AO9" s="79"/>
      <c r="AP9" s="79"/>
      <c r="AQ9" s="79"/>
      <c r="AR9" s="79"/>
      <c r="AS9" s="79"/>
    </row>
    <row r="10" spans="1:45" s="85" customFormat="1" ht="49.5" customHeight="1" thickBot="1" x14ac:dyDescent="0.25">
      <c r="A10" s="415" t="s">
        <v>116</v>
      </c>
      <c r="B10" s="418" t="s">
        <v>5</v>
      </c>
      <c r="C10" s="419"/>
      <c r="D10" s="419"/>
      <c r="E10" s="419"/>
      <c r="F10" s="419"/>
      <c r="G10" s="419"/>
      <c r="H10" s="420"/>
      <c r="I10" s="82">
        <f>I11+I12</f>
        <v>0</v>
      </c>
      <c r="J10" s="83">
        <f t="shared" ref="J10:AL10" si="1">J11+J12</f>
        <v>0</v>
      </c>
      <c r="K10" s="83">
        <f t="shared" si="1"/>
        <v>0</v>
      </c>
      <c r="L10" s="83">
        <f t="shared" si="1"/>
        <v>0</v>
      </c>
      <c r="M10" s="83">
        <f t="shared" si="1"/>
        <v>0</v>
      </c>
      <c r="N10" s="83">
        <f t="shared" si="1"/>
        <v>0</v>
      </c>
      <c r="O10" s="83">
        <f t="shared" si="1"/>
        <v>0</v>
      </c>
      <c r="P10" s="83">
        <f t="shared" si="1"/>
        <v>0</v>
      </c>
      <c r="Q10" s="83">
        <f t="shared" si="1"/>
        <v>0</v>
      </c>
      <c r="R10" s="83">
        <f t="shared" si="1"/>
        <v>0</v>
      </c>
      <c r="S10" s="83">
        <f t="shared" si="1"/>
        <v>0</v>
      </c>
      <c r="T10" s="83">
        <f t="shared" si="1"/>
        <v>0</v>
      </c>
      <c r="U10" s="83">
        <f t="shared" si="1"/>
        <v>0</v>
      </c>
      <c r="V10" s="83">
        <f t="shared" si="1"/>
        <v>0</v>
      </c>
      <c r="W10" s="83">
        <f t="shared" si="1"/>
        <v>0</v>
      </c>
      <c r="X10" s="83">
        <f t="shared" si="1"/>
        <v>0</v>
      </c>
      <c r="Y10" s="83">
        <f t="shared" si="1"/>
        <v>0</v>
      </c>
      <c r="Z10" s="83">
        <f t="shared" si="1"/>
        <v>0</v>
      </c>
      <c r="AA10" s="83">
        <f t="shared" si="1"/>
        <v>0</v>
      </c>
      <c r="AB10" s="83">
        <f t="shared" si="1"/>
        <v>0</v>
      </c>
      <c r="AC10" s="83">
        <f t="shared" si="1"/>
        <v>0</v>
      </c>
      <c r="AD10" s="83">
        <f t="shared" si="1"/>
        <v>0</v>
      </c>
      <c r="AE10" s="83">
        <f t="shared" si="1"/>
        <v>0</v>
      </c>
      <c r="AF10" s="83">
        <f t="shared" si="1"/>
        <v>0</v>
      </c>
      <c r="AG10" s="83">
        <f t="shared" si="1"/>
        <v>0</v>
      </c>
      <c r="AH10" s="83">
        <f t="shared" si="1"/>
        <v>0</v>
      </c>
      <c r="AI10" s="83">
        <f t="shared" si="1"/>
        <v>0</v>
      </c>
      <c r="AJ10" s="83">
        <f t="shared" si="1"/>
        <v>0</v>
      </c>
      <c r="AK10" s="83">
        <f t="shared" si="1"/>
        <v>0</v>
      </c>
      <c r="AL10" s="83">
        <f t="shared" si="1"/>
        <v>0</v>
      </c>
      <c r="AM10" s="84">
        <f>SUM(I10:AL10)</f>
        <v>0</v>
      </c>
      <c r="AN10" s="2"/>
      <c r="AO10" s="2"/>
      <c r="AP10" s="2"/>
      <c r="AQ10" s="2"/>
      <c r="AR10" s="2"/>
      <c r="AS10" s="2"/>
    </row>
    <row r="11" spans="1:45" s="85" customFormat="1" ht="49.5" customHeight="1" x14ac:dyDescent="0.2">
      <c r="A11" s="416"/>
      <c r="B11" s="421" t="s">
        <v>6</v>
      </c>
      <c r="C11" s="422"/>
      <c r="D11" s="422"/>
      <c r="E11" s="422"/>
      <c r="F11" s="422"/>
      <c r="G11" s="422"/>
      <c r="H11" s="422"/>
      <c r="I11" s="86"/>
      <c r="J11" s="86"/>
      <c r="K11" s="86"/>
      <c r="L11" s="86"/>
      <c r="M11" s="86"/>
      <c r="N11" s="86"/>
      <c r="O11" s="86"/>
      <c r="P11" s="86"/>
      <c r="Q11" s="86"/>
      <c r="R11" s="86"/>
      <c r="S11" s="86"/>
      <c r="T11" s="86"/>
      <c r="U11" s="86"/>
      <c r="V11" s="86"/>
      <c r="W11" s="86"/>
      <c r="X11" s="86"/>
      <c r="Y11" s="86"/>
      <c r="Z11" s="86"/>
      <c r="AA11" s="86"/>
      <c r="AB11" s="86"/>
      <c r="AC11" s="86"/>
      <c r="AD11" s="86"/>
      <c r="AE11" s="86"/>
      <c r="AF11" s="86"/>
      <c r="AG11" s="86"/>
      <c r="AH11" s="86"/>
      <c r="AI11" s="86"/>
      <c r="AJ11" s="86"/>
      <c r="AK11" s="86"/>
      <c r="AL11" s="86"/>
      <c r="AM11" s="87">
        <f>SUM(I11:AL11)</f>
        <v>0</v>
      </c>
      <c r="AN11" s="2"/>
      <c r="AO11" s="2"/>
      <c r="AP11" s="2"/>
      <c r="AQ11" s="2"/>
      <c r="AR11" s="2"/>
      <c r="AS11" s="2"/>
    </row>
    <row r="12" spans="1:45" s="85" customFormat="1" ht="49.5" customHeight="1" x14ac:dyDescent="0.2">
      <c r="A12" s="416"/>
      <c r="B12" s="423" t="s">
        <v>7</v>
      </c>
      <c r="C12" s="424"/>
      <c r="D12" s="424"/>
      <c r="E12" s="424"/>
      <c r="F12" s="424"/>
      <c r="G12" s="424"/>
      <c r="H12" s="424"/>
      <c r="I12" s="63">
        <f>SUM(I3:I8)</f>
        <v>0</v>
      </c>
      <c r="J12" s="63">
        <f t="shared" ref="J12:AL12" si="2">SUM(J3:J8)</f>
        <v>0</v>
      </c>
      <c r="K12" s="63">
        <f>SUM(K3:K8)</f>
        <v>0</v>
      </c>
      <c r="L12" s="63">
        <f t="shared" si="2"/>
        <v>0</v>
      </c>
      <c r="M12" s="63">
        <f t="shared" si="2"/>
        <v>0</v>
      </c>
      <c r="N12" s="63">
        <f t="shared" si="2"/>
        <v>0</v>
      </c>
      <c r="O12" s="63">
        <f t="shared" si="2"/>
        <v>0</v>
      </c>
      <c r="P12" s="63">
        <f t="shared" si="2"/>
        <v>0</v>
      </c>
      <c r="Q12" s="63">
        <f t="shared" si="2"/>
        <v>0</v>
      </c>
      <c r="R12" s="63">
        <f>SUM(R3:R8)</f>
        <v>0</v>
      </c>
      <c r="S12" s="63">
        <f t="shared" si="2"/>
        <v>0</v>
      </c>
      <c r="T12" s="63">
        <f t="shared" si="2"/>
        <v>0</v>
      </c>
      <c r="U12" s="63">
        <f t="shared" si="2"/>
        <v>0</v>
      </c>
      <c r="V12" s="63">
        <f t="shared" si="2"/>
        <v>0</v>
      </c>
      <c r="W12" s="63">
        <f t="shared" si="2"/>
        <v>0</v>
      </c>
      <c r="X12" s="63">
        <f t="shared" si="2"/>
        <v>0</v>
      </c>
      <c r="Y12" s="63">
        <f t="shared" si="2"/>
        <v>0</v>
      </c>
      <c r="Z12" s="63">
        <f t="shared" si="2"/>
        <v>0</v>
      </c>
      <c r="AA12" s="63">
        <f t="shared" si="2"/>
        <v>0</v>
      </c>
      <c r="AB12" s="63">
        <f t="shared" si="2"/>
        <v>0</v>
      </c>
      <c r="AC12" s="63">
        <f t="shared" si="2"/>
        <v>0</v>
      </c>
      <c r="AD12" s="63">
        <f t="shared" si="2"/>
        <v>0</v>
      </c>
      <c r="AE12" s="63">
        <f t="shared" si="2"/>
        <v>0</v>
      </c>
      <c r="AF12" s="63">
        <f t="shared" si="2"/>
        <v>0</v>
      </c>
      <c r="AG12" s="63">
        <f t="shared" si="2"/>
        <v>0</v>
      </c>
      <c r="AH12" s="63">
        <f t="shared" si="2"/>
        <v>0</v>
      </c>
      <c r="AI12" s="63">
        <f t="shared" si="2"/>
        <v>0</v>
      </c>
      <c r="AJ12" s="63">
        <f t="shared" si="2"/>
        <v>0</v>
      </c>
      <c r="AK12" s="63">
        <f t="shared" si="2"/>
        <v>0</v>
      </c>
      <c r="AL12" s="63">
        <f t="shared" si="2"/>
        <v>0</v>
      </c>
      <c r="AM12" s="88">
        <f>SUM(I12:AL12)</f>
        <v>0</v>
      </c>
      <c r="AN12" s="2"/>
      <c r="AO12" s="2"/>
      <c r="AP12" s="2"/>
      <c r="AQ12" s="2"/>
      <c r="AR12" s="2"/>
      <c r="AS12" s="2"/>
    </row>
    <row r="13" spans="1:45" s="85" customFormat="1" ht="49.5" customHeight="1" thickBot="1" x14ac:dyDescent="0.25">
      <c r="A13" s="417"/>
      <c r="B13" s="425" t="s">
        <v>9</v>
      </c>
      <c r="C13" s="426"/>
      <c r="D13" s="426"/>
      <c r="E13" s="426"/>
      <c r="F13" s="426"/>
      <c r="G13" s="426"/>
      <c r="H13" s="426"/>
      <c r="I13" s="89" t="e">
        <f>(I12-I15)*100/I10</f>
        <v>#DIV/0!</v>
      </c>
      <c r="J13" s="89" t="e">
        <f t="shared" ref="J13:AL13" si="3">(J12-J15)*100/J10</f>
        <v>#DIV/0!</v>
      </c>
      <c r="K13" s="89" t="e">
        <f t="shared" si="3"/>
        <v>#DIV/0!</v>
      </c>
      <c r="L13" s="89" t="e">
        <f t="shared" si="3"/>
        <v>#DIV/0!</v>
      </c>
      <c r="M13" s="89" t="e">
        <f t="shared" si="3"/>
        <v>#DIV/0!</v>
      </c>
      <c r="N13" s="89" t="e">
        <f t="shared" si="3"/>
        <v>#DIV/0!</v>
      </c>
      <c r="O13" s="89" t="e">
        <f t="shared" si="3"/>
        <v>#DIV/0!</v>
      </c>
      <c r="P13" s="89" t="e">
        <f t="shared" si="3"/>
        <v>#DIV/0!</v>
      </c>
      <c r="Q13" s="89" t="e">
        <f t="shared" si="3"/>
        <v>#DIV/0!</v>
      </c>
      <c r="R13" s="89" t="e">
        <f t="shared" si="3"/>
        <v>#DIV/0!</v>
      </c>
      <c r="S13" s="89" t="e">
        <f t="shared" si="3"/>
        <v>#DIV/0!</v>
      </c>
      <c r="T13" s="89" t="e">
        <f t="shared" si="3"/>
        <v>#DIV/0!</v>
      </c>
      <c r="U13" s="89" t="e">
        <f t="shared" si="3"/>
        <v>#DIV/0!</v>
      </c>
      <c r="V13" s="89" t="e">
        <f t="shared" si="3"/>
        <v>#DIV/0!</v>
      </c>
      <c r="W13" s="89" t="e">
        <f t="shared" si="3"/>
        <v>#DIV/0!</v>
      </c>
      <c r="X13" s="89" t="e">
        <f t="shared" si="3"/>
        <v>#DIV/0!</v>
      </c>
      <c r="Y13" s="89" t="e">
        <f t="shared" si="3"/>
        <v>#DIV/0!</v>
      </c>
      <c r="Z13" s="89" t="e">
        <f t="shared" si="3"/>
        <v>#DIV/0!</v>
      </c>
      <c r="AA13" s="89" t="e">
        <f t="shared" si="3"/>
        <v>#DIV/0!</v>
      </c>
      <c r="AB13" s="89" t="e">
        <f t="shared" si="3"/>
        <v>#DIV/0!</v>
      </c>
      <c r="AC13" s="89" t="e">
        <f t="shared" si="3"/>
        <v>#DIV/0!</v>
      </c>
      <c r="AD13" s="89" t="e">
        <f t="shared" si="3"/>
        <v>#DIV/0!</v>
      </c>
      <c r="AE13" s="89" t="e">
        <f t="shared" si="3"/>
        <v>#DIV/0!</v>
      </c>
      <c r="AF13" s="89" t="e">
        <f t="shared" si="3"/>
        <v>#DIV/0!</v>
      </c>
      <c r="AG13" s="89" t="e">
        <f t="shared" si="3"/>
        <v>#DIV/0!</v>
      </c>
      <c r="AH13" s="89" t="e">
        <f t="shared" si="3"/>
        <v>#DIV/0!</v>
      </c>
      <c r="AI13" s="89" t="e">
        <f t="shared" si="3"/>
        <v>#DIV/0!</v>
      </c>
      <c r="AJ13" s="89" t="e">
        <f t="shared" si="3"/>
        <v>#DIV/0!</v>
      </c>
      <c r="AK13" s="89" t="e">
        <f t="shared" si="3"/>
        <v>#DIV/0!</v>
      </c>
      <c r="AL13" s="89" t="e">
        <f t="shared" si="3"/>
        <v>#DIV/0!</v>
      </c>
      <c r="AM13" s="90" t="e">
        <f>(AM12-AM15)*100/AM10</f>
        <v>#DIV/0!</v>
      </c>
      <c r="AN13" s="2"/>
      <c r="AO13" s="2"/>
      <c r="AP13" s="2"/>
      <c r="AQ13" s="2"/>
      <c r="AR13" s="2"/>
      <c r="AS13" s="2"/>
    </row>
    <row r="14" spans="1:45" s="95" customFormat="1" ht="30.75" customHeight="1" thickBot="1" x14ac:dyDescent="0.25">
      <c r="A14" s="91"/>
      <c r="B14" s="92"/>
      <c r="C14" s="92"/>
      <c r="D14" s="92"/>
      <c r="E14" s="92"/>
      <c r="F14" s="92"/>
      <c r="G14" s="92"/>
      <c r="H14" s="92"/>
      <c r="I14" s="93"/>
      <c r="J14" s="93"/>
      <c r="K14" s="93"/>
      <c r="L14" s="93"/>
      <c r="M14" s="93"/>
      <c r="N14" s="93"/>
      <c r="O14" s="93"/>
      <c r="P14" s="93"/>
      <c r="Q14" s="93"/>
      <c r="R14" s="93"/>
      <c r="S14" s="93"/>
      <c r="T14" s="93"/>
      <c r="U14" s="93"/>
      <c r="V14" s="93"/>
      <c r="W14" s="93"/>
      <c r="X14" s="93"/>
      <c r="Y14" s="93"/>
      <c r="Z14" s="93"/>
      <c r="AA14" s="93"/>
      <c r="AB14" s="93"/>
      <c r="AC14" s="93"/>
      <c r="AD14" s="93"/>
      <c r="AE14" s="93"/>
      <c r="AF14" s="93"/>
      <c r="AG14" s="93"/>
      <c r="AH14" s="93"/>
      <c r="AI14" s="93"/>
      <c r="AJ14" s="93"/>
      <c r="AK14" s="93"/>
      <c r="AL14" s="93"/>
      <c r="AM14" s="93"/>
      <c r="AN14" s="94"/>
      <c r="AO14" s="94"/>
      <c r="AP14" s="94"/>
      <c r="AQ14" s="94"/>
      <c r="AR14" s="94"/>
      <c r="AS14" s="94"/>
    </row>
    <row r="15" spans="1:45" s="85" customFormat="1" ht="78" customHeight="1" x14ac:dyDescent="0.2">
      <c r="A15" s="409" t="s">
        <v>117</v>
      </c>
      <c r="B15" s="411" t="s">
        <v>8</v>
      </c>
      <c r="C15" s="412"/>
      <c r="D15" s="412"/>
      <c r="E15" s="412"/>
      <c r="F15" s="412"/>
      <c r="G15" s="412"/>
      <c r="H15" s="413"/>
      <c r="I15" s="96"/>
      <c r="J15" s="97"/>
      <c r="K15" s="97"/>
      <c r="L15" s="97"/>
      <c r="M15" s="97"/>
      <c r="N15" s="97"/>
      <c r="O15" s="97"/>
      <c r="P15" s="97"/>
      <c r="Q15" s="97"/>
      <c r="R15" s="97"/>
      <c r="S15" s="97"/>
      <c r="T15" s="97"/>
      <c r="U15" s="97"/>
      <c r="V15" s="97"/>
      <c r="W15" s="97"/>
      <c r="X15" s="97"/>
      <c r="Y15" s="97"/>
      <c r="Z15" s="97"/>
      <c r="AA15" s="97"/>
      <c r="AB15" s="97"/>
      <c r="AC15" s="97"/>
      <c r="AD15" s="97"/>
      <c r="AE15" s="97"/>
      <c r="AF15" s="97"/>
      <c r="AG15" s="97"/>
      <c r="AH15" s="97"/>
      <c r="AI15" s="97"/>
      <c r="AJ15" s="97"/>
      <c r="AK15" s="97"/>
      <c r="AL15" s="97"/>
      <c r="AM15" s="98">
        <f>SUM(I15:AL15)</f>
        <v>0</v>
      </c>
      <c r="AN15" s="2"/>
      <c r="AO15" s="2"/>
      <c r="AP15" s="2"/>
      <c r="AQ15" s="2"/>
      <c r="AR15" s="2"/>
      <c r="AS15" s="2"/>
    </row>
    <row r="16" spans="1:45" s="85" customFormat="1" ht="78" customHeight="1" thickBot="1" x14ac:dyDescent="0.25">
      <c r="A16" s="410"/>
      <c r="B16" s="441" t="s">
        <v>10</v>
      </c>
      <c r="C16" s="442"/>
      <c r="D16" s="442"/>
      <c r="E16" s="442"/>
      <c r="F16" s="442"/>
      <c r="G16" s="442"/>
      <c r="H16" s="443"/>
      <c r="I16" s="99" t="e">
        <f>I15*100/I10</f>
        <v>#DIV/0!</v>
      </c>
      <c r="J16" s="100" t="e">
        <f>J15*100/J10</f>
        <v>#DIV/0!</v>
      </c>
      <c r="K16" s="100" t="e">
        <f>K15*100/K10</f>
        <v>#DIV/0!</v>
      </c>
      <c r="L16" s="100" t="e">
        <f t="shared" ref="L16:AL16" si="4">L15*100/L10</f>
        <v>#DIV/0!</v>
      </c>
      <c r="M16" s="100" t="e">
        <f t="shared" si="4"/>
        <v>#DIV/0!</v>
      </c>
      <c r="N16" s="100" t="e">
        <f t="shared" si="4"/>
        <v>#DIV/0!</v>
      </c>
      <c r="O16" s="100" t="e">
        <f t="shared" si="4"/>
        <v>#DIV/0!</v>
      </c>
      <c r="P16" s="100" t="e">
        <f t="shared" si="4"/>
        <v>#DIV/0!</v>
      </c>
      <c r="Q16" s="100" t="e">
        <f t="shared" si="4"/>
        <v>#DIV/0!</v>
      </c>
      <c r="R16" s="100" t="e">
        <f>R15*100/R10</f>
        <v>#DIV/0!</v>
      </c>
      <c r="S16" s="100" t="e">
        <f t="shared" si="4"/>
        <v>#DIV/0!</v>
      </c>
      <c r="T16" s="100" t="e">
        <f t="shared" si="4"/>
        <v>#DIV/0!</v>
      </c>
      <c r="U16" s="100" t="e">
        <f t="shared" si="4"/>
        <v>#DIV/0!</v>
      </c>
      <c r="V16" s="100" t="e">
        <f t="shared" si="4"/>
        <v>#DIV/0!</v>
      </c>
      <c r="W16" s="100" t="e">
        <f t="shared" si="4"/>
        <v>#DIV/0!</v>
      </c>
      <c r="X16" s="100" t="e">
        <f t="shared" si="4"/>
        <v>#DIV/0!</v>
      </c>
      <c r="Y16" s="100" t="e">
        <f t="shared" si="4"/>
        <v>#DIV/0!</v>
      </c>
      <c r="Z16" s="100" t="e">
        <f t="shared" si="4"/>
        <v>#DIV/0!</v>
      </c>
      <c r="AA16" s="100" t="e">
        <f t="shared" si="4"/>
        <v>#DIV/0!</v>
      </c>
      <c r="AB16" s="100" t="e">
        <f t="shared" si="4"/>
        <v>#DIV/0!</v>
      </c>
      <c r="AC16" s="100" t="e">
        <f t="shared" si="4"/>
        <v>#DIV/0!</v>
      </c>
      <c r="AD16" s="100" t="e">
        <f t="shared" si="4"/>
        <v>#DIV/0!</v>
      </c>
      <c r="AE16" s="100" t="e">
        <f t="shared" si="4"/>
        <v>#DIV/0!</v>
      </c>
      <c r="AF16" s="100" t="e">
        <f t="shared" si="4"/>
        <v>#DIV/0!</v>
      </c>
      <c r="AG16" s="100" t="e">
        <f t="shared" si="4"/>
        <v>#DIV/0!</v>
      </c>
      <c r="AH16" s="100" t="e">
        <f t="shared" si="4"/>
        <v>#DIV/0!</v>
      </c>
      <c r="AI16" s="100" t="e">
        <f t="shared" si="4"/>
        <v>#DIV/0!</v>
      </c>
      <c r="AJ16" s="100" t="e">
        <f t="shared" si="4"/>
        <v>#DIV/0!</v>
      </c>
      <c r="AK16" s="100" t="e">
        <f t="shared" si="4"/>
        <v>#DIV/0!</v>
      </c>
      <c r="AL16" s="100" t="e">
        <f t="shared" si="4"/>
        <v>#DIV/0!</v>
      </c>
      <c r="AM16" s="101" t="e">
        <f>AM15*100/AM10</f>
        <v>#DIV/0!</v>
      </c>
      <c r="AN16" s="2"/>
      <c r="AO16" s="2"/>
      <c r="AP16" s="2"/>
      <c r="AQ16" s="2"/>
      <c r="AR16" s="2"/>
      <c r="AS16" s="2"/>
    </row>
    <row r="17" spans="1:45" s="85" customFormat="1" ht="30.75" customHeight="1" thickBot="1" x14ac:dyDescent="0.25">
      <c r="A17" s="102"/>
      <c r="B17" s="103"/>
      <c r="C17" s="103"/>
      <c r="D17" s="103"/>
      <c r="E17" s="103"/>
      <c r="F17" s="103"/>
      <c r="G17" s="103"/>
      <c r="H17" s="103"/>
      <c r="I17" s="104"/>
      <c r="J17" s="105"/>
      <c r="K17" s="105"/>
      <c r="L17" s="104"/>
      <c r="M17" s="105"/>
      <c r="N17" s="105"/>
      <c r="O17" s="104"/>
      <c r="P17" s="105"/>
      <c r="Q17" s="104"/>
      <c r="R17" s="104"/>
      <c r="S17" s="105"/>
      <c r="T17" s="105"/>
      <c r="U17" s="104"/>
      <c r="V17" s="105"/>
      <c r="W17" s="104"/>
      <c r="X17" s="104"/>
      <c r="Y17" s="104"/>
      <c r="Z17" s="104"/>
      <c r="AA17" s="105"/>
      <c r="AB17" s="105"/>
      <c r="AC17" s="104"/>
      <c r="AD17" s="104"/>
      <c r="AE17" s="104"/>
      <c r="AF17" s="104"/>
      <c r="AG17" s="104"/>
      <c r="AH17" s="105"/>
      <c r="AI17" s="105"/>
      <c r="AJ17" s="105"/>
      <c r="AK17" s="105"/>
      <c r="AL17" s="105"/>
      <c r="AM17" s="104"/>
      <c r="AN17" s="2"/>
      <c r="AO17" s="2"/>
      <c r="AP17" s="2"/>
      <c r="AQ17" s="2"/>
      <c r="AR17" s="2"/>
      <c r="AS17" s="2"/>
    </row>
    <row r="18" spans="1:45" s="85" customFormat="1" ht="72" customHeight="1" x14ac:dyDescent="0.2">
      <c r="A18" s="409" t="s">
        <v>118</v>
      </c>
      <c r="B18" s="435" t="s">
        <v>11</v>
      </c>
      <c r="C18" s="436"/>
      <c r="D18" s="436"/>
      <c r="E18" s="436"/>
      <c r="F18" s="436"/>
      <c r="G18" s="436"/>
      <c r="H18" s="437"/>
      <c r="I18" s="106">
        <f>I12-I15</f>
        <v>0</v>
      </c>
      <c r="J18" s="107">
        <f>J12-J15</f>
        <v>0</v>
      </c>
      <c r="K18" s="107">
        <f t="shared" ref="K18:AL18" si="5">K12-K15</f>
        <v>0</v>
      </c>
      <c r="L18" s="107">
        <f t="shared" si="5"/>
        <v>0</v>
      </c>
      <c r="M18" s="107">
        <f t="shared" si="5"/>
        <v>0</v>
      </c>
      <c r="N18" s="107">
        <f t="shared" si="5"/>
        <v>0</v>
      </c>
      <c r="O18" s="107">
        <f t="shared" si="5"/>
        <v>0</v>
      </c>
      <c r="P18" s="107">
        <f t="shared" si="5"/>
        <v>0</v>
      </c>
      <c r="Q18" s="107">
        <f>Q12-Q15</f>
        <v>0</v>
      </c>
      <c r="R18" s="107">
        <f t="shared" si="5"/>
        <v>0</v>
      </c>
      <c r="S18" s="107">
        <f t="shared" si="5"/>
        <v>0</v>
      </c>
      <c r="T18" s="107">
        <f t="shared" si="5"/>
        <v>0</v>
      </c>
      <c r="U18" s="107">
        <f t="shared" si="5"/>
        <v>0</v>
      </c>
      <c r="V18" s="107">
        <f t="shared" si="5"/>
        <v>0</v>
      </c>
      <c r="W18" s="107">
        <f t="shared" si="5"/>
        <v>0</v>
      </c>
      <c r="X18" s="107">
        <f t="shared" si="5"/>
        <v>0</v>
      </c>
      <c r="Y18" s="107">
        <f t="shared" si="5"/>
        <v>0</v>
      </c>
      <c r="Z18" s="107">
        <f t="shared" si="5"/>
        <v>0</v>
      </c>
      <c r="AA18" s="107">
        <f t="shared" si="5"/>
        <v>0</v>
      </c>
      <c r="AB18" s="107">
        <f t="shared" si="5"/>
        <v>0</v>
      </c>
      <c r="AC18" s="107">
        <f t="shared" si="5"/>
        <v>0</v>
      </c>
      <c r="AD18" s="107">
        <f t="shared" si="5"/>
        <v>0</v>
      </c>
      <c r="AE18" s="107">
        <f t="shared" si="5"/>
        <v>0</v>
      </c>
      <c r="AF18" s="107">
        <f t="shared" si="5"/>
        <v>0</v>
      </c>
      <c r="AG18" s="107">
        <f t="shared" si="5"/>
        <v>0</v>
      </c>
      <c r="AH18" s="107">
        <f>AH12-AH15</f>
        <v>0</v>
      </c>
      <c r="AI18" s="107">
        <f t="shared" si="5"/>
        <v>0</v>
      </c>
      <c r="AJ18" s="107">
        <f t="shared" si="5"/>
        <v>0</v>
      </c>
      <c r="AK18" s="107">
        <f t="shared" si="5"/>
        <v>0</v>
      </c>
      <c r="AL18" s="107">
        <f t="shared" si="5"/>
        <v>0</v>
      </c>
      <c r="AM18" s="108">
        <f>AM12-AM15</f>
        <v>0</v>
      </c>
      <c r="AN18" s="2"/>
      <c r="AO18" s="2"/>
      <c r="AP18" s="2"/>
      <c r="AQ18" s="2"/>
      <c r="AR18" s="2"/>
      <c r="AS18" s="2"/>
    </row>
    <row r="19" spans="1:45" s="85" customFormat="1" ht="72" customHeight="1" thickBot="1" x14ac:dyDescent="0.25">
      <c r="A19" s="410"/>
      <c r="B19" s="438" t="s">
        <v>94</v>
      </c>
      <c r="C19" s="439"/>
      <c r="D19" s="439"/>
      <c r="E19" s="439"/>
      <c r="F19" s="439"/>
      <c r="G19" s="439"/>
      <c r="H19" s="440"/>
      <c r="I19" s="109">
        <f t="shared" ref="I19:AK19" si="6">SUM(I11+I15)</f>
        <v>0</v>
      </c>
      <c r="J19" s="110">
        <f t="shared" si="6"/>
        <v>0</v>
      </c>
      <c r="K19" s="110">
        <f t="shared" si="6"/>
        <v>0</v>
      </c>
      <c r="L19" s="110">
        <f t="shared" si="6"/>
        <v>0</v>
      </c>
      <c r="M19" s="110">
        <f t="shared" si="6"/>
        <v>0</v>
      </c>
      <c r="N19" s="110">
        <f t="shared" si="6"/>
        <v>0</v>
      </c>
      <c r="O19" s="110">
        <f t="shared" si="6"/>
        <v>0</v>
      </c>
      <c r="P19" s="110">
        <f t="shared" si="6"/>
        <v>0</v>
      </c>
      <c r="Q19" s="110">
        <f>SUM(Q11+Q15)</f>
        <v>0</v>
      </c>
      <c r="R19" s="110">
        <f t="shared" si="6"/>
        <v>0</v>
      </c>
      <c r="S19" s="110">
        <f t="shared" si="6"/>
        <v>0</v>
      </c>
      <c r="T19" s="110">
        <f t="shared" si="6"/>
        <v>0</v>
      </c>
      <c r="U19" s="110">
        <f t="shared" si="6"/>
        <v>0</v>
      </c>
      <c r="V19" s="110">
        <f t="shared" si="6"/>
        <v>0</v>
      </c>
      <c r="W19" s="110">
        <f t="shared" si="6"/>
        <v>0</v>
      </c>
      <c r="X19" s="110">
        <f t="shared" si="6"/>
        <v>0</v>
      </c>
      <c r="Y19" s="110">
        <f t="shared" si="6"/>
        <v>0</v>
      </c>
      <c r="Z19" s="110">
        <f t="shared" si="6"/>
        <v>0</v>
      </c>
      <c r="AA19" s="110">
        <f t="shared" si="6"/>
        <v>0</v>
      </c>
      <c r="AB19" s="110">
        <f t="shared" si="6"/>
        <v>0</v>
      </c>
      <c r="AC19" s="110">
        <f t="shared" si="6"/>
        <v>0</v>
      </c>
      <c r="AD19" s="110">
        <f t="shared" si="6"/>
        <v>0</v>
      </c>
      <c r="AE19" s="110">
        <f t="shared" si="6"/>
        <v>0</v>
      </c>
      <c r="AF19" s="110">
        <f t="shared" si="6"/>
        <v>0</v>
      </c>
      <c r="AG19" s="110">
        <f t="shared" si="6"/>
        <v>0</v>
      </c>
      <c r="AH19" s="110">
        <f t="shared" si="6"/>
        <v>0</v>
      </c>
      <c r="AI19" s="110">
        <f t="shared" si="6"/>
        <v>0</v>
      </c>
      <c r="AJ19" s="110">
        <f t="shared" si="6"/>
        <v>0</v>
      </c>
      <c r="AK19" s="110">
        <f t="shared" si="6"/>
        <v>0</v>
      </c>
      <c r="AL19" s="110">
        <f>SUM(AL11+AL15)</f>
        <v>0</v>
      </c>
      <c r="AM19" s="111">
        <f>SUM(I19:AL19)</f>
        <v>0</v>
      </c>
      <c r="AN19" s="2"/>
      <c r="AO19" s="2"/>
      <c r="AP19" s="2"/>
      <c r="AQ19" s="2"/>
      <c r="AR19" s="2"/>
      <c r="AS19" s="2"/>
    </row>
    <row r="20" spans="1:45" ht="12.75" customHeight="1" x14ac:dyDescent="0.2">
      <c r="B20" s="79"/>
      <c r="C20" s="79"/>
      <c r="D20" s="1"/>
      <c r="E20" s="1"/>
      <c r="F20" s="1"/>
      <c r="G20" s="1"/>
      <c r="H20" s="1"/>
      <c r="I20" s="1"/>
      <c r="J20" s="1"/>
      <c r="K20" s="1"/>
      <c r="L20" s="1"/>
      <c r="M20" s="1"/>
      <c r="N20" s="1"/>
      <c r="O20" s="1"/>
      <c r="P20" s="1"/>
      <c r="Q20" s="1"/>
      <c r="R20" s="1"/>
      <c r="S20" s="1"/>
      <c r="T20" s="1"/>
      <c r="U20" s="1"/>
      <c r="V20" s="1"/>
      <c r="W20" s="1"/>
      <c r="X20" s="1"/>
      <c r="Y20" s="1"/>
      <c r="Z20" s="1"/>
      <c r="AA20" s="1"/>
      <c r="AB20" s="79"/>
      <c r="AC20" s="79"/>
      <c r="AD20" s="79"/>
      <c r="AE20" s="79"/>
      <c r="AF20" s="79"/>
      <c r="AG20" s="79"/>
      <c r="AH20" s="79"/>
      <c r="AI20" s="79"/>
      <c r="AJ20" s="79"/>
      <c r="AK20" s="79"/>
      <c r="AL20" s="79"/>
      <c r="AM20" s="79"/>
      <c r="AN20" s="79"/>
      <c r="AO20" s="79"/>
      <c r="AP20" s="79"/>
      <c r="AQ20" s="79"/>
      <c r="AR20" s="79"/>
      <c r="AS20" s="79"/>
    </row>
    <row r="21" spans="1:45" x14ac:dyDescent="0.2">
      <c r="B21" s="79"/>
      <c r="C21" s="79"/>
      <c r="D21" s="79"/>
      <c r="E21" s="79"/>
      <c r="F21" s="79"/>
      <c r="G21" s="79"/>
      <c r="H21" s="79"/>
      <c r="I21" s="79"/>
      <c r="J21" s="79"/>
      <c r="K21" s="79"/>
      <c r="L21" s="79"/>
      <c r="M21" s="79"/>
      <c r="N21" s="79"/>
      <c r="O21" s="79"/>
      <c r="P21" s="79"/>
      <c r="Q21" s="79"/>
      <c r="R21" s="79"/>
      <c r="S21" s="79"/>
      <c r="T21" s="79"/>
      <c r="U21" s="79"/>
      <c r="V21" s="79"/>
      <c r="W21" s="79"/>
      <c r="X21" s="79"/>
      <c r="Y21" s="79"/>
      <c r="Z21" s="79"/>
      <c r="AA21" s="79"/>
      <c r="AB21" s="79"/>
      <c r="AC21" s="79"/>
      <c r="AD21" s="79"/>
      <c r="AE21" s="79"/>
      <c r="AF21" s="79"/>
      <c r="AG21" s="79"/>
      <c r="AH21" s="79"/>
      <c r="AI21" s="79"/>
      <c r="AJ21" s="79"/>
      <c r="AK21" s="79"/>
      <c r="AL21" s="79"/>
      <c r="AM21" s="79"/>
      <c r="AN21" s="79"/>
      <c r="AO21" s="79"/>
      <c r="AP21" s="79"/>
      <c r="AQ21" s="79"/>
      <c r="AR21" s="79"/>
      <c r="AS21" s="79"/>
    </row>
    <row r="22" spans="1:45" x14ac:dyDescent="0.2">
      <c r="B22" s="79"/>
      <c r="C22" s="79"/>
      <c r="D22" s="79"/>
      <c r="E22" s="79"/>
      <c r="F22" s="79"/>
      <c r="G22" s="79"/>
      <c r="H22" s="79"/>
      <c r="I22" s="79"/>
      <c r="J22" s="79"/>
      <c r="K22" s="79"/>
      <c r="L22" s="79"/>
      <c r="M22" s="79"/>
      <c r="N22" s="79"/>
      <c r="O22" s="79"/>
      <c r="P22" s="79"/>
      <c r="Q22" s="79"/>
      <c r="R22" s="79"/>
      <c r="S22" s="79"/>
      <c r="T22" s="79"/>
      <c r="U22" s="79"/>
      <c r="V22" s="79"/>
      <c r="W22" s="79"/>
      <c r="X22" s="79"/>
      <c r="Y22" s="79"/>
      <c r="Z22" s="79"/>
      <c r="AA22" s="79"/>
      <c r="AB22" s="79"/>
      <c r="AC22" s="79"/>
      <c r="AD22" s="79"/>
      <c r="AE22" s="79"/>
      <c r="AF22" s="79"/>
      <c r="AG22" s="79"/>
      <c r="AH22" s="79"/>
      <c r="AI22" s="79"/>
      <c r="AJ22" s="79"/>
      <c r="AK22" s="79"/>
      <c r="AL22" s="79"/>
      <c r="AM22" s="79"/>
      <c r="AN22" s="79"/>
      <c r="AO22" s="79"/>
      <c r="AP22" s="79"/>
      <c r="AQ22" s="79"/>
      <c r="AR22" s="79"/>
      <c r="AS22" s="79"/>
    </row>
    <row r="23" spans="1:45" x14ac:dyDescent="0.2">
      <c r="B23" s="79"/>
      <c r="C23" s="79"/>
      <c r="D23" s="79"/>
      <c r="E23" s="79"/>
      <c r="F23" s="79"/>
      <c r="G23" s="79"/>
      <c r="H23" s="79"/>
      <c r="I23" s="79"/>
      <c r="J23" s="79"/>
      <c r="K23" s="79"/>
      <c r="L23" s="79"/>
      <c r="M23" s="79"/>
      <c r="N23" s="79"/>
      <c r="O23" s="79"/>
      <c r="P23" s="79"/>
      <c r="Q23" s="79"/>
      <c r="R23" s="79"/>
      <c r="S23" s="79"/>
      <c r="T23" s="79"/>
      <c r="U23" s="79"/>
      <c r="V23" s="79"/>
      <c r="W23" s="79"/>
      <c r="X23" s="79"/>
      <c r="Y23" s="79"/>
      <c r="Z23" s="79"/>
      <c r="AA23" s="79"/>
      <c r="AB23" s="79"/>
      <c r="AC23" s="79"/>
      <c r="AD23" s="79"/>
      <c r="AE23" s="79"/>
      <c r="AF23" s="79"/>
      <c r="AG23" s="79"/>
      <c r="AH23" s="79"/>
      <c r="AI23" s="79"/>
      <c r="AJ23" s="79"/>
      <c r="AK23" s="79"/>
      <c r="AL23" s="79"/>
      <c r="AM23" s="79"/>
      <c r="AN23" s="79"/>
      <c r="AO23" s="79"/>
      <c r="AP23" s="79"/>
      <c r="AQ23" s="79"/>
      <c r="AR23" s="79"/>
      <c r="AS23" s="79"/>
    </row>
    <row r="24" spans="1:45" x14ac:dyDescent="0.2">
      <c r="B24" s="79"/>
      <c r="C24" s="79"/>
      <c r="D24" s="79"/>
      <c r="E24" s="79"/>
      <c r="F24" s="79"/>
      <c r="G24" s="79"/>
      <c r="H24" s="79"/>
      <c r="I24" s="79"/>
      <c r="J24" s="79"/>
      <c r="K24" s="79"/>
      <c r="L24" s="79"/>
      <c r="M24" s="79"/>
      <c r="N24" s="79"/>
      <c r="O24" s="79"/>
      <c r="P24" s="79"/>
      <c r="Q24" s="79"/>
      <c r="R24" s="79"/>
      <c r="S24" s="79"/>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row>
    <row r="25" spans="1:45" x14ac:dyDescent="0.2">
      <c r="B25" s="79"/>
      <c r="C25" s="79"/>
      <c r="D25" s="79"/>
      <c r="E25" s="79"/>
      <c r="F25" s="79"/>
      <c r="G25" s="79"/>
      <c r="H25" s="79"/>
      <c r="I25" s="79"/>
      <c r="J25" s="79"/>
      <c r="K25" s="79"/>
      <c r="L25" s="79"/>
      <c r="M25" s="79"/>
      <c r="N25" s="79"/>
      <c r="O25" s="79"/>
      <c r="P25" s="79"/>
      <c r="Q25" s="79"/>
      <c r="R25" s="79"/>
      <c r="S25" s="79"/>
      <c r="T25" s="79"/>
      <c r="U25" s="79"/>
      <c r="V25" s="79"/>
      <c r="W25" s="79"/>
      <c r="X25" s="79"/>
      <c r="Y25" s="79"/>
      <c r="Z25" s="79"/>
      <c r="AA25" s="79"/>
      <c r="AB25" s="79"/>
      <c r="AC25" s="79"/>
      <c r="AD25" s="79"/>
      <c r="AE25" s="79"/>
      <c r="AF25" s="79"/>
      <c r="AG25" s="79"/>
      <c r="AH25" s="79"/>
      <c r="AI25" s="79"/>
      <c r="AJ25" s="79"/>
      <c r="AK25" s="79"/>
      <c r="AL25" s="79"/>
      <c r="AM25" s="79"/>
      <c r="AN25" s="79"/>
      <c r="AO25" s="79"/>
      <c r="AP25" s="79"/>
      <c r="AQ25" s="79"/>
      <c r="AR25" s="79"/>
      <c r="AS25" s="79"/>
    </row>
    <row r="26" spans="1:45" x14ac:dyDescent="0.2">
      <c r="B26" s="79"/>
      <c r="C26" s="79"/>
      <c r="D26" s="79"/>
      <c r="E26" s="79"/>
      <c r="F26" s="79"/>
      <c r="G26" s="79"/>
      <c r="H26" s="79"/>
      <c r="I26" s="79"/>
      <c r="J26" s="79"/>
      <c r="K26" s="79"/>
      <c r="L26" s="79"/>
      <c r="M26" s="79"/>
      <c r="N26" s="79"/>
      <c r="O26" s="79"/>
      <c r="P26" s="79"/>
      <c r="Q26" s="79"/>
      <c r="R26" s="79"/>
      <c r="S26" s="79"/>
      <c r="T26" s="79"/>
      <c r="U26" s="79"/>
      <c r="V26" s="79"/>
      <c r="W26" s="79"/>
      <c r="X26" s="79"/>
      <c r="Y26" s="79"/>
      <c r="Z26" s="79"/>
      <c r="AA26" s="79"/>
      <c r="AB26" s="79"/>
      <c r="AC26" s="79"/>
      <c r="AD26" s="79"/>
      <c r="AE26" s="79"/>
      <c r="AF26" s="79"/>
      <c r="AG26" s="79"/>
      <c r="AH26" s="79"/>
      <c r="AI26" s="79"/>
      <c r="AJ26" s="79"/>
      <c r="AK26" s="79"/>
      <c r="AL26" s="79"/>
      <c r="AM26" s="79"/>
      <c r="AN26" s="79"/>
      <c r="AO26" s="79"/>
      <c r="AP26" s="79"/>
      <c r="AQ26" s="79"/>
      <c r="AR26" s="79"/>
      <c r="AS26" s="79"/>
    </row>
    <row r="27" spans="1:45" x14ac:dyDescent="0.2">
      <c r="B27" s="79"/>
      <c r="C27" s="79"/>
      <c r="D27" s="79"/>
      <c r="E27" s="79"/>
      <c r="F27" s="79"/>
      <c r="G27" s="79"/>
      <c r="H27" s="79"/>
      <c r="I27" s="79"/>
      <c r="J27" s="79"/>
      <c r="K27" s="79"/>
      <c r="L27" s="79"/>
      <c r="M27" s="79"/>
      <c r="N27" s="79"/>
      <c r="O27" s="79"/>
      <c r="P27" s="79"/>
      <c r="Q27" s="79"/>
      <c r="R27" s="79"/>
      <c r="S27" s="79"/>
      <c r="T27" s="79"/>
      <c r="U27" s="79"/>
      <c r="V27" s="79"/>
      <c r="W27" s="79"/>
      <c r="X27" s="79"/>
      <c r="Y27" s="79"/>
      <c r="Z27" s="79"/>
      <c r="AA27" s="79"/>
      <c r="AB27" s="79"/>
      <c r="AC27" s="79"/>
      <c r="AD27" s="79"/>
      <c r="AE27" s="79"/>
      <c r="AF27" s="79"/>
      <c r="AG27" s="79"/>
      <c r="AH27" s="79"/>
      <c r="AI27" s="79"/>
      <c r="AJ27" s="79"/>
      <c r="AK27" s="79"/>
      <c r="AL27" s="79"/>
      <c r="AM27" s="79"/>
      <c r="AN27" s="79"/>
      <c r="AO27" s="79"/>
      <c r="AP27" s="79"/>
      <c r="AQ27" s="79"/>
      <c r="AR27" s="79"/>
      <c r="AS27" s="79"/>
    </row>
    <row r="28" spans="1:45" x14ac:dyDescent="0.2">
      <c r="B28" s="79"/>
      <c r="C28" s="79"/>
      <c r="D28" s="79"/>
      <c r="E28" s="79"/>
      <c r="F28" s="79"/>
      <c r="G28" s="79"/>
      <c r="H28" s="79"/>
      <c r="I28" s="79"/>
      <c r="J28" s="79"/>
      <c r="K28" s="79"/>
      <c r="L28" s="79"/>
      <c r="M28" s="79"/>
      <c r="N28" s="79"/>
      <c r="O28" s="79"/>
      <c r="P28" s="79"/>
      <c r="Q28" s="79"/>
      <c r="R28" s="79"/>
      <c r="S28" s="79"/>
      <c r="T28" s="79"/>
      <c r="U28" s="79"/>
      <c r="V28" s="79"/>
      <c r="W28" s="79"/>
      <c r="X28" s="79"/>
      <c r="Y28" s="79"/>
      <c r="Z28" s="79"/>
      <c r="AA28" s="79"/>
      <c r="AB28" s="79"/>
      <c r="AC28" s="79"/>
      <c r="AD28" s="79"/>
      <c r="AE28" s="79"/>
      <c r="AF28" s="79"/>
      <c r="AG28" s="79"/>
      <c r="AH28" s="79"/>
      <c r="AI28" s="79"/>
      <c r="AJ28" s="79"/>
      <c r="AK28" s="79"/>
      <c r="AL28" s="79"/>
      <c r="AM28" s="79"/>
      <c r="AN28" s="79"/>
      <c r="AO28" s="79"/>
      <c r="AP28" s="79"/>
      <c r="AQ28" s="79"/>
      <c r="AR28" s="79"/>
      <c r="AS28" s="79"/>
    </row>
    <row r="29" spans="1:45" x14ac:dyDescent="0.2">
      <c r="B29" s="79"/>
      <c r="C29" s="79"/>
      <c r="D29" s="79"/>
      <c r="E29" s="79"/>
      <c r="F29" s="79"/>
      <c r="G29" s="79"/>
      <c r="H29" s="79"/>
      <c r="I29" s="79"/>
      <c r="J29" s="79"/>
      <c r="K29" s="79"/>
      <c r="L29" s="79"/>
      <c r="M29" s="79"/>
      <c r="N29" s="79"/>
      <c r="O29" s="79"/>
      <c r="P29" s="79"/>
      <c r="Q29" s="79"/>
      <c r="R29" s="79"/>
      <c r="S29" s="79"/>
      <c r="T29" s="79"/>
      <c r="U29" s="79"/>
      <c r="V29" s="79"/>
      <c r="W29" s="79"/>
      <c r="X29" s="79"/>
      <c r="Y29" s="79"/>
      <c r="Z29" s="79"/>
      <c r="AA29" s="79"/>
      <c r="AB29" s="79"/>
      <c r="AC29" s="79"/>
      <c r="AD29" s="79"/>
      <c r="AE29" s="79"/>
      <c r="AF29" s="79"/>
      <c r="AG29" s="79"/>
      <c r="AH29" s="79"/>
      <c r="AI29" s="79"/>
      <c r="AJ29" s="79"/>
      <c r="AK29" s="79"/>
      <c r="AL29" s="79"/>
      <c r="AM29" s="79"/>
      <c r="AN29" s="79"/>
      <c r="AO29" s="79"/>
      <c r="AP29" s="79"/>
      <c r="AQ29" s="79"/>
      <c r="AR29" s="79"/>
      <c r="AS29" s="79"/>
    </row>
    <row r="30" spans="1:45" x14ac:dyDescent="0.2">
      <c r="B30" s="79"/>
      <c r="C30" s="79"/>
      <c r="D30" s="79"/>
      <c r="E30" s="79"/>
      <c r="F30" s="79"/>
      <c r="G30" s="79"/>
      <c r="H30" s="79"/>
      <c r="I30" s="79"/>
      <c r="J30" s="79"/>
      <c r="K30" s="79"/>
      <c r="L30" s="79"/>
      <c r="M30" s="79"/>
      <c r="N30" s="79"/>
      <c r="O30" s="79"/>
      <c r="P30" s="79"/>
      <c r="Q30" s="79"/>
      <c r="R30" s="79"/>
      <c r="S30" s="79"/>
      <c r="T30" s="79"/>
      <c r="U30" s="79"/>
      <c r="V30" s="79"/>
      <c r="W30" s="79"/>
      <c r="X30" s="79"/>
      <c r="Y30" s="79"/>
      <c r="Z30" s="79"/>
      <c r="AA30" s="79"/>
      <c r="AB30" s="79"/>
      <c r="AC30" s="79"/>
      <c r="AD30" s="79"/>
      <c r="AE30" s="79"/>
      <c r="AF30" s="79"/>
      <c r="AG30" s="79"/>
      <c r="AH30" s="79"/>
      <c r="AI30" s="79"/>
      <c r="AJ30" s="79"/>
      <c r="AK30" s="79"/>
      <c r="AL30" s="79"/>
      <c r="AM30" s="79"/>
      <c r="AN30" s="79"/>
      <c r="AO30" s="79"/>
      <c r="AP30" s="79"/>
      <c r="AQ30" s="79"/>
      <c r="AR30" s="79"/>
      <c r="AS30" s="79"/>
    </row>
    <row r="31" spans="1:45" x14ac:dyDescent="0.2">
      <c r="B31" s="79"/>
      <c r="C31" s="79"/>
      <c r="D31" s="79"/>
      <c r="E31" s="79"/>
      <c r="F31" s="79"/>
      <c r="G31" s="79"/>
      <c r="H31" s="79"/>
      <c r="I31" s="79"/>
      <c r="J31" s="79"/>
      <c r="K31" s="79"/>
      <c r="L31" s="79"/>
      <c r="M31" s="79"/>
      <c r="N31" s="79"/>
      <c r="O31" s="79"/>
      <c r="P31" s="79"/>
      <c r="Q31" s="79"/>
      <c r="R31" s="79"/>
      <c r="S31" s="79"/>
      <c r="T31" s="79"/>
      <c r="U31" s="79"/>
      <c r="V31" s="79"/>
      <c r="W31" s="79"/>
      <c r="X31" s="79"/>
      <c r="Y31" s="79"/>
      <c r="Z31" s="79"/>
      <c r="AA31" s="79"/>
      <c r="AB31" s="79"/>
      <c r="AC31" s="79"/>
      <c r="AD31" s="79"/>
      <c r="AE31" s="79"/>
      <c r="AF31" s="79"/>
      <c r="AG31" s="79"/>
      <c r="AH31" s="79"/>
      <c r="AI31" s="79"/>
      <c r="AJ31" s="79"/>
      <c r="AK31" s="79"/>
      <c r="AL31" s="79"/>
      <c r="AM31" s="79"/>
      <c r="AN31" s="79"/>
      <c r="AO31" s="79"/>
      <c r="AP31" s="79"/>
      <c r="AQ31" s="79"/>
      <c r="AR31" s="79"/>
      <c r="AS31" s="79"/>
    </row>
    <row r="32" spans="1:45" x14ac:dyDescent="0.2">
      <c r="B32" s="79"/>
      <c r="C32" s="79"/>
      <c r="D32" s="79"/>
      <c r="E32" s="79"/>
      <c r="F32" s="79"/>
      <c r="G32" s="79"/>
      <c r="H32" s="79"/>
      <c r="I32" s="79"/>
      <c r="J32" s="79"/>
      <c r="K32" s="79"/>
      <c r="L32" s="79"/>
      <c r="M32" s="79"/>
      <c r="N32" s="79"/>
      <c r="O32" s="79"/>
      <c r="P32" s="79"/>
      <c r="Q32" s="79"/>
      <c r="R32" s="79"/>
      <c r="S32" s="79"/>
      <c r="T32" s="79"/>
      <c r="U32" s="79"/>
      <c r="V32" s="79"/>
      <c r="W32" s="79"/>
      <c r="X32" s="79"/>
      <c r="Y32" s="79"/>
      <c r="Z32" s="79"/>
      <c r="AA32" s="79"/>
      <c r="AB32" s="79"/>
      <c r="AC32" s="79"/>
      <c r="AD32" s="79"/>
      <c r="AE32" s="79"/>
      <c r="AF32" s="79"/>
      <c r="AG32" s="79"/>
      <c r="AH32" s="79"/>
      <c r="AI32" s="79"/>
      <c r="AJ32" s="79"/>
      <c r="AK32" s="79"/>
      <c r="AL32" s="79"/>
      <c r="AM32" s="79"/>
      <c r="AN32" s="79"/>
      <c r="AO32" s="79"/>
      <c r="AP32" s="79"/>
      <c r="AQ32" s="79"/>
      <c r="AR32" s="79"/>
      <c r="AS32" s="79"/>
    </row>
    <row r="33" spans="2:45" x14ac:dyDescent="0.2">
      <c r="B33" s="79"/>
      <c r="C33" s="79"/>
      <c r="D33" s="79"/>
      <c r="E33" s="79"/>
      <c r="F33" s="79"/>
      <c r="G33" s="79"/>
      <c r="H33" s="79"/>
      <c r="I33" s="79"/>
      <c r="J33" s="79"/>
      <c r="K33" s="79"/>
      <c r="L33" s="79"/>
      <c r="M33" s="79"/>
      <c r="N33" s="79"/>
      <c r="O33" s="79"/>
      <c r="P33" s="79"/>
      <c r="Q33" s="79"/>
      <c r="R33" s="79"/>
      <c r="S33" s="79"/>
      <c r="T33" s="79"/>
      <c r="U33" s="79"/>
      <c r="V33" s="79"/>
      <c r="W33" s="79"/>
      <c r="X33" s="79"/>
      <c r="Y33" s="79"/>
      <c r="Z33" s="79"/>
      <c r="AA33" s="79"/>
      <c r="AB33" s="79"/>
      <c r="AC33" s="79"/>
      <c r="AD33" s="79"/>
      <c r="AE33" s="79"/>
      <c r="AF33" s="79"/>
      <c r="AG33" s="79"/>
      <c r="AH33" s="79"/>
      <c r="AI33" s="79"/>
      <c r="AJ33" s="79"/>
      <c r="AK33" s="79"/>
      <c r="AL33" s="79"/>
      <c r="AM33" s="79"/>
      <c r="AN33" s="79"/>
      <c r="AO33" s="79"/>
      <c r="AP33" s="79"/>
      <c r="AQ33" s="79"/>
      <c r="AR33" s="79"/>
      <c r="AS33" s="79"/>
    </row>
    <row r="34" spans="2:45" x14ac:dyDescent="0.2">
      <c r="B34" s="79"/>
      <c r="C34" s="79"/>
      <c r="D34" s="79"/>
      <c r="E34" s="79"/>
      <c r="F34" s="79"/>
      <c r="G34" s="79"/>
      <c r="H34" s="79"/>
      <c r="I34" s="79"/>
      <c r="J34" s="79"/>
      <c r="K34" s="79"/>
      <c r="L34" s="79"/>
      <c r="M34" s="79"/>
      <c r="N34" s="79"/>
      <c r="O34" s="79"/>
      <c r="P34" s="79"/>
      <c r="Q34" s="79"/>
      <c r="R34" s="79"/>
      <c r="S34" s="79"/>
      <c r="T34" s="79"/>
      <c r="U34" s="79"/>
      <c r="V34" s="79"/>
      <c r="W34" s="79"/>
      <c r="X34" s="79"/>
      <c r="Y34" s="79"/>
      <c r="Z34" s="79"/>
      <c r="AA34" s="79"/>
      <c r="AB34" s="79"/>
      <c r="AC34" s="79"/>
      <c r="AD34" s="79"/>
      <c r="AE34" s="79"/>
      <c r="AF34" s="79"/>
      <c r="AG34" s="79"/>
      <c r="AH34" s="79"/>
      <c r="AI34" s="79"/>
      <c r="AJ34" s="79"/>
      <c r="AK34" s="79"/>
      <c r="AL34" s="79"/>
      <c r="AM34" s="79"/>
      <c r="AN34" s="79"/>
      <c r="AO34" s="79"/>
      <c r="AP34" s="79"/>
      <c r="AQ34" s="79"/>
      <c r="AR34" s="79"/>
      <c r="AS34" s="79"/>
    </row>
    <row r="35" spans="2:45" x14ac:dyDescent="0.2">
      <c r="B35" s="79"/>
      <c r="C35" s="79"/>
      <c r="D35" s="79"/>
      <c r="E35" s="79"/>
      <c r="F35" s="79"/>
      <c r="G35" s="79"/>
      <c r="H35" s="79"/>
      <c r="I35" s="79"/>
      <c r="J35" s="79"/>
      <c r="K35" s="79"/>
      <c r="L35" s="79"/>
      <c r="M35" s="79"/>
      <c r="N35" s="79"/>
      <c r="O35" s="79"/>
      <c r="P35" s="79"/>
      <c r="Q35" s="79"/>
      <c r="R35" s="79"/>
      <c r="S35" s="79"/>
      <c r="T35" s="79"/>
      <c r="U35" s="79"/>
      <c r="V35" s="79"/>
      <c r="W35" s="79"/>
      <c r="X35" s="79"/>
      <c r="Y35" s="79"/>
      <c r="Z35" s="79"/>
      <c r="AA35" s="79"/>
      <c r="AB35" s="79"/>
      <c r="AC35" s="79"/>
      <c r="AD35" s="79"/>
      <c r="AE35" s="79"/>
      <c r="AF35" s="79"/>
      <c r="AG35" s="79"/>
      <c r="AH35" s="79"/>
      <c r="AI35" s="79"/>
      <c r="AJ35" s="79"/>
      <c r="AK35" s="79"/>
      <c r="AL35" s="79"/>
      <c r="AM35" s="79"/>
      <c r="AN35" s="79"/>
      <c r="AO35" s="79"/>
      <c r="AP35" s="79"/>
      <c r="AQ35" s="79"/>
      <c r="AR35" s="79"/>
      <c r="AS35" s="79"/>
    </row>
    <row r="36" spans="2:45" x14ac:dyDescent="0.2">
      <c r="B36" s="79"/>
      <c r="C36" s="79"/>
      <c r="D36" s="79"/>
      <c r="E36" s="79"/>
      <c r="F36" s="79"/>
      <c r="G36" s="79"/>
      <c r="H36" s="79"/>
      <c r="I36" s="79"/>
      <c r="J36" s="79"/>
      <c r="K36" s="79"/>
      <c r="L36" s="79"/>
      <c r="M36" s="79"/>
      <c r="N36" s="79"/>
      <c r="O36" s="79"/>
      <c r="P36" s="79"/>
      <c r="Q36" s="79"/>
      <c r="R36" s="79"/>
      <c r="S36" s="79"/>
      <c r="T36" s="79"/>
      <c r="U36" s="79"/>
      <c r="V36" s="79"/>
      <c r="W36" s="79"/>
      <c r="X36" s="79"/>
      <c r="Y36" s="79"/>
      <c r="Z36" s="79"/>
      <c r="AA36" s="79"/>
      <c r="AB36" s="79"/>
      <c r="AC36" s="79"/>
      <c r="AD36" s="79"/>
      <c r="AE36" s="79"/>
      <c r="AF36" s="79"/>
      <c r="AG36" s="79"/>
      <c r="AH36" s="79"/>
      <c r="AI36" s="79"/>
      <c r="AJ36" s="79"/>
      <c r="AK36" s="79"/>
      <c r="AL36" s="79"/>
      <c r="AM36" s="79"/>
      <c r="AN36" s="79"/>
      <c r="AO36" s="79"/>
      <c r="AP36" s="79"/>
      <c r="AQ36" s="79"/>
      <c r="AR36" s="79"/>
      <c r="AS36" s="79"/>
    </row>
    <row r="37" spans="2:45" x14ac:dyDescent="0.2">
      <c r="B37" s="79"/>
      <c r="C37" s="79"/>
      <c r="D37" s="79"/>
      <c r="E37" s="79"/>
      <c r="F37" s="79"/>
      <c r="G37" s="79"/>
      <c r="H37" s="79"/>
      <c r="I37" s="79"/>
      <c r="J37" s="79"/>
      <c r="K37" s="79"/>
      <c r="L37" s="79"/>
      <c r="M37" s="79"/>
      <c r="N37" s="79"/>
      <c r="O37" s="79"/>
      <c r="P37" s="79"/>
      <c r="Q37" s="79"/>
      <c r="R37" s="79"/>
      <c r="S37" s="79"/>
      <c r="T37" s="79"/>
      <c r="U37" s="79"/>
      <c r="V37" s="79"/>
      <c r="W37" s="79"/>
      <c r="X37" s="79"/>
      <c r="Y37" s="79"/>
      <c r="Z37" s="79"/>
      <c r="AA37" s="79"/>
      <c r="AB37" s="79"/>
      <c r="AC37" s="79"/>
      <c r="AD37" s="79"/>
      <c r="AE37" s="79"/>
      <c r="AF37" s="79"/>
      <c r="AG37" s="79"/>
      <c r="AH37" s="79"/>
      <c r="AI37" s="79"/>
      <c r="AJ37" s="79"/>
      <c r="AK37" s="79"/>
      <c r="AL37" s="79"/>
      <c r="AM37" s="79"/>
      <c r="AN37" s="79"/>
      <c r="AO37" s="79"/>
      <c r="AP37" s="79"/>
      <c r="AQ37" s="79"/>
      <c r="AR37" s="79"/>
      <c r="AS37" s="79"/>
    </row>
    <row r="38" spans="2:45" x14ac:dyDescent="0.2">
      <c r="B38" s="79"/>
      <c r="C38" s="79"/>
      <c r="D38" s="79"/>
      <c r="E38" s="79"/>
      <c r="F38" s="79"/>
      <c r="G38" s="79"/>
      <c r="H38" s="79"/>
      <c r="I38" s="79"/>
      <c r="J38" s="79"/>
      <c r="K38" s="79"/>
      <c r="L38" s="79"/>
      <c r="M38" s="79"/>
      <c r="N38" s="79"/>
      <c r="O38" s="79"/>
      <c r="P38" s="79"/>
      <c r="Q38" s="79"/>
      <c r="R38" s="79"/>
      <c r="S38" s="79"/>
      <c r="T38" s="79"/>
      <c r="U38" s="79"/>
      <c r="V38" s="79"/>
      <c r="W38" s="79"/>
      <c r="X38" s="79"/>
      <c r="Y38" s="79"/>
      <c r="Z38" s="79"/>
      <c r="AA38" s="79"/>
      <c r="AB38" s="79"/>
      <c r="AC38" s="79"/>
      <c r="AD38" s="79"/>
      <c r="AE38" s="79"/>
      <c r="AF38" s="79"/>
      <c r="AG38" s="79"/>
      <c r="AH38" s="79"/>
      <c r="AI38" s="79"/>
      <c r="AJ38" s="79"/>
      <c r="AK38" s="79"/>
      <c r="AL38" s="79"/>
      <c r="AM38" s="79"/>
      <c r="AN38" s="79"/>
      <c r="AO38" s="79"/>
      <c r="AP38" s="79"/>
      <c r="AQ38" s="79"/>
      <c r="AR38" s="79"/>
      <c r="AS38" s="79"/>
    </row>
    <row r="39" spans="2:45" x14ac:dyDescent="0.2">
      <c r="B39" s="79"/>
      <c r="C39" s="79"/>
      <c r="D39" s="79"/>
      <c r="E39" s="79"/>
      <c r="F39" s="79"/>
      <c r="G39" s="79"/>
      <c r="H39" s="79"/>
      <c r="I39" s="79"/>
      <c r="J39" s="79"/>
      <c r="K39" s="79"/>
      <c r="L39" s="79"/>
      <c r="M39" s="79"/>
      <c r="N39" s="79"/>
      <c r="O39" s="79"/>
      <c r="P39" s="79"/>
      <c r="Q39" s="79"/>
      <c r="R39" s="79"/>
      <c r="S39" s="79"/>
      <c r="T39" s="79"/>
      <c r="U39" s="79"/>
      <c r="V39" s="79"/>
      <c r="W39" s="79"/>
      <c r="X39" s="79"/>
      <c r="Y39" s="79"/>
      <c r="Z39" s="79"/>
      <c r="AA39" s="79"/>
      <c r="AB39" s="79"/>
      <c r="AC39" s="79"/>
      <c r="AD39" s="79"/>
      <c r="AE39" s="79"/>
      <c r="AF39" s="79"/>
      <c r="AG39" s="79"/>
      <c r="AH39" s="79"/>
      <c r="AI39" s="79"/>
      <c r="AJ39" s="79"/>
      <c r="AK39" s="79"/>
      <c r="AL39" s="79"/>
      <c r="AM39" s="79"/>
      <c r="AN39" s="79"/>
      <c r="AO39" s="79"/>
      <c r="AP39" s="79"/>
      <c r="AQ39" s="79"/>
      <c r="AR39" s="79"/>
      <c r="AS39" s="79"/>
    </row>
    <row r="40" spans="2:45" x14ac:dyDescent="0.2">
      <c r="B40" s="79"/>
      <c r="C40" s="79"/>
      <c r="D40" s="79"/>
      <c r="E40" s="79"/>
      <c r="F40" s="79"/>
      <c r="G40" s="79"/>
      <c r="H40" s="79"/>
      <c r="I40" s="79"/>
      <c r="J40" s="79"/>
      <c r="K40" s="79"/>
      <c r="L40" s="79"/>
      <c r="M40" s="79"/>
      <c r="N40" s="79"/>
      <c r="O40" s="79"/>
      <c r="P40" s="79"/>
      <c r="Q40" s="79"/>
      <c r="R40" s="79"/>
      <c r="S40" s="79"/>
      <c r="T40" s="79"/>
      <c r="U40" s="79"/>
      <c r="V40" s="79"/>
      <c r="W40" s="79"/>
      <c r="X40" s="79"/>
      <c r="Y40" s="79"/>
      <c r="Z40" s="79"/>
      <c r="AA40" s="79"/>
      <c r="AB40" s="79"/>
      <c r="AC40" s="79"/>
      <c r="AD40" s="79"/>
      <c r="AE40" s="79"/>
      <c r="AF40" s="79"/>
      <c r="AG40" s="79"/>
      <c r="AH40" s="79"/>
      <c r="AI40" s="79"/>
      <c r="AJ40" s="79"/>
      <c r="AK40" s="79"/>
      <c r="AL40" s="79"/>
      <c r="AM40" s="79"/>
      <c r="AN40" s="79"/>
      <c r="AO40" s="79"/>
      <c r="AP40" s="79"/>
      <c r="AQ40" s="79"/>
      <c r="AR40" s="79"/>
      <c r="AS40" s="79"/>
    </row>
    <row r="41" spans="2:45" x14ac:dyDescent="0.2">
      <c r="B41" s="79"/>
      <c r="C41" s="79"/>
      <c r="D41" s="79"/>
      <c r="E41" s="79"/>
      <c r="F41" s="79"/>
      <c r="G41" s="79"/>
      <c r="H41" s="79"/>
      <c r="I41" s="79"/>
      <c r="J41" s="79"/>
      <c r="K41" s="79"/>
      <c r="L41" s="79"/>
      <c r="M41" s="79"/>
      <c r="N41" s="79"/>
      <c r="O41" s="79"/>
      <c r="P41" s="79"/>
      <c r="Q41" s="79"/>
      <c r="R41" s="79"/>
      <c r="S41" s="79"/>
      <c r="T41" s="79"/>
      <c r="U41" s="79"/>
      <c r="V41" s="79"/>
      <c r="W41" s="79"/>
      <c r="X41" s="79"/>
      <c r="Y41" s="79"/>
      <c r="Z41" s="79"/>
      <c r="AA41" s="79"/>
      <c r="AB41" s="79"/>
      <c r="AC41" s="79"/>
      <c r="AD41" s="79"/>
      <c r="AE41" s="79"/>
      <c r="AF41" s="79"/>
      <c r="AG41" s="79"/>
      <c r="AH41" s="79"/>
      <c r="AI41" s="79"/>
      <c r="AJ41" s="79"/>
      <c r="AK41" s="79"/>
      <c r="AL41" s="79"/>
      <c r="AM41" s="79"/>
      <c r="AN41" s="79"/>
      <c r="AO41" s="79"/>
      <c r="AP41" s="79"/>
      <c r="AQ41" s="79"/>
      <c r="AR41" s="79"/>
      <c r="AS41" s="79"/>
    </row>
    <row r="42" spans="2:45" x14ac:dyDescent="0.2">
      <c r="B42" s="79"/>
      <c r="C42" s="79"/>
      <c r="D42" s="79"/>
      <c r="E42" s="79"/>
      <c r="F42" s="79"/>
      <c r="G42" s="79"/>
      <c r="H42" s="79"/>
      <c r="I42" s="79"/>
      <c r="J42" s="79"/>
      <c r="K42" s="79"/>
      <c r="L42" s="79"/>
      <c r="M42" s="79"/>
      <c r="N42" s="79"/>
      <c r="O42" s="79"/>
      <c r="P42" s="79"/>
      <c r="Q42" s="79"/>
      <c r="R42" s="79"/>
      <c r="S42" s="79"/>
      <c r="T42" s="79"/>
      <c r="U42" s="79"/>
      <c r="V42" s="79"/>
      <c r="W42" s="79"/>
      <c r="X42" s="79"/>
      <c r="Y42" s="79"/>
      <c r="Z42" s="79"/>
      <c r="AA42" s="79"/>
      <c r="AB42" s="79"/>
      <c r="AC42" s="79"/>
      <c r="AD42" s="79"/>
      <c r="AE42" s="79"/>
      <c r="AF42" s="79"/>
      <c r="AG42" s="79"/>
      <c r="AH42" s="79"/>
      <c r="AI42" s="79"/>
      <c r="AJ42" s="79"/>
      <c r="AK42" s="79"/>
      <c r="AL42" s="79"/>
      <c r="AM42" s="79"/>
      <c r="AN42" s="79"/>
      <c r="AO42" s="79"/>
      <c r="AP42" s="79"/>
      <c r="AQ42" s="79"/>
      <c r="AR42" s="79"/>
      <c r="AS42" s="79"/>
    </row>
    <row r="43" spans="2:45" x14ac:dyDescent="0.2">
      <c r="B43" s="79"/>
      <c r="C43" s="79"/>
      <c r="D43" s="79"/>
      <c r="E43" s="79"/>
      <c r="F43" s="79"/>
      <c r="G43" s="79"/>
      <c r="H43" s="79"/>
      <c r="I43" s="79"/>
      <c r="J43" s="79"/>
      <c r="K43" s="79"/>
      <c r="L43" s="79"/>
      <c r="M43" s="79"/>
      <c r="N43" s="79"/>
      <c r="O43" s="79"/>
      <c r="P43" s="79"/>
      <c r="Q43" s="79"/>
      <c r="R43" s="79"/>
      <c r="S43" s="79"/>
      <c r="T43" s="79"/>
      <c r="U43" s="79"/>
      <c r="V43" s="79"/>
      <c r="W43" s="79"/>
      <c r="X43" s="79"/>
      <c r="Y43" s="79"/>
      <c r="Z43" s="79"/>
      <c r="AA43" s="79"/>
      <c r="AB43" s="79"/>
      <c r="AC43" s="79"/>
      <c r="AD43" s="79"/>
      <c r="AE43" s="79"/>
      <c r="AF43" s="79"/>
      <c r="AG43" s="79"/>
      <c r="AH43" s="79"/>
      <c r="AI43" s="79"/>
      <c r="AJ43" s="79"/>
      <c r="AK43" s="79"/>
      <c r="AL43" s="79"/>
      <c r="AM43" s="79"/>
      <c r="AN43" s="79"/>
      <c r="AO43" s="79"/>
      <c r="AP43" s="79"/>
      <c r="AQ43" s="79"/>
      <c r="AR43" s="79"/>
      <c r="AS43" s="79"/>
    </row>
    <row r="44" spans="2:45" x14ac:dyDescent="0.2">
      <c r="B44" s="79"/>
      <c r="C44" s="79"/>
      <c r="D44" s="79"/>
      <c r="E44" s="79"/>
      <c r="F44" s="79"/>
      <c r="G44" s="79"/>
      <c r="H44" s="79"/>
      <c r="I44" s="79"/>
      <c r="J44" s="79"/>
      <c r="K44" s="79"/>
      <c r="L44" s="79"/>
      <c r="M44" s="79"/>
      <c r="N44" s="79"/>
      <c r="O44" s="79"/>
      <c r="P44" s="79"/>
      <c r="Q44" s="79"/>
      <c r="R44" s="79"/>
      <c r="S44" s="79"/>
      <c r="T44" s="79"/>
      <c r="U44" s="79"/>
      <c r="V44" s="79"/>
      <c r="W44" s="79"/>
      <c r="X44" s="79"/>
      <c r="Y44" s="79"/>
      <c r="Z44" s="79"/>
      <c r="AA44" s="79"/>
      <c r="AB44" s="79"/>
      <c r="AC44" s="79"/>
      <c r="AD44" s="79"/>
      <c r="AE44" s="79"/>
      <c r="AF44" s="79"/>
      <c r="AG44" s="79"/>
      <c r="AH44" s="79"/>
      <c r="AI44" s="79"/>
      <c r="AJ44" s="79"/>
      <c r="AK44" s="79"/>
      <c r="AL44" s="79"/>
      <c r="AM44" s="79"/>
      <c r="AN44" s="79"/>
      <c r="AO44" s="79"/>
      <c r="AP44" s="79"/>
      <c r="AQ44" s="79"/>
      <c r="AR44" s="79"/>
      <c r="AS44" s="79"/>
    </row>
    <row r="45" spans="2:45" x14ac:dyDescent="0.2">
      <c r="B45" s="79"/>
      <c r="C45" s="79"/>
      <c r="D45" s="79"/>
      <c r="E45" s="79"/>
      <c r="F45" s="79"/>
      <c r="G45" s="79"/>
      <c r="H45" s="79"/>
      <c r="I45" s="79"/>
      <c r="J45" s="79"/>
      <c r="K45" s="79"/>
      <c r="L45" s="79"/>
      <c r="M45" s="79"/>
      <c r="N45" s="79"/>
      <c r="O45" s="79"/>
      <c r="P45" s="79"/>
      <c r="Q45" s="79"/>
      <c r="R45" s="79"/>
      <c r="S45" s="79"/>
      <c r="T45" s="79"/>
      <c r="U45" s="79"/>
      <c r="V45" s="79"/>
      <c r="W45" s="79"/>
      <c r="X45" s="79"/>
      <c r="Y45" s="79"/>
      <c r="Z45" s="79"/>
      <c r="AA45" s="79"/>
      <c r="AB45" s="79"/>
      <c r="AC45" s="79"/>
      <c r="AD45" s="79"/>
      <c r="AE45" s="79"/>
      <c r="AF45" s="79"/>
      <c r="AG45" s="79"/>
      <c r="AH45" s="79"/>
      <c r="AI45" s="79"/>
      <c r="AJ45" s="79"/>
      <c r="AK45" s="79"/>
      <c r="AL45" s="79"/>
      <c r="AM45" s="79"/>
      <c r="AN45" s="79"/>
      <c r="AO45" s="79"/>
      <c r="AP45" s="79"/>
      <c r="AQ45" s="79"/>
      <c r="AR45" s="79"/>
      <c r="AS45" s="79"/>
    </row>
    <row r="46" spans="2:45" x14ac:dyDescent="0.2">
      <c r="B46" s="79"/>
      <c r="C46" s="79"/>
      <c r="D46" s="79"/>
      <c r="E46" s="79"/>
      <c r="F46" s="79"/>
      <c r="G46" s="79"/>
      <c r="H46" s="79"/>
      <c r="I46" s="79"/>
      <c r="J46" s="79"/>
      <c r="K46" s="79"/>
      <c r="L46" s="79"/>
      <c r="M46" s="79"/>
      <c r="N46" s="79"/>
      <c r="O46" s="79"/>
      <c r="P46" s="79"/>
      <c r="Q46" s="79"/>
      <c r="R46" s="79"/>
      <c r="S46" s="79"/>
      <c r="T46" s="79"/>
      <c r="U46" s="79"/>
      <c r="V46" s="79"/>
      <c r="W46" s="79"/>
      <c r="X46" s="79"/>
      <c r="Y46" s="79"/>
      <c r="Z46" s="79"/>
      <c r="AA46" s="79"/>
      <c r="AB46" s="79"/>
      <c r="AC46" s="79"/>
      <c r="AD46" s="79"/>
      <c r="AE46" s="79"/>
      <c r="AF46" s="79"/>
      <c r="AG46" s="79"/>
      <c r="AH46" s="79"/>
      <c r="AI46" s="79"/>
      <c r="AJ46" s="79"/>
      <c r="AK46" s="79"/>
      <c r="AL46" s="79"/>
      <c r="AM46" s="79"/>
      <c r="AN46" s="79"/>
      <c r="AO46" s="79"/>
      <c r="AP46" s="79"/>
      <c r="AQ46" s="79"/>
      <c r="AR46" s="79"/>
      <c r="AS46" s="79"/>
    </row>
  </sheetData>
  <sheetProtection selectLockedCells="1" selectUnlockedCells="1"/>
  <mergeCells count="24">
    <mergeCell ref="A18:A19"/>
    <mergeCell ref="B9:H9"/>
    <mergeCell ref="B1:H1"/>
    <mergeCell ref="I1:AI1"/>
    <mergeCell ref="AJ1:AM1"/>
    <mergeCell ref="B2:H2"/>
    <mergeCell ref="A3:A8"/>
    <mergeCell ref="B3:H3"/>
    <mergeCell ref="B4:H4"/>
    <mergeCell ref="B5:H5"/>
    <mergeCell ref="B6:H6"/>
    <mergeCell ref="B7:H7"/>
    <mergeCell ref="B8:H8"/>
    <mergeCell ref="B18:H18"/>
    <mergeCell ref="B19:H19"/>
    <mergeCell ref="B16:H16"/>
    <mergeCell ref="A15:A16"/>
    <mergeCell ref="B15:H15"/>
    <mergeCell ref="I9:AM9"/>
    <mergeCell ref="A10:A13"/>
    <mergeCell ref="B10:H10"/>
    <mergeCell ref="B11:H11"/>
    <mergeCell ref="B12:H12"/>
    <mergeCell ref="B13:H13"/>
  </mergeCells>
  <phoneticPr fontId="2" type="noConversion"/>
  <conditionalFormatting sqref="I16:AM17">
    <cfRule type="cellIs" dxfId="4" priority="2" stopIfTrue="1" operator="notEqual">
      <formula>0</formula>
    </cfRule>
  </conditionalFormatting>
  <conditionalFormatting sqref="I18:AM18 I13:AM13">
    <cfRule type="cellIs" dxfId="3" priority="3" stopIfTrue="1" operator="notEqual">
      <formula>0</formula>
    </cfRule>
  </conditionalFormatting>
  <conditionalFormatting sqref="I14:AM14 I11:AM12">
    <cfRule type="cellIs" dxfId="2" priority="4" stopIfTrue="1" operator="equal">
      <formula>0</formula>
    </cfRule>
  </conditionalFormatting>
  <conditionalFormatting sqref="I15:AM15">
    <cfRule type="cellIs" dxfId="1" priority="5" stopIfTrue="1" operator="equal">
      <formula>0</formula>
    </cfRule>
  </conditionalFormatting>
  <conditionalFormatting sqref="I19:AM19">
    <cfRule type="cellIs" dxfId="0" priority="6" stopIfTrue="1" operator="equal">
      <formula>0</formula>
    </cfRule>
  </conditionalFormatting>
  <printOptions horizontalCentered="1" verticalCentered="1"/>
  <pageMargins left="0.39370078740157483" right="0.39370078740157483" top="0.55118110236220474" bottom="0.59055118110236227" header="0.39370078740157483" footer="0.39370078740157483"/>
  <pageSetup paperSize="9" scale="27" orientation="landscape" r:id="rId1"/>
  <headerFooter alignWithMargins="0">
    <oddFooter xml:space="preserve">&amp;C&amp;26&amp;P de &amp;N&amp;R&amp;26www.cpavitoria06.com   
info@cpavitoria06.com   </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N42"/>
  <sheetViews>
    <sheetView showGridLines="0" zoomScaleNormal="100" workbookViewId="0">
      <selection activeCell="N26" sqref="N26"/>
    </sheetView>
  </sheetViews>
  <sheetFormatPr baseColWidth="10" defaultRowHeight="12.75" x14ac:dyDescent="0.2"/>
  <sheetData>
    <row r="1" spans="1:14" ht="76.5" customHeight="1" x14ac:dyDescent="0.2">
      <c r="A1" s="391"/>
      <c r="B1" s="391"/>
      <c r="C1" s="397" t="s">
        <v>87</v>
      </c>
      <c r="D1" s="397"/>
      <c r="E1" s="397"/>
      <c r="F1" s="397"/>
      <c r="G1" s="397"/>
      <c r="H1" s="397"/>
      <c r="I1" s="397"/>
      <c r="J1" s="336" t="s">
        <v>95</v>
      </c>
      <c r="K1" s="391"/>
    </row>
    <row r="2" spans="1:14" x14ac:dyDescent="0.2">
      <c r="A2" s="379"/>
      <c r="B2" s="380"/>
      <c r="C2" s="380"/>
      <c r="D2" s="380"/>
      <c r="E2" s="380"/>
      <c r="F2" s="380"/>
      <c r="G2" s="380"/>
      <c r="H2" s="380"/>
      <c r="I2" s="380"/>
      <c r="J2" s="380"/>
      <c r="K2" s="381"/>
    </row>
    <row r="3" spans="1:14" x14ac:dyDescent="0.2">
      <c r="A3" s="382"/>
      <c r="B3" s="383"/>
      <c r="C3" s="383"/>
      <c r="D3" s="383"/>
      <c r="E3" s="383"/>
      <c r="F3" s="383"/>
      <c r="G3" s="383"/>
      <c r="H3" s="383"/>
      <c r="I3" s="383"/>
      <c r="J3" s="383"/>
      <c r="K3" s="384"/>
    </row>
    <row r="4" spans="1:14" x14ac:dyDescent="0.2">
      <c r="A4" s="382"/>
      <c r="B4" s="383"/>
      <c r="C4" s="383"/>
      <c r="D4" s="383"/>
      <c r="E4" s="383"/>
      <c r="F4" s="383"/>
      <c r="G4" s="383"/>
      <c r="H4" s="383"/>
      <c r="I4" s="383"/>
      <c r="J4" s="383"/>
      <c r="K4" s="384"/>
    </row>
    <row r="5" spans="1:14" x14ac:dyDescent="0.2">
      <c r="A5" s="382"/>
      <c r="B5" s="383"/>
      <c r="C5" s="383"/>
      <c r="D5" s="383"/>
      <c r="E5" s="383"/>
      <c r="F5" s="383"/>
      <c r="G5" s="383"/>
      <c r="H5" s="383"/>
      <c r="I5" s="383"/>
      <c r="J5" s="383"/>
      <c r="K5" s="384"/>
      <c r="N5" s="5"/>
    </row>
    <row r="6" spans="1:14" x14ac:dyDescent="0.2">
      <c r="A6" s="382"/>
      <c r="B6" s="383"/>
      <c r="C6" s="383"/>
      <c r="D6" s="383"/>
      <c r="E6" s="383"/>
      <c r="F6" s="383"/>
      <c r="G6" s="383"/>
      <c r="H6" s="383"/>
      <c r="I6" s="383"/>
      <c r="J6" s="383"/>
      <c r="K6" s="384"/>
    </row>
    <row r="7" spans="1:14" x14ac:dyDescent="0.2">
      <c r="A7" s="382"/>
      <c r="B7" s="383"/>
      <c r="C7" s="383"/>
      <c r="D7" s="383"/>
      <c r="E7" s="383"/>
      <c r="F7" s="383"/>
      <c r="G7" s="383"/>
      <c r="H7" s="383"/>
      <c r="I7" s="383"/>
      <c r="J7" s="383"/>
      <c r="K7" s="384"/>
    </row>
    <row r="8" spans="1:14" x14ac:dyDescent="0.2">
      <c r="A8" s="382"/>
      <c r="B8" s="383"/>
      <c r="C8" s="383"/>
      <c r="D8" s="383"/>
      <c r="E8" s="383"/>
      <c r="F8" s="383"/>
      <c r="G8" s="383"/>
      <c r="H8" s="383"/>
      <c r="I8" s="383"/>
      <c r="J8" s="383"/>
      <c r="K8" s="384"/>
    </row>
    <row r="9" spans="1:14" x14ac:dyDescent="0.2">
      <c r="A9" s="382"/>
      <c r="B9" s="383"/>
      <c r="C9" s="383"/>
      <c r="D9" s="383"/>
      <c r="E9" s="383"/>
      <c r="F9" s="383"/>
      <c r="G9" s="383"/>
      <c r="H9" s="383"/>
      <c r="I9" s="383"/>
      <c r="J9" s="383"/>
      <c r="K9" s="384"/>
    </row>
    <row r="10" spans="1:14" x14ac:dyDescent="0.2">
      <c r="A10" s="382"/>
      <c r="B10" s="383"/>
      <c r="C10" s="383"/>
      <c r="D10" s="383"/>
      <c r="E10" s="383"/>
      <c r="F10" s="383"/>
      <c r="G10" s="383"/>
      <c r="H10" s="383"/>
      <c r="I10" s="383"/>
      <c r="J10" s="383"/>
      <c r="K10" s="384"/>
    </row>
    <row r="11" spans="1:14" x14ac:dyDescent="0.2">
      <c r="A11" s="382"/>
      <c r="B11" s="383"/>
      <c r="C11" s="383"/>
      <c r="D11" s="383"/>
      <c r="E11" s="383"/>
      <c r="F11" s="383"/>
      <c r="G11" s="383"/>
      <c r="H11" s="383"/>
      <c r="I11" s="383"/>
      <c r="J11" s="383"/>
      <c r="K11" s="384"/>
    </row>
    <row r="12" spans="1:14" x14ac:dyDescent="0.2">
      <c r="A12" s="382"/>
      <c r="B12" s="383"/>
      <c r="C12" s="383"/>
      <c r="D12" s="383"/>
      <c r="E12" s="383"/>
      <c r="F12" s="383"/>
      <c r="G12" s="383"/>
      <c r="H12" s="383"/>
      <c r="I12" s="383"/>
      <c r="J12" s="383"/>
      <c r="K12" s="384"/>
    </row>
    <row r="13" spans="1:14" x14ac:dyDescent="0.2">
      <c r="A13" s="382"/>
      <c r="B13" s="383"/>
      <c r="C13" s="383"/>
      <c r="D13" s="383"/>
      <c r="E13" s="383"/>
      <c r="F13" s="383"/>
      <c r="G13" s="383"/>
      <c r="H13" s="383"/>
      <c r="I13" s="383"/>
      <c r="J13" s="383"/>
      <c r="K13" s="384"/>
    </row>
    <row r="14" spans="1:14" x14ac:dyDescent="0.2">
      <c r="A14" s="382"/>
      <c r="B14" s="383"/>
      <c r="C14" s="383"/>
      <c r="D14" s="383"/>
      <c r="E14" s="383"/>
      <c r="F14" s="383"/>
      <c r="G14" s="383"/>
      <c r="H14" s="383"/>
      <c r="I14" s="383"/>
      <c r="J14" s="383"/>
      <c r="K14" s="384"/>
    </row>
    <row r="15" spans="1:14" x14ac:dyDescent="0.2">
      <c r="A15" s="382"/>
      <c r="B15" s="383"/>
      <c r="C15" s="383"/>
      <c r="D15" s="383"/>
      <c r="E15" s="383"/>
      <c r="F15" s="383"/>
      <c r="G15" s="383"/>
      <c r="H15" s="383"/>
      <c r="I15" s="383"/>
      <c r="J15" s="383"/>
      <c r="K15" s="384"/>
    </row>
    <row r="16" spans="1:14" x14ac:dyDescent="0.2">
      <c r="A16" s="382"/>
      <c r="B16" s="383"/>
      <c r="C16" s="383"/>
      <c r="D16" s="383"/>
      <c r="E16" s="383"/>
      <c r="F16" s="383"/>
      <c r="G16" s="383"/>
      <c r="H16" s="383"/>
      <c r="I16" s="383"/>
      <c r="J16" s="383"/>
      <c r="K16" s="384"/>
    </row>
    <row r="17" spans="1:11" x14ac:dyDescent="0.2">
      <c r="A17" s="382"/>
      <c r="B17" s="383"/>
      <c r="C17" s="383"/>
      <c r="D17" s="383"/>
      <c r="E17" s="383"/>
      <c r="F17" s="383"/>
      <c r="G17" s="383"/>
      <c r="H17" s="383"/>
      <c r="I17" s="383"/>
      <c r="J17" s="383"/>
      <c r="K17" s="384"/>
    </row>
    <row r="18" spans="1:11" x14ac:dyDescent="0.2">
      <c r="A18" s="382"/>
      <c r="B18" s="383"/>
      <c r="C18" s="383"/>
      <c r="D18" s="383"/>
      <c r="E18" s="383"/>
      <c r="F18" s="383"/>
      <c r="G18" s="383"/>
      <c r="H18" s="383"/>
      <c r="I18" s="383"/>
      <c r="J18" s="383"/>
      <c r="K18" s="384"/>
    </row>
    <row r="19" spans="1:11" x14ac:dyDescent="0.2">
      <c r="A19" s="382"/>
      <c r="B19" s="383"/>
      <c r="C19" s="383"/>
      <c r="D19" s="383"/>
      <c r="E19" s="383"/>
      <c r="F19" s="383"/>
      <c r="G19" s="383"/>
      <c r="H19" s="383"/>
      <c r="I19" s="383"/>
      <c r="J19" s="383"/>
      <c r="K19" s="384"/>
    </row>
    <row r="20" spans="1:11" x14ac:dyDescent="0.2">
      <c r="A20" s="382"/>
      <c r="B20" s="383"/>
      <c r="C20" s="383"/>
      <c r="D20" s="383"/>
      <c r="E20" s="383"/>
      <c r="F20" s="383"/>
      <c r="G20" s="383"/>
      <c r="H20" s="383"/>
      <c r="I20" s="383"/>
      <c r="J20" s="383"/>
      <c r="K20" s="384"/>
    </row>
    <row r="21" spans="1:11" x14ac:dyDescent="0.2">
      <c r="A21" s="382"/>
      <c r="B21" s="383"/>
      <c r="C21" s="383"/>
      <c r="D21" s="383"/>
      <c r="E21" s="383"/>
      <c r="F21" s="383"/>
      <c r="G21" s="383"/>
      <c r="H21" s="383"/>
      <c r="I21" s="383"/>
      <c r="J21" s="383"/>
      <c r="K21" s="384"/>
    </row>
    <row r="22" spans="1:11" x14ac:dyDescent="0.2">
      <c r="A22" s="382"/>
      <c r="B22" s="383"/>
      <c r="C22" s="383"/>
      <c r="D22" s="383"/>
      <c r="E22" s="383"/>
      <c r="F22" s="383"/>
      <c r="G22" s="383"/>
      <c r="H22" s="383"/>
      <c r="I22" s="383"/>
      <c r="J22" s="383"/>
      <c r="K22" s="384"/>
    </row>
    <row r="23" spans="1:11" x14ac:dyDescent="0.2">
      <c r="A23" s="382"/>
      <c r="B23" s="383"/>
      <c r="C23" s="383"/>
      <c r="D23" s="383"/>
      <c r="E23" s="383"/>
      <c r="F23" s="383"/>
      <c r="G23" s="383"/>
      <c r="H23" s="383"/>
      <c r="I23" s="383"/>
      <c r="J23" s="383"/>
      <c r="K23" s="384"/>
    </row>
    <row r="24" spans="1:11" x14ac:dyDescent="0.2">
      <c r="A24" s="385"/>
      <c r="B24" s="386"/>
      <c r="C24" s="386"/>
      <c r="D24" s="386"/>
      <c r="E24" s="386"/>
      <c r="F24" s="386"/>
      <c r="G24" s="386"/>
      <c r="H24" s="386"/>
      <c r="I24" s="386"/>
      <c r="J24" s="386"/>
      <c r="K24" s="387"/>
    </row>
    <row r="42" ht="24.75" customHeight="1" x14ac:dyDescent="0.2"/>
  </sheetData>
  <mergeCells count="4">
    <mergeCell ref="A1:B1"/>
    <mergeCell ref="C1:I1"/>
    <mergeCell ref="J1:K1"/>
    <mergeCell ref="A2:K24"/>
  </mergeCells>
  <printOptions horizontalCentered="1" verticalCentered="1"/>
  <pageMargins left="0.39370078740157483" right="0.39370078740157483" top="0.74803149606299213" bottom="0.74803149606299213" header="0.31496062992125984" footer="0.31496062992125984"/>
  <pageSetup paperSize="9" orientation="landscape" r:id="rId1"/>
  <headerFooter>
    <oddFooter xml:space="preserve">&amp;C&amp;P de &amp;N&amp;Rwww.cpavitoria06.com      
info@cpavitoria06.com      </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BP823"/>
  <sheetViews>
    <sheetView zoomScaleNormal="100" workbookViewId="0">
      <selection activeCell="F14" sqref="F14"/>
    </sheetView>
  </sheetViews>
  <sheetFormatPr baseColWidth="10" defaultRowHeight="12.75" x14ac:dyDescent="0.2"/>
  <cols>
    <col min="1" max="1" width="11.42578125" customWidth="1"/>
    <col min="2" max="2" width="13.5703125" bestFit="1" customWidth="1"/>
    <col min="3" max="3" width="15.5703125" customWidth="1"/>
    <col min="4" max="4" width="9.28515625" customWidth="1"/>
    <col min="5" max="8" width="13.5703125" customWidth="1"/>
    <col min="9" max="68" width="11.42578125" style="137"/>
  </cols>
  <sheetData>
    <row r="1" spans="1:8" ht="67.5" customHeight="1" x14ac:dyDescent="0.2">
      <c r="A1" s="444"/>
      <c r="B1" s="445"/>
      <c r="C1" s="446" t="s">
        <v>126</v>
      </c>
      <c r="D1" s="447"/>
      <c r="E1" s="447"/>
      <c r="F1" s="448"/>
      <c r="G1" s="449" t="s">
        <v>127</v>
      </c>
      <c r="H1" s="450"/>
    </row>
    <row r="2" spans="1:8" ht="15" customHeight="1" x14ac:dyDescent="0.2">
      <c r="A2" s="112" t="s">
        <v>13</v>
      </c>
      <c r="B2" s="112" t="s">
        <v>128</v>
      </c>
      <c r="C2" s="112" t="s">
        <v>129</v>
      </c>
      <c r="D2" s="112" t="s">
        <v>130</v>
      </c>
      <c r="E2" s="113" t="s">
        <v>131</v>
      </c>
      <c r="F2" s="114" t="s">
        <v>132</v>
      </c>
      <c r="G2" s="115" t="s">
        <v>133</v>
      </c>
      <c r="H2" s="115" t="s">
        <v>134</v>
      </c>
    </row>
    <row r="3" spans="1:8" ht="15" customHeight="1" x14ac:dyDescent="0.2">
      <c r="A3" s="116"/>
      <c r="B3" s="117"/>
      <c r="C3" s="118"/>
      <c r="D3" s="119"/>
      <c r="E3" s="120">
        <f>SUM(E4:E160)</f>
        <v>0</v>
      </c>
      <c r="F3" s="121">
        <f>SUM(F4:F160)</f>
        <v>0</v>
      </c>
      <c r="G3" s="122">
        <f>SUM(G4:G160)</f>
        <v>0</v>
      </c>
      <c r="H3" s="122">
        <f>SUM(E3:G3)</f>
        <v>0</v>
      </c>
    </row>
    <row r="4" spans="1:8" ht="15" customHeight="1" x14ac:dyDescent="0.2">
      <c r="A4" s="123"/>
      <c r="B4" s="123"/>
      <c r="C4" s="123"/>
      <c r="D4" s="123"/>
      <c r="E4" s="124"/>
      <c r="F4" s="124"/>
      <c r="G4" s="124"/>
      <c r="H4" s="124"/>
    </row>
    <row r="5" spans="1:8" ht="15" customHeight="1" x14ac:dyDescent="0.2">
      <c r="A5" s="124"/>
      <c r="B5" s="124"/>
      <c r="C5" s="124"/>
      <c r="D5" s="124"/>
      <c r="E5" s="124"/>
      <c r="F5" s="124"/>
      <c r="G5" s="124"/>
      <c r="H5" s="124"/>
    </row>
    <row r="6" spans="1:8" ht="15" customHeight="1" x14ac:dyDescent="0.2">
      <c r="A6" s="124"/>
      <c r="B6" s="124"/>
      <c r="C6" s="124"/>
      <c r="D6" s="124"/>
      <c r="E6" s="124"/>
      <c r="F6" s="124"/>
      <c r="G6" s="124"/>
      <c r="H6" s="124"/>
    </row>
    <row r="7" spans="1:8" ht="15" customHeight="1" x14ac:dyDescent="0.2">
      <c r="A7" s="124"/>
      <c r="B7" s="124"/>
      <c r="C7" s="124"/>
      <c r="D7" s="124"/>
      <c r="E7" s="124"/>
      <c r="F7" s="124"/>
      <c r="G7" s="124"/>
      <c r="H7" s="124"/>
    </row>
    <row r="8" spans="1:8" ht="15" customHeight="1" x14ac:dyDescent="0.2">
      <c r="A8" s="124"/>
      <c r="B8" s="124"/>
      <c r="C8" s="124"/>
      <c r="D8" s="124"/>
      <c r="E8" s="124"/>
      <c r="F8" s="124"/>
      <c r="G8" s="124"/>
      <c r="H8" s="124"/>
    </row>
    <row r="9" spans="1:8" ht="15" customHeight="1" x14ac:dyDescent="0.2">
      <c r="A9" s="124"/>
      <c r="B9" s="124"/>
      <c r="C9" s="124"/>
      <c r="D9" s="124"/>
      <c r="E9" s="124"/>
      <c r="F9" s="124"/>
      <c r="G9" s="124"/>
      <c r="H9" s="124"/>
    </row>
    <row r="10" spans="1:8" ht="15" customHeight="1" x14ac:dyDescent="0.2">
      <c r="A10" s="124"/>
      <c r="B10" s="124"/>
      <c r="C10" s="124"/>
      <c r="D10" s="124"/>
      <c r="E10" s="124"/>
      <c r="F10" s="124"/>
      <c r="G10" s="124"/>
      <c r="H10" s="124"/>
    </row>
    <row r="11" spans="1:8" ht="15" customHeight="1" x14ac:dyDescent="0.2">
      <c r="A11" s="124"/>
      <c r="B11" s="124"/>
      <c r="C11" s="124"/>
      <c r="D11" s="124"/>
      <c r="E11" s="124"/>
      <c r="F11" s="124"/>
      <c r="G11" s="124"/>
      <c r="H11" s="124"/>
    </row>
    <row r="12" spans="1:8" ht="15" customHeight="1" x14ac:dyDescent="0.2">
      <c r="A12" s="124"/>
      <c r="B12" s="124"/>
      <c r="C12" s="124"/>
      <c r="D12" s="124"/>
      <c r="E12" s="124"/>
      <c r="F12" s="124"/>
      <c r="G12" s="124"/>
      <c r="H12" s="124"/>
    </row>
    <row r="13" spans="1:8" ht="15" customHeight="1" x14ac:dyDescent="0.2">
      <c r="A13" s="124"/>
      <c r="B13" s="124"/>
      <c r="C13" s="124"/>
      <c r="D13" s="124"/>
      <c r="E13" s="124"/>
      <c r="F13" s="124"/>
      <c r="G13" s="124"/>
      <c r="H13" s="124"/>
    </row>
    <row r="14" spans="1:8" ht="15" customHeight="1" x14ac:dyDescent="0.2">
      <c r="A14" s="124"/>
      <c r="B14" s="124"/>
      <c r="C14" s="124"/>
      <c r="D14" s="124"/>
      <c r="E14" s="124"/>
      <c r="F14" s="124"/>
      <c r="G14" s="124"/>
      <c r="H14" s="124"/>
    </row>
    <row r="15" spans="1:8" ht="15" customHeight="1" x14ac:dyDescent="0.2">
      <c r="A15" s="124"/>
      <c r="B15" s="124"/>
      <c r="C15" s="124"/>
      <c r="D15" s="124"/>
      <c r="E15" s="124"/>
      <c r="F15" s="124"/>
      <c r="G15" s="124"/>
      <c r="H15" s="124"/>
    </row>
    <row r="16" spans="1:8" ht="15" customHeight="1" x14ac:dyDescent="0.2">
      <c r="A16" s="124"/>
      <c r="B16" s="124"/>
      <c r="C16" s="124"/>
      <c r="D16" s="124"/>
      <c r="E16" s="124"/>
      <c r="F16" s="124"/>
      <c r="G16" s="124"/>
      <c r="H16" s="124"/>
    </row>
    <row r="17" spans="1:8" ht="15" customHeight="1" x14ac:dyDescent="0.2">
      <c r="A17" s="124"/>
      <c r="B17" s="124"/>
      <c r="C17" s="124"/>
      <c r="D17" s="124"/>
      <c r="E17" s="124"/>
      <c r="F17" s="124"/>
      <c r="G17" s="124"/>
      <c r="H17" s="124"/>
    </row>
    <row r="18" spans="1:8" ht="15" customHeight="1" x14ac:dyDescent="0.2">
      <c r="A18" s="124"/>
      <c r="B18" s="124"/>
      <c r="C18" s="124"/>
      <c r="D18" s="124"/>
      <c r="E18" s="124"/>
      <c r="F18" s="124"/>
      <c r="G18" s="124"/>
      <c r="H18" s="124"/>
    </row>
    <row r="19" spans="1:8" ht="15" customHeight="1" x14ac:dyDescent="0.2">
      <c r="A19" s="124"/>
      <c r="B19" s="124"/>
      <c r="C19" s="124"/>
      <c r="D19" s="124"/>
      <c r="E19" s="124"/>
      <c r="F19" s="124"/>
      <c r="G19" s="124"/>
      <c r="H19" s="124"/>
    </row>
    <row r="20" spans="1:8" ht="15" customHeight="1" x14ac:dyDescent="0.2">
      <c r="A20" s="124"/>
      <c r="B20" s="124"/>
      <c r="C20" s="124"/>
      <c r="D20" s="124"/>
      <c r="E20" s="124"/>
      <c r="F20" s="124"/>
      <c r="G20" s="124"/>
      <c r="H20" s="124"/>
    </row>
    <row r="21" spans="1:8" ht="15" customHeight="1" x14ac:dyDescent="0.2">
      <c r="A21" s="124"/>
      <c r="B21" s="124"/>
      <c r="C21" s="124"/>
      <c r="D21" s="124"/>
      <c r="E21" s="124"/>
      <c r="F21" s="124"/>
      <c r="G21" s="124"/>
      <c r="H21" s="124"/>
    </row>
    <row r="22" spans="1:8" ht="15" customHeight="1" x14ac:dyDescent="0.2">
      <c r="A22" s="124"/>
      <c r="B22" s="124"/>
      <c r="C22" s="124"/>
      <c r="D22" s="124"/>
      <c r="E22" s="124"/>
      <c r="F22" s="124"/>
      <c r="G22" s="124"/>
      <c r="H22" s="124"/>
    </row>
    <row r="23" spans="1:8" ht="15" customHeight="1" x14ac:dyDescent="0.2">
      <c r="A23" s="124"/>
      <c r="B23" s="124"/>
      <c r="C23" s="124"/>
      <c r="D23" s="124"/>
      <c r="E23" s="124"/>
      <c r="F23" s="124"/>
      <c r="G23" s="124"/>
      <c r="H23" s="124"/>
    </row>
    <row r="24" spans="1:8" ht="15" customHeight="1" x14ac:dyDescent="0.2">
      <c r="A24" s="124"/>
      <c r="B24" s="124"/>
      <c r="C24" s="124"/>
      <c r="D24" s="124"/>
      <c r="E24" s="124"/>
      <c r="F24" s="124"/>
      <c r="G24" s="124"/>
      <c r="H24" s="124"/>
    </row>
    <row r="25" spans="1:8" ht="15" customHeight="1" x14ac:dyDescent="0.2">
      <c r="A25" s="124"/>
      <c r="B25" s="124"/>
      <c r="C25" s="124"/>
      <c r="D25" s="124"/>
      <c r="E25" s="124"/>
      <c r="F25" s="124"/>
      <c r="G25" s="124"/>
      <c r="H25" s="124"/>
    </row>
    <row r="26" spans="1:8" ht="15" customHeight="1" x14ac:dyDescent="0.2">
      <c r="A26" s="124"/>
      <c r="B26" s="124"/>
      <c r="C26" s="124"/>
      <c r="D26" s="124"/>
      <c r="E26" s="124"/>
      <c r="F26" s="124"/>
      <c r="G26" s="124"/>
      <c r="H26" s="124"/>
    </row>
    <row r="27" spans="1:8" ht="15" customHeight="1" x14ac:dyDescent="0.2">
      <c r="A27" s="124"/>
      <c r="B27" s="124"/>
      <c r="C27" s="124"/>
      <c r="D27" s="124"/>
      <c r="E27" s="124"/>
      <c r="F27" s="124"/>
      <c r="G27" s="124"/>
      <c r="H27" s="124"/>
    </row>
    <row r="28" spans="1:8" ht="15" customHeight="1" x14ac:dyDescent="0.2">
      <c r="A28" s="124"/>
      <c r="B28" s="124"/>
      <c r="C28" s="124"/>
      <c r="D28" s="124"/>
      <c r="E28" s="124"/>
      <c r="F28" s="124"/>
      <c r="G28" s="124"/>
      <c r="H28" s="124"/>
    </row>
    <row r="29" spans="1:8" ht="15" customHeight="1" x14ac:dyDescent="0.2">
      <c r="A29" s="124"/>
      <c r="B29" s="124"/>
      <c r="C29" s="124"/>
      <c r="D29" s="124"/>
      <c r="E29" s="124"/>
      <c r="F29" s="124"/>
      <c r="G29" s="124"/>
      <c r="H29" s="124"/>
    </row>
    <row r="30" spans="1:8" ht="15" customHeight="1" x14ac:dyDescent="0.2">
      <c r="A30" s="124"/>
      <c r="B30" s="124"/>
      <c r="C30" s="124"/>
      <c r="D30" s="124"/>
      <c r="E30" s="124"/>
      <c r="F30" s="124"/>
      <c r="G30" s="124"/>
      <c r="H30" s="124"/>
    </row>
    <row r="31" spans="1:8" s="137" customFormat="1" x14ac:dyDescent="0.2"/>
    <row r="32" spans="1:8" s="137" customFormat="1" x14ac:dyDescent="0.2"/>
    <row r="33" s="137" customFormat="1" x14ac:dyDescent="0.2"/>
    <row r="34" s="137" customFormat="1" x14ac:dyDescent="0.2"/>
    <row r="35" s="137" customFormat="1" x14ac:dyDescent="0.2"/>
    <row r="36" s="137" customFormat="1" x14ac:dyDescent="0.2"/>
    <row r="37" s="137" customFormat="1" x14ac:dyDescent="0.2"/>
    <row r="38" s="137" customFormat="1" x14ac:dyDescent="0.2"/>
    <row r="39" s="137" customFormat="1" x14ac:dyDescent="0.2"/>
    <row r="40" s="137" customFormat="1" x14ac:dyDescent="0.2"/>
    <row r="41" s="137" customFormat="1" x14ac:dyDescent="0.2"/>
    <row r="42" s="137" customFormat="1" x14ac:dyDescent="0.2"/>
    <row r="43" s="137" customFormat="1" x14ac:dyDescent="0.2"/>
    <row r="44" s="137" customFormat="1" x14ac:dyDescent="0.2"/>
    <row r="45" s="137" customFormat="1" x14ac:dyDescent="0.2"/>
    <row r="46" s="137" customFormat="1" x14ac:dyDescent="0.2"/>
    <row r="47" s="137" customFormat="1" x14ac:dyDescent="0.2"/>
    <row r="48" s="137" customFormat="1" x14ac:dyDescent="0.2"/>
    <row r="49" s="137" customFormat="1" x14ac:dyDescent="0.2"/>
    <row r="50" s="137" customFormat="1" x14ac:dyDescent="0.2"/>
    <row r="51" s="137" customFormat="1" x14ac:dyDescent="0.2"/>
    <row r="52" s="137" customFormat="1" x14ac:dyDescent="0.2"/>
    <row r="53" s="137" customFormat="1" x14ac:dyDescent="0.2"/>
    <row r="54" s="137" customFormat="1" x14ac:dyDescent="0.2"/>
    <row r="55" s="137" customFormat="1" x14ac:dyDescent="0.2"/>
    <row r="56" s="137" customFormat="1" x14ac:dyDescent="0.2"/>
    <row r="57" s="137" customFormat="1" x14ac:dyDescent="0.2"/>
    <row r="58" s="137" customFormat="1" x14ac:dyDescent="0.2"/>
    <row r="59" s="137" customFormat="1" x14ac:dyDescent="0.2"/>
    <row r="60" s="137" customFormat="1" x14ac:dyDescent="0.2"/>
    <row r="61" s="137" customFormat="1" x14ac:dyDescent="0.2"/>
    <row r="62" s="137" customFormat="1" x14ac:dyDescent="0.2"/>
    <row r="63" s="137" customFormat="1" x14ac:dyDescent="0.2"/>
    <row r="64" s="137" customFormat="1" x14ac:dyDescent="0.2"/>
    <row r="65" s="137" customFormat="1" x14ac:dyDescent="0.2"/>
    <row r="66" s="137" customFormat="1" x14ac:dyDescent="0.2"/>
    <row r="67" s="137" customFormat="1" x14ac:dyDescent="0.2"/>
    <row r="68" s="137" customFormat="1" x14ac:dyDescent="0.2"/>
    <row r="69" s="137" customFormat="1" x14ac:dyDescent="0.2"/>
    <row r="70" s="137" customFormat="1" x14ac:dyDescent="0.2"/>
    <row r="71" s="137" customFormat="1" x14ac:dyDescent="0.2"/>
    <row r="72" s="137" customFormat="1" x14ac:dyDescent="0.2"/>
    <row r="73" s="137" customFormat="1" x14ac:dyDescent="0.2"/>
    <row r="74" s="137" customFormat="1" x14ac:dyDescent="0.2"/>
    <row r="75" s="137" customFormat="1" x14ac:dyDescent="0.2"/>
    <row r="76" s="137" customFormat="1" x14ac:dyDescent="0.2"/>
    <row r="77" s="137" customFormat="1" x14ac:dyDescent="0.2"/>
    <row r="78" s="137" customFormat="1" x14ac:dyDescent="0.2"/>
    <row r="79" s="137" customFormat="1" x14ac:dyDescent="0.2"/>
    <row r="80" s="137" customFormat="1" x14ac:dyDescent="0.2"/>
    <row r="81" s="137" customFormat="1" x14ac:dyDescent="0.2"/>
    <row r="82" s="137" customFormat="1" x14ac:dyDescent="0.2"/>
    <row r="83" s="137" customFormat="1" x14ac:dyDescent="0.2"/>
    <row r="84" s="137" customFormat="1" x14ac:dyDescent="0.2"/>
    <row r="85" s="137" customFormat="1" x14ac:dyDescent="0.2"/>
    <row r="86" s="137" customFormat="1" x14ac:dyDescent="0.2"/>
    <row r="87" s="137" customFormat="1" x14ac:dyDescent="0.2"/>
    <row r="88" s="137" customFormat="1" x14ac:dyDescent="0.2"/>
    <row r="89" s="137" customFormat="1" x14ac:dyDescent="0.2"/>
    <row r="90" s="137" customFormat="1" x14ac:dyDescent="0.2"/>
    <row r="91" s="137" customFormat="1" x14ac:dyDescent="0.2"/>
    <row r="92" s="137" customFormat="1" x14ac:dyDescent="0.2"/>
    <row r="93" s="137" customFormat="1" x14ac:dyDescent="0.2"/>
    <row r="94" s="137" customFormat="1" x14ac:dyDescent="0.2"/>
    <row r="95" s="137" customFormat="1" x14ac:dyDescent="0.2"/>
    <row r="96" s="137" customFormat="1" x14ac:dyDescent="0.2"/>
    <row r="97" s="137" customFormat="1" x14ac:dyDescent="0.2"/>
    <row r="98" s="137" customFormat="1" x14ac:dyDescent="0.2"/>
    <row r="99" s="137" customFormat="1" x14ac:dyDescent="0.2"/>
    <row r="100" s="137" customFormat="1" x14ac:dyDescent="0.2"/>
    <row r="101" s="137" customFormat="1" x14ac:dyDescent="0.2"/>
    <row r="102" s="137" customFormat="1" x14ac:dyDescent="0.2"/>
    <row r="103" s="137" customFormat="1" x14ac:dyDescent="0.2"/>
    <row r="104" s="137" customFormat="1" x14ac:dyDescent="0.2"/>
    <row r="105" s="137" customFormat="1" x14ac:dyDescent="0.2"/>
    <row r="106" s="137" customFormat="1" x14ac:dyDescent="0.2"/>
    <row r="107" s="137" customFormat="1" x14ac:dyDescent="0.2"/>
    <row r="108" s="137" customFormat="1" x14ac:dyDescent="0.2"/>
    <row r="109" s="137" customFormat="1" x14ac:dyDescent="0.2"/>
    <row r="110" s="137" customFormat="1" x14ac:dyDescent="0.2"/>
    <row r="111" s="137" customFormat="1" x14ac:dyDescent="0.2"/>
    <row r="112" s="137" customFormat="1" x14ac:dyDescent="0.2"/>
    <row r="113" s="137" customFormat="1" x14ac:dyDescent="0.2"/>
    <row r="114" s="137" customFormat="1" x14ac:dyDescent="0.2"/>
    <row r="115" s="137" customFormat="1" x14ac:dyDescent="0.2"/>
    <row r="116" s="137" customFormat="1" x14ac:dyDescent="0.2"/>
    <row r="117" s="137" customFormat="1" x14ac:dyDescent="0.2"/>
    <row r="118" s="137" customFormat="1" x14ac:dyDescent="0.2"/>
    <row r="119" s="137" customFormat="1" x14ac:dyDescent="0.2"/>
    <row r="120" s="137" customFormat="1" x14ac:dyDescent="0.2"/>
    <row r="121" s="137" customFormat="1" x14ac:dyDescent="0.2"/>
    <row r="122" s="137" customFormat="1" x14ac:dyDescent="0.2"/>
    <row r="123" s="137" customFormat="1" x14ac:dyDescent="0.2"/>
    <row r="124" s="137" customFormat="1" x14ac:dyDescent="0.2"/>
    <row r="125" s="137" customFormat="1" x14ac:dyDescent="0.2"/>
    <row r="126" s="137" customFormat="1" x14ac:dyDescent="0.2"/>
    <row r="127" s="137" customFormat="1" x14ac:dyDescent="0.2"/>
    <row r="128" s="137" customFormat="1" x14ac:dyDescent="0.2"/>
    <row r="129" s="137" customFormat="1" x14ac:dyDescent="0.2"/>
    <row r="130" s="137" customFormat="1" x14ac:dyDescent="0.2"/>
    <row r="131" s="137" customFormat="1" x14ac:dyDescent="0.2"/>
    <row r="132" s="137" customFormat="1" x14ac:dyDescent="0.2"/>
    <row r="133" s="137" customFormat="1" x14ac:dyDescent="0.2"/>
    <row r="134" s="137" customFormat="1" x14ac:dyDescent="0.2"/>
    <row r="135" s="137" customFormat="1" x14ac:dyDescent="0.2"/>
    <row r="136" s="137" customFormat="1" x14ac:dyDescent="0.2"/>
    <row r="137" s="137" customFormat="1" x14ac:dyDescent="0.2"/>
    <row r="138" s="137" customFormat="1" x14ac:dyDescent="0.2"/>
    <row r="139" s="137" customFormat="1" x14ac:dyDescent="0.2"/>
    <row r="140" s="137" customFormat="1" x14ac:dyDescent="0.2"/>
    <row r="141" s="137" customFormat="1" x14ac:dyDescent="0.2"/>
    <row r="142" s="137" customFormat="1" x14ac:dyDescent="0.2"/>
    <row r="143" s="137" customFormat="1" x14ac:dyDescent="0.2"/>
    <row r="144" s="137" customFormat="1" x14ac:dyDescent="0.2"/>
    <row r="145" s="137" customFormat="1" x14ac:dyDescent="0.2"/>
    <row r="146" s="137" customFormat="1" x14ac:dyDescent="0.2"/>
    <row r="147" s="137" customFormat="1" x14ac:dyDescent="0.2"/>
    <row r="148" s="137" customFormat="1" x14ac:dyDescent="0.2"/>
    <row r="149" s="137" customFormat="1" x14ac:dyDescent="0.2"/>
    <row r="150" s="137" customFormat="1" x14ac:dyDescent="0.2"/>
    <row r="151" s="137" customFormat="1" x14ac:dyDescent="0.2"/>
    <row r="152" s="137" customFormat="1" x14ac:dyDescent="0.2"/>
    <row r="153" s="137" customFormat="1" x14ac:dyDescent="0.2"/>
    <row r="154" s="137" customFormat="1" x14ac:dyDescent="0.2"/>
    <row r="155" s="137" customFormat="1" x14ac:dyDescent="0.2"/>
    <row r="156" s="137" customFormat="1" x14ac:dyDescent="0.2"/>
    <row r="157" s="137" customFormat="1" x14ac:dyDescent="0.2"/>
    <row r="158" s="137" customFormat="1" x14ac:dyDescent="0.2"/>
    <row r="159" s="137" customFormat="1" x14ac:dyDescent="0.2"/>
    <row r="160" s="137" customFormat="1" x14ac:dyDescent="0.2"/>
    <row r="161" s="137" customFormat="1" x14ac:dyDescent="0.2"/>
    <row r="162" s="137" customFormat="1" x14ac:dyDescent="0.2"/>
    <row r="163" s="137" customFormat="1" x14ac:dyDescent="0.2"/>
    <row r="164" s="137" customFormat="1" x14ac:dyDescent="0.2"/>
    <row r="165" s="137" customFormat="1" x14ac:dyDescent="0.2"/>
    <row r="166" s="137" customFormat="1" x14ac:dyDescent="0.2"/>
    <row r="167" s="137" customFormat="1" x14ac:dyDescent="0.2"/>
    <row r="168" s="137" customFormat="1" x14ac:dyDescent="0.2"/>
    <row r="169" s="137" customFormat="1" x14ac:dyDescent="0.2"/>
    <row r="170" s="137" customFormat="1" x14ac:dyDescent="0.2"/>
    <row r="171" s="137" customFormat="1" x14ac:dyDescent="0.2"/>
    <row r="172" s="137" customFormat="1" x14ac:dyDescent="0.2"/>
    <row r="173" s="137" customFormat="1" x14ac:dyDescent="0.2"/>
    <row r="174" s="137" customFormat="1" x14ac:dyDescent="0.2"/>
    <row r="175" s="137" customFormat="1" x14ac:dyDescent="0.2"/>
    <row r="176" s="137" customFormat="1" x14ac:dyDescent="0.2"/>
    <row r="177" s="137" customFormat="1" x14ac:dyDescent="0.2"/>
    <row r="178" s="137" customFormat="1" x14ac:dyDescent="0.2"/>
    <row r="179" s="137" customFormat="1" x14ac:dyDescent="0.2"/>
    <row r="180" s="137" customFormat="1" x14ac:dyDescent="0.2"/>
    <row r="181" s="137" customFormat="1" x14ac:dyDescent="0.2"/>
    <row r="182" s="137" customFormat="1" x14ac:dyDescent="0.2"/>
    <row r="183" s="137" customFormat="1" x14ac:dyDescent="0.2"/>
    <row r="184" s="137" customFormat="1" x14ac:dyDescent="0.2"/>
    <row r="185" s="137" customFormat="1" x14ac:dyDescent="0.2"/>
    <row r="186" s="137" customFormat="1" x14ac:dyDescent="0.2"/>
    <row r="187" s="137" customFormat="1" x14ac:dyDescent="0.2"/>
    <row r="188" s="137" customFormat="1" x14ac:dyDescent="0.2"/>
    <row r="189" s="137" customFormat="1" x14ac:dyDescent="0.2"/>
    <row r="190" s="137" customFormat="1" x14ac:dyDescent="0.2"/>
    <row r="191" s="137" customFormat="1" x14ac:dyDescent="0.2"/>
    <row r="192" s="137" customFormat="1" x14ac:dyDescent="0.2"/>
    <row r="193" s="137" customFormat="1" x14ac:dyDescent="0.2"/>
    <row r="194" s="137" customFormat="1" x14ac:dyDescent="0.2"/>
    <row r="195" s="137" customFormat="1" x14ac:dyDescent="0.2"/>
    <row r="196" s="137" customFormat="1" x14ac:dyDescent="0.2"/>
    <row r="197" s="137" customFormat="1" x14ac:dyDescent="0.2"/>
    <row r="198" s="137" customFormat="1" x14ac:dyDescent="0.2"/>
    <row r="199" s="137" customFormat="1" x14ac:dyDescent="0.2"/>
    <row r="200" s="137" customFormat="1" x14ac:dyDescent="0.2"/>
    <row r="201" s="137" customFormat="1" x14ac:dyDescent="0.2"/>
    <row r="202" s="137" customFormat="1" x14ac:dyDescent="0.2"/>
    <row r="203" s="137" customFormat="1" x14ac:dyDescent="0.2"/>
    <row r="204" s="137" customFormat="1" x14ac:dyDescent="0.2"/>
    <row r="205" s="137" customFormat="1" x14ac:dyDescent="0.2"/>
    <row r="206" s="137" customFormat="1" x14ac:dyDescent="0.2"/>
    <row r="207" s="137" customFormat="1" x14ac:dyDescent="0.2"/>
    <row r="208" s="137" customFormat="1" x14ac:dyDescent="0.2"/>
    <row r="209" s="137" customFormat="1" x14ac:dyDescent="0.2"/>
    <row r="210" s="137" customFormat="1" x14ac:dyDescent="0.2"/>
    <row r="211" s="137" customFormat="1" x14ac:dyDescent="0.2"/>
    <row r="212" s="137" customFormat="1" x14ac:dyDescent="0.2"/>
    <row r="213" s="137" customFormat="1" x14ac:dyDescent="0.2"/>
    <row r="214" s="137" customFormat="1" x14ac:dyDescent="0.2"/>
    <row r="215" s="137" customFormat="1" x14ac:dyDescent="0.2"/>
    <row r="216" s="137" customFormat="1" x14ac:dyDescent="0.2"/>
    <row r="217" s="137" customFormat="1" x14ac:dyDescent="0.2"/>
    <row r="218" s="137" customFormat="1" x14ac:dyDescent="0.2"/>
    <row r="219" s="137" customFormat="1" x14ac:dyDescent="0.2"/>
    <row r="220" s="137" customFormat="1" x14ac:dyDescent="0.2"/>
    <row r="221" s="137" customFormat="1" x14ac:dyDescent="0.2"/>
    <row r="222" s="137" customFormat="1" x14ac:dyDescent="0.2"/>
    <row r="223" s="137" customFormat="1" x14ac:dyDescent="0.2"/>
    <row r="224" s="137" customFormat="1" x14ac:dyDescent="0.2"/>
    <row r="225" s="137" customFormat="1" x14ac:dyDescent="0.2"/>
    <row r="226" s="137" customFormat="1" x14ac:dyDescent="0.2"/>
    <row r="227" s="137" customFormat="1" x14ac:dyDescent="0.2"/>
    <row r="228" s="137" customFormat="1" x14ac:dyDescent="0.2"/>
    <row r="229" s="137" customFormat="1" x14ac:dyDescent="0.2"/>
    <row r="230" s="137" customFormat="1" x14ac:dyDescent="0.2"/>
    <row r="231" s="137" customFormat="1" x14ac:dyDescent="0.2"/>
    <row r="232" s="137" customFormat="1" x14ac:dyDescent="0.2"/>
    <row r="233" s="137" customFormat="1" x14ac:dyDescent="0.2"/>
    <row r="234" s="137" customFormat="1" x14ac:dyDescent="0.2"/>
    <row r="235" s="137" customFormat="1" x14ac:dyDescent="0.2"/>
    <row r="236" s="137" customFormat="1" x14ac:dyDescent="0.2"/>
    <row r="237" s="137" customFormat="1" x14ac:dyDescent="0.2"/>
    <row r="238" s="137" customFormat="1" x14ac:dyDescent="0.2"/>
    <row r="239" s="137" customFormat="1" x14ac:dyDescent="0.2"/>
    <row r="240" s="137" customFormat="1" x14ac:dyDescent="0.2"/>
    <row r="241" s="137" customFormat="1" x14ac:dyDescent="0.2"/>
    <row r="242" s="137" customFormat="1" x14ac:dyDescent="0.2"/>
    <row r="243" s="137" customFormat="1" x14ac:dyDescent="0.2"/>
    <row r="244" s="137" customFormat="1" x14ac:dyDescent="0.2"/>
    <row r="245" s="137" customFormat="1" x14ac:dyDescent="0.2"/>
    <row r="246" s="137" customFormat="1" x14ac:dyDescent="0.2"/>
    <row r="247" s="137" customFormat="1" x14ac:dyDescent="0.2"/>
    <row r="248" s="137" customFormat="1" x14ac:dyDescent="0.2"/>
    <row r="249" s="137" customFormat="1" x14ac:dyDescent="0.2"/>
    <row r="250" s="137" customFormat="1" x14ac:dyDescent="0.2"/>
    <row r="251" s="137" customFormat="1" x14ac:dyDescent="0.2"/>
    <row r="252" s="137" customFormat="1" x14ac:dyDescent="0.2"/>
    <row r="253" s="137" customFormat="1" x14ac:dyDescent="0.2"/>
    <row r="254" s="137" customFormat="1" x14ac:dyDescent="0.2"/>
    <row r="255" s="137" customFormat="1" x14ac:dyDescent="0.2"/>
    <row r="256" s="137" customFormat="1" x14ac:dyDescent="0.2"/>
    <row r="257" s="137" customFormat="1" x14ac:dyDescent="0.2"/>
    <row r="258" s="137" customFormat="1" x14ac:dyDescent="0.2"/>
    <row r="259" s="137" customFormat="1" x14ac:dyDescent="0.2"/>
    <row r="260" s="137" customFormat="1" x14ac:dyDescent="0.2"/>
    <row r="261" s="137" customFormat="1" x14ac:dyDescent="0.2"/>
    <row r="262" s="137" customFormat="1" x14ac:dyDescent="0.2"/>
    <row r="263" s="137" customFormat="1" x14ac:dyDescent="0.2"/>
    <row r="264" s="137" customFormat="1" x14ac:dyDescent="0.2"/>
    <row r="265" s="137" customFormat="1" x14ac:dyDescent="0.2"/>
    <row r="266" s="137" customFormat="1" x14ac:dyDescent="0.2"/>
    <row r="267" s="137" customFormat="1" x14ac:dyDescent="0.2"/>
    <row r="268" s="137" customFormat="1" x14ac:dyDescent="0.2"/>
    <row r="269" s="137" customFormat="1" x14ac:dyDescent="0.2"/>
    <row r="270" s="137" customFormat="1" x14ac:dyDescent="0.2"/>
    <row r="271" s="137" customFormat="1" x14ac:dyDescent="0.2"/>
    <row r="272" s="137" customFormat="1" x14ac:dyDescent="0.2"/>
    <row r="273" s="137" customFormat="1" x14ac:dyDescent="0.2"/>
    <row r="274" s="137" customFormat="1" x14ac:dyDescent="0.2"/>
    <row r="275" s="137" customFormat="1" x14ac:dyDescent="0.2"/>
    <row r="276" s="137" customFormat="1" x14ac:dyDescent="0.2"/>
    <row r="277" s="137" customFormat="1" x14ac:dyDescent="0.2"/>
    <row r="278" s="137" customFormat="1" x14ac:dyDescent="0.2"/>
    <row r="279" s="137" customFormat="1" x14ac:dyDescent="0.2"/>
    <row r="280" s="137" customFormat="1" x14ac:dyDescent="0.2"/>
    <row r="281" s="137" customFormat="1" x14ac:dyDescent="0.2"/>
    <row r="282" s="137" customFormat="1" x14ac:dyDescent="0.2"/>
    <row r="283" s="137" customFormat="1" x14ac:dyDescent="0.2"/>
    <row r="284" s="137" customFormat="1" x14ac:dyDescent="0.2"/>
    <row r="285" s="137" customFormat="1" x14ac:dyDescent="0.2"/>
    <row r="286" s="137" customFormat="1" x14ac:dyDescent="0.2"/>
    <row r="287" s="137" customFormat="1" x14ac:dyDescent="0.2"/>
    <row r="288" s="137" customFormat="1" x14ac:dyDescent="0.2"/>
    <row r="289" s="137" customFormat="1" x14ac:dyDescent="0.2"/>
    <row r="290" s="137" customFormat="1" x14ac:dyDescent="0.2"/>
    <row r="291" s="137" customFormat="1" x14ac:dyDescent="0.2"/>
    <row r="292" s="137" customFormat="1" x14ac:dyDescent="0.2"/>
    <row r="293" s="137" customFormat="1" x14ac:dyDescent="0.2"/>
    <row r="294" s="137" customFormat="1" x14ac:dyDescent="0.2"/>
    <row r="295" s="137" customFormat="1" x14ac:dyDescent="0.2"/>
    <row r="296" s="137" customFormat="1" x14ac:dyDescent="0.2"/>
    <row r="297" s="137" customFormat="1" x14ac:dyDescent="0.2"/>
    <row r="298" s="137" customFormat="1" x14ac:dyDescent="0.2"/>
    <row r="299" s="137" customFormat="1" x14ac:dyDescent="0.2"/>
    <row r="300" s="137" customFormat="1" x14ac:dyDescent="0.2"/>
    <row r="301" s="137" customFormat="1" x14ac:dyDescent="0.2"/>
    <row r="302" s="137" customFormat="1" x14ac:dyDescent="0.2"/>
    <row r="303" s="137" customFormat="1" x14ac:dyDescent="0.2"/>
    <row r="304" s="137" customFormat="1" x14ac:dyDescent="0.2"/>
    <row r="305" s="137" customFormat="1" x14ac:dyDescent="0.2"/>
    <row r="306" s="137" customFormat="1" x14ac:dyDescent="0.2"/>
    <row r="307" s="137" customFormat="1" x14ac:dyDescent="0.2"/>
    <row r="308" s="137" customFormat="1" x14ac:dyDescent="0.2"/>
    <row r="309" s="137" customFormat="1" x14ac:dyDescent="0.2"/>
    <row r="310" s="137" customFormat="1" x14ac:dyDescent="0.2"/>
    <row r="311" s="137" customFormat="1" x14ac:dyDescent="0.2"/>
    <row r="312" s="137" customFormat="1" x14ac:dyDescent="0.2"/>
    <row r="313" s="137" customFormat="1" x14ac:dyDescent="0.2"/>
    <row r="314" s="137" customFormat="1" x14ac:dyDescent="0.2"/>
    <row r="315" s="137" customFormat="1" x14ac:dyDescent="0.2"/>
    <row r="316" s="137" customFormat="1" x14ac:dyDescent="0.2"/>
    <row r="317" s="137" customFormat="1" x14ac:dyDescent="0.2"/>
    <row r="318" s="137" customFormat="1" x14ac:dyDescent="0.2"/>
    <row r="319" s="137" customFormat="1" x14ac:dyDescent="0.2"/>
    <row r="320" s="137" customFormat="1" x14ac:dyDescent="0.2"/>
    <row r="321" s="137" customFormat="1" x14ac:dyDescent="0.2"/>
    <row r="322" s="137" customFormat="1" x14ac:dyDescent="0.2"/>
    <row r="323" s="137" customFormat="1" x14ac:dyDescent="0.2"/>
    <row r="324" s="137" customFormat="1" x14ac:dyDescent="0.2"/>
    <row r="325" s="137" customFormat="1" x14ac:dyDescent="0.2"/>
    <row r="326" s="137" customFormat="1" x14ac:dyDescent="0.2"/>
    <row r="327" s="137" customFormat="1" x14ac:dyDescent="0.2"/>
    <row r="328" s="137" customFormat="1" x14ac:dyDescent="0.2"/>
    <row r="329" s="137" customFormat="1" x14ac:dyDescent="0.2"/>
    <row r="330" s="137" customFormat="1" x14ac:dyDescent="0.2"/>
    <row r="331" s="137" customFormat="1" x14ac:dyDescent="0.2"/>
    <row r="332" s="137" customFormat="1" x14ac:dyDescent="0.2"/>
    <row r="333" s="137" customFormat="1" x14ac:dyDescent="0.2"/>
    <row r="334" s="137" customFormat="1" x14ac:dyDescent="0.2"/>
    <row r="335" s="137" customFormat="1" x14ac:dyDescent="0.2"/>
    <row r="336" s="137" customFormat="1" x14ac:dyDescent="0.2"/>
    <row r="337" s="137" customFormat="1" x14ac:dyDescent="0.2"/>
    <row r="338" s="137" customFormat="1" x14ac:dyDescent="0.2"/>
    <row r="339" s="137" customFormat="1" x14ac:dyDescent="0.2"/>
    <row r="340" s="137" customFormat="1" x14ac:dyDescent="0.2"/>
    <row r="341" s="137" customFormat="1" x14ac:dyDescent="0.2"/>
    <row r="342" s="137" customFormat="1" x14ac:dyDescent="0.2"/>
    <row r="343" s="137" customFormat="1" x14ac:dyDescent="0.2"/>
    <row r="344" s="137" customFormat="1" x14ac:dyDescent="0.2"/>
    <row r="345" s="137" customFormat="1" x14ac:dyDescent="0.2"/>
    <row r="346" s="137" customFormat="1" x14ac:dyDescent="0.2"/>
    <row r="347" s="137" customFormat="1" x14ac:dyDescent="0.2"/>
    <row r="348" s="137" customFormat="1" x14ac:dyDescent="0.2"/>
    <row r="349" s="137" customFormat="1" x14ac:dyDescent="0.2"/>
    <row r="350" s="137" customFormat="1" x14ac:dyDescent="0.2"/>
    <row r="351" s="137" customFormat="1" x14ac:dyDescent="0.2"/>
    <row r="352" s="137" customFormat="1" x14ac:dyDescent="0.2"/>
    <row r="353" s="137" customFormat="1" x14ac:dyDescent="0.2"/>
    <row r="354" s="137" customFormat="1" x14ac:dyDescent="0.2"/>
    <row r="355" s="137" customFormat="1" x14ac:dyDescent="0.2"/>
    <row r="356" s="137" customFormat="1" x14ac:dyDescent="0.2"/>
    <row r="357" s="137" customFormat="1" x14ac:dyDescent="0.2"/>
    <row r="358" s="137" customFormat="1" x14ac:dyDescent="0.2"/>
    <row r="359" s="137" customFormat="1" x14ac:dyDescent="0.2"/>
    <row r="360" s="137" customFormat="1" x14ac:dyDescent="0.2"/>
    <row r="361" s="137" customFormat="1" x14ac:dyDescent="0.2"/>
    <row r="362" s="137" customFormat="1" x14ac:dyDescent="0.2"/>
    <row r="363" s="137" customFormat="1" x14ac:dyDescent="0.2"/>
    <row r="364" s="137" customFormat="1" x14ac:dyDescent="0.2"/>
    <row r="365" s="137" customFormat="1" x14ac:dyDescent="0.2"/>
    <row r="366" s="137" customFormat="1" x14ac:dyDescent="0.2"/>
    <row r="367" s="137" customFormat="1" x14ac:dyDescent="0.2"/>
    <row r="368" s="137" customFormat="1" x14ac:dyDescent="0.2"/>
    <row r="369" s="137" customFormat="1" x14ac:dyDescent="0.2"/>
    <row r="370" s="137" customFormat="1" x14ac:dyDescent="0.2"/>
    <row r="371" s="137" customFormat="1" x14ac:dyDescent="0.2"/>
    <row r="372" s="137" customFormat="1" x14ac:dyDescent="0.2"/>
    <row r="373" s="137" customFormat="1" x14ac:dyDescent="0.2"/>
    <row r="374" s="137" customFormat="1" x14ac:dyDescent="0.2"/>
    <row r="375" s="137" customFormat="1" x14ac:dyDescent="0.2"/>
    <row r="376" s="137" customFormat="1" x14ac:dyDescent="0.2"/>
    <row r="377" s="137" customFormat="1" x14ac:dyDescent="0.2"/>
    <row r="378" s="137" customFormat="1" x14ac:dyDescent="0.2"/>
    <row r="379" s="137" customFormat="1" x14ac:dyDescent="0.2"/>
    <row r="380" s="137" customFormat="1" x14ac:dyDescent="0.2"/>
    <row r="381" s="137" customFormat="1" x14ac:dyDescent="0.2"/>
    <row r="382" s="137" customFormat="1" x14ac:dyDescent="0.2"/>
    <row r="383" s="137" customFormat="1" x14ac:dyDescent="0.2"/>
    <row r="384" s="137" customFormat="1" x14ac:dyDescent="0.2"/>
    <row r="385" s="137" customFormat="1" x14ac:dyDescent="0.2"/>
    <row r="386" s="137" customFormat="1" x14ac:dyDescent="0.2"/>
    <row r="387" s="137" customFormat="1" x14ac:dyDescent="0.2"/>
    <row r="388" s="137" customFormat="1" x14ac:dyDescent="0.2"/>
    <row r="389" s="137" customFormat="1" x14ac:dyDescent="0.2"/>
    <row r="390" s="137" customFormat="1" x14ac:dyDescent="0.2"/>
    <row r="391" s="137" customFormat="1" x14ac:dyDescent="0.2"/>
    <row r="392" s="137" customFormat="1" x14ac:dyDescent="0.2"/>
    <row r="393" s="137" customFormat="1" x14ac:dyDescent="0.2"/>
    <row r="394" s="137" customFormat="1" x14ac:dyDescent="0.2"/>
    <row r="395" s="137" customFormat="1" x14ac:dyDescent="0.2"/>
    <row r="396" s="137" customFormat="1" x14ac:dyDescent="0.2"/>
    <row r="397" s="137" customFormat="1" x14ac:dyDescent="0.2"/>
    <row r="398" s="137" customFormat="1" x14ac:dyDescent="0.2"/>
    <row r="399" s="137" customFormat="1" x14ac:dyDescent="0.2"/>
    <row r="400" s="137" customFormat="1" x14ac:dyDescent="0.2"/>
    <row r="401" s="137" customFormat="1" x14ac:dyDescent="0.2"/>
    <row r="402" s="137" customFormat="1" x14ac:dyDescent="0.2"/>
    <row r="403" s="137" customFormat="1" x14ac:dyDescent="0.2"/>
    <row r="404" s="137" customFormat="1" x14ac:dyDescent="0.2"/>
    <row r="405" s="137" customFormat="1" x14ac:dyDescent="0.2"/>
    <row r="406" s="137" customFormat="1" x14ac:dyDescent="0.2"/>
    <row r="407" s="137" customFormat="1" x14ac:dyDescent="0.2"/>
    <row r="408" s="137" customFormat="1" x14ac:dyDescent="0.2"/>
    <row r="409" s="137" customFormat="1" x14ac:dyDescent="0.2"/>
    <row r="410" s="137" customFormat="1" x14ac:dyDescent="0.2"/>
    <row r="411" s="137" customFormat="1" x14ac:dyDescent="0.2"/>
    <row r="412" s="137" customFormat="1" x14ac:dyDescent="0.2"/>
    <row r="413" s="137" customFormat="1" x14ac:dyDescent="0.2"/>
    <row r="414" s="137" customFormat="1" x14ac:dyDescent="0.2"/>
    <row r="415" s="137" customFormat="1" x14ac:dyDescent="0.2"/>
    <row r="416" s="137" customFormat="1" x14ac:dyDescent="0.2"/>
    <row r="417" s="137" customFormat="1" x14ac:dyDescent="0.2"/>
    <row r="418" s="137" customFormat="1" x14ac:dyDescent="0.2"/>
    <row r="419" s="137" customFormat="1" x14ac:dyDescent="0.2"/>
    <row r="420" s="137" customFormat="1" x14ac:dyDescent="0.2"/>
    <row r="421" s="137" customFormat="1" x14ac:dyDescent="0.2"/>
    <row r="422" s="137" customFormat="1" x14ac:dyDescent="0.2"/>
    <row r="423" s="137" customFormat="1" x14ac:dyDescent="0.2"/>
    <row r="424" s="137" customFormat="1" x14ac:dyDescent="0.2"/>
    <row r="425" s="137" customFormat="1" x14ac:dyDescent="0.2"/>
    <row r="426" s="137" customFormat="1" x14ac:dyDescent="0.2"/>
    <row r="427" s="137" customFormat="1" x14ac:dyDescent="0.2"/>
    <row r="428" s="137" customFormat="1" x14ac:dyDescent="0.2"/>
    <row r="429" s="137" customFormat="1" x14ac:dyDescent="0.2"/>
    <row r="430" s="137" customFormat="1" x14ac:dyDescent="0.2"/>
    <row r="431" s="137" customFormat="1" x14ac:dyDescent="0.2"/>
    <row r="432" s="137" customFormat="1" x14ac:dyDescent="0.2"/>
    <row r="433" s="137" customFormat="1" x14ac:dyDescent="0.2"/>
    <row r="434" s="137" customFormat="1" x14ac:dyDescent="0.2"/>
    <row r="435" s="137" customFormat="1" x14ac:dyDescent="0.2"/>
    <row r="436" s="137" customFormat="1" x14ac:dyDescent="0.2"/>
    <row r="437" s="137" customFormat="1" x14ac:dyDescent="0.2"/>
    <row r="438" s="137" customFormat="1" x14ac:dyDescent="0.2"/>
    <row r="439" s="137" customFormat="1" x14ac:dyDescent="0.2"/>
    <row r="440" s="137" customFormat="1" x14ac:dyDescent="0.2"/>
    <row r="441" s="137" customFormat="1" x14ac:dyDescent="0.2"/>
    <row r="442" s="137" customFormat="1" x14ac:dyDescent="0.2"/>
    <row r="443" s="137" customFormat="1" x14ac:dyDescent="0.2"/>
    <row r="444" s="137" customFormat="1" x14ac:dyDescent="0.2"/>
    <row r="445" s="137" customFormat="1" x14ac:dyDescent="0.2"/>
    <row r="446" s="137" customFormat="1" x14ac:dyDescent="0.2"/>
    <row r="447" s="137" customFormat="1" x14ac:dyDescent="0.2"/>
    <row r="448" s="137" customFormat="1" x14ac:dyDescent="0.2"/>
    <row r="449" s="137" customFormat="1" x14ac:dyDescent="0.2"/>
    <row r="450" s="137" customFormat="1" x14ac:dyDescent="0.2"/>
    <row r="451" s="137" customFormat="1" x14ac:dyDescent="0.2"/>
    <row r="452" s="137" customFormat="1" x14ac:dyDescent="0.2"/>
    <row r="453" s="137" customFormat="1" x14ac:dyDescent="0.2"/>
    <row r="454" s="137" customFormat="1" x14ac:dyDescent="0.2"/>
    <row r="455" s="137" customFormat="1" x14ac:dyDescent="0.2"/>
    <row r="456" s="137" customFormat="1" x14ac:dyDescent="0.2"/>
    <row r="457" s="137" customFormat="1" x14ac:dyDescent="0.2"/>
    <row r="458" s="137" customFormat="1" x14ac:dyDescent="0.2"/>
    <row r="459" s="137" customFormat="1" x14ac:dyDescent="0.2"/>
    <row r="460" s="137" customFormat="1" x14ac:dyDescent="0.2"/>
    <row r="461" s="137" customFormat="1" x14ac:dyDescent="0.2"/>
    <row r="462" s="137" customFormat="1" x14ac:dyDescent="0.2"/>
    <row r="463" s="137" customFormat="1" x14ac:dyDescent="0.2"/>
    <row r="464" s="137" customFormat="1" x14ac:dyDescent="0.2"/>
    <row r="465" s="137" customFormat="1" x14ac:dyDescent="0.2"/>
    <row r="466" s="137" customFormat="1" x14ac:dyDescent="0.2"/>
    <row r="467" s="137" customFormat="1" x14ac:dyDescent="0.2"/>
    <row r="468" s="137" customFormat="1" x14ac:dyDescent="0.2"/>
    <row r="469" s="137" customFormat="1" x14ac:dyDescent="0.2"/>
    <row r="470" s="137" customFormat="1" x14ac:dyDescent="0.2"/>
    <row r="471" s="137" customFormat="1" x14ac:dyDescent="0.2"/>
    <row r="472" s="137" customFormat="1" x14ac:dyDescent="0.2"/>
    <row r="473" s="137" customFormat="1" x14ac:dyDescent="0.2"/>
    <row r="474" s="137" customFormat="1" x14ac:dyDescent="0.2"/>
    <row r="475" s="137" customFormat="1" x14ac:dyDescent="0.2"/>
    <row r="476" s="137" customFormat="1" x14ac:dyDescent="0.2"/>
    <row r="477" s="137" customFormat="1" x14ac:dyDescent="0.2"/>
    <row r="478" s="137" customFormat="1" x14ac:dyDescent="0.2"/>
    <row r="479" s="137" customFormat="1" x14ac:dyDescent="0.2"/>
    <row r="480" s="137" customFormat="1" x14ac:dyDescent="0.2"/>
    <row r="481" s="137" customFormat="1" x14ac:dyDescent="0.2"/>
    <row r="482" s="137" customFormat="1" x14ac:dyDescent="0.2"/>
    <row r="483" s="137" customFormat="1" x14ac:dyDescent="0.2"/>
    <row r="484" s="137" customFormat="1" x14ac:dyDescent="0.2"/>
    <row r="485" s="137" customFormat="1" x14ac:dyDescent="0.2"/>
    <row r="486" s="137" customFormat="1" x14ac:dyDescent="0.2"/>
    <row r="487" s="137" customFormat="1" x14ac:dyDescent="0.2"/>
    <row r="488" s="137" customFormat="1" x14ac:dyDescent="0.2"/>
    <row r="489" s="137" customFormat="1" x14ac:dyDescent="0.2"/>
    <row r="490" s="137" customFormat="1" x14ac:dyDescent="0.2"/>
    <row r="491" s="137" customFormat="1" x14ac:dyDescent="0.2"/>
    <row r="492" s="137" customFormat="1" x14ac:dyDescent="0.2"/>
    <row r="493" s="137" customFormat="1" x14ac:dyDescent="0.2"/>
    <row r="494" s="137" customFormat="1" x14ac:dyDescent="0.2"/>
    <row r="495" s="137" customFormat="1" x14ac:dyDescent="0.2"/>
    <row r="496" s="137" customFormat="1" x14ac:dyDescent="0.2"/>
    <row r="497" s="137" customFormat="1" x14ac:dyDescent="0.2"/>
    <row r="498" s="137" customFormat="1" x14ac:dyDescent="0.2"/>
    <row r="499" s="137" customFormat="1" x14ac:dyDescent="0.2"/>
    <row r="500" s="137" customFormat="1" x14ac:dyDescent="0.2"/>
    <row r="501" s="137" customFormat="1" x14ac:dyDescent="0.2"/>
    <row r="502" s="137" customFormat="1" x14ac:dyDescent="0.2"/>
    <row r="503" s="137" customFormat="1" x14ac:dyDescent="0.2"/>
    <row r="504" s="137" customFormat="1" x14ac:dyDescent="0.2"/>
    <row r="505" s="137" customFormat="1" x14ac:dyDescent="0.2"/>
    <row r="506" s="137" customFormat="1" x14ac:dyDescent="0.2"/>
    <row r="507" s="137" customFormat="1" x14ac:dyDescent="0.2"/>
    <row r="508" s="137" customFormat="1" x14ac:dyDescent="0.2"/>
    <row r="509" s="137" customFormat="1" x14ac:dyDescent="0.2"/>
    <row r="510" s="137" customFormat="1" x14ac:dyDescent="0.2"/>
    <row r="511" s="137" customFormat="1" x14ac:dyDescent="0.2"/>
    <row r="512" s="137" customFormat="1" x14ac:dyDescent="0.2"/>
    <row r="513" s="137" customFormat="1" x14ac:dyDescent="0.2"/>
    <row r="514" s="137" customFormat="1" x14ac:dyDescent="0.2"/>
    <row r="515" s="137" customFormat="1" x14ac:dyDescent="0.2"/>
    <row r="516" s="137" customFormat="1" x14ac:dyDescent="0.2"/>
    <row r="517" s="137" customFormat="1" x14ac:dyDescent="0.2"/>
    <row r="518" s="137" customFormat="1" x14ac:dyDescent="0.2"/>
    <row r="519" s="137" customFormat="1" x14ac:dyDescent="0.2"/>
    <row r="520" s="137" customFormat="1" x14ac:dyDescent="0.2"/>
    <row r="521" s="137" customFormat="1" x14ac:dyDescent="0.2"/>
    <row r="522" s="137" customFormat="1" x14ac:dyDescent="0.2"/>
    <row r="523" s="137" customFormat="1" x14ac:dyDescent="0.2"/>
    <row r="524" s="137" customFormat="1" x14ac:dyDescent="0.2"/>
    <row r="525" s="137" customFormat="1" x14ac:dyDescent="0.2"/>
    <row r="526" s="137" customFormat="1" x14ac:dyDescent="0.2"/>
    <row r="527" s="137" customFormat="1" x14ac:dyDescent="0.2"/>
    <row r="528" s="137" customFormat="1" x14ac:dyDescent="0.2"/>
    <row r="529" s="137" customFormat="1" x14ac:dyDescent="0.2"/>
    <row r="530" s="137" customFormat="1" x14ac:dyDescent="0.2"/>
    <row r="531" s="137" customFormat="1" x14ac:dyDescent="0.2"/>
    <row r="532" s="137" customFormat="1" x14ac:dyDescent="0.2"/>
    <row r="533" s="137" customFormat="1" x14ac:dyDescent="0.2"/>
    <row r="534" s="137" customFormat="1" x14ac:dyDescent="0.2"/>
    <row r="535" s="137" customFormat="1" x14ac:dyDescent="0.2"/>
    <row r="536" s="137" customFormat="1" x14ac:dyDescent="0.2"/>
    <row r="537" s="137" customFormat="1" x14ac:dyDescent="0.2"/>
    <row r="538" s="137" customFormat="1" x14ac:dyDescent="0.2"/>
    <row r="539" s="137" customFormat="1" x14ac:dyDescent="0.2"/>
    <row r="540" s="137" customFormat="1" x14ac:dyDescent="0.2"/>
    <row r="541" s="137" customFormat="1" x14ac:dyDescent="0.2"/>
    <row r="542" s="137" customFormat="1" x14ac:dyDescent="0.2"/>
    <row r="543" s="137" customFormat="1" x14ac:dyDescent="0.2"/>
    <row r="544" s="137" customFormat="1" x14ac:dyDescent="0.2"/>
    <row r="545" s="137" customFormat="1" x14ac:dyDescent="0.2"/>
    <row r="546" s="137" customFormat="1" x14ac:dyDescent="0.2"/>
    <row r="547" s="137" customFormat="1" x14ac:dyDescent="0.2"/>
    <row r="548" s="137" customFormat="1" x14ac:dyDescent="0.2"/>
    <row r="549" s="137" customFormat="1" x14ac:dyDescent="0.2"/>
    <row r="550" s="137" customFormat="1" x14ac:dyDescent="0.2"/>
    <row r="551" s="137" customFormat="1" x14ac:dyDescent="0.2"/>
    <row r="552" s="137" customFormat="1" x14ac:dyDescent="0.2"/>
    <row r="553" s="137" customFormat="1" x14ac:dyDescent="0.2"/>
    <row r="554" s="137" customFormat="1" x14ac:dyDescent="0.2"/>
    <row r="555" s="137" customFormat="1" x14ac:dyDescent="0.2"/>
    <row r="556" s="137" customFormat="1" x14ac:dyDescent="0.2"/>
    <row r="557" s="137" customFormat="1" x14ac:dyDescent="0.2"/>
    <row r="558" s="137" customFormat="1" x14ac:dyDescent="0.2"/>
    <row r="559" s="137" customFormat="1" x14ac:dyDescent="0.2"/>
    <row r="560" s="137" customFormat="1" x14ac:dyDescent="0.2"/>
    <row r="561" s="137" customFormat="1" x14ac:dyDescent="0.2"/>
    <row r="562" s="137" customFormat="1" x14ac:dyDescent="0.2"/>
    <row r="563" s="137" customFormat="1" x14ac:dyDescent="0.2"/>
    <row r="564" s="137" customFormat="1" x14ac:dyDescent="0.2"/>
    <row r="565" s="137" customFormat="1" x14ac:dyDescent="0.2"/>
    <row r="566" s="137" customFormat="1" x14ac:dyDescent="0.2"/>
    <row r="567" s="137" customFormat="1" x14ac:dyDescent="0.2"/>
    <row r="568" s="137" customFormat="1" x14ac:dyDescent="0.2"/>
    <row r="569" s="137" customFormat="1" x14ac:dyDescent="0.2"/>
    <row r="570" s="137" customFormat="1" x14ac:dyDescent="0.2"/>
    <row r="571" s="137" customFormat="1" x14ac:dyDescent="0.2"/>
    <row r="572" s="137" customFormat="1" x14ac:dyDescent="0.2"/>
    <row r="573" s="137" customFormat="1" x14ac:dyDescent="0.2"/>
    <row r="574" s="137" customFormat="1" x14ac:dyDescent="0.2"/>
    <row r="575" s="137" customFormat="1" x14ac:dyDescent="0.2"/>
    <row r="576" s="137" customFormat="1" x14ac:dyDescent="0.2"/>
    <row r="577" s="137" customFormat="1" x14ac:dyDescent="0.2"/>
    <row r="578" s="137" customFormat="1" x14ac:dyDescent="0.2"/>
    <row r="579" s="137" customFormat="1" x14ac:dyDescent="0.2"/>
    <row r="580" s="137" customFormat="1" x14ac:dyDescent="0.2"/>
    <row r="581" s="137" customFormat="1" x14ac:dyDescent="0.2"/>
    <row r="582" s="137" customFormat="1" x14ac:dyDescent="0.2"/>
    <row r="583" s="137" customFormat="1" x14ac:dyDescent="0.2"/>
    <row r="584" s="137" customFormat="1" x14ac:dyDescent="0.2"/>
    <row r="585" s="137" customFormat="1" x14ac:dyDescent="0.2"/>
    <row r="586" s="137" customFormat="1" x14ac:dyDescent="0.2"/>
    <row r="587" s="137" customFormat="1" x14ac:dyDescent="0.2"/>
    <row r="588" s="137" customFormat="1" x14ac:dyDescent="0.2"/>
    <row r="589" s="137" customFormat="1" x14ac:dyDescent="0.2"/>
    <row r="590" s="137" customFormat="1" x14ac:dyDescent="0.2"/>
    <row r="591" s="137" customFormat="1" x14ac:dyDescent="0.2"/>
    <row r="592" s="137" customFormat="1" x14ac:dyDescent="0.2"/>
    <row r="593" s="137" customFormat="1" x14ac:dyDescent="0.2"/>
    <row r="594" s="137" customFormat="1" x14ac:dyDescent="0.2"/>
    <row r="595" s="137" customFormat="1" x14ac:dyDescent="0.2"/>
    <row r="596" s="137" customFormat="1" x14ac:dyDescent="0.2"/>
    <row r="597" s="137" customFormat="1" x14ac:dyDescent="0.2"/>
    <row r="598" s="137" customFormat="1" x14ac:dyDescent="0.2"/>
    <row r="599" s="137" customFormat="1" x14ac:dyDescent="0.2"/>
    <row r="600" s="137" customFormat="1" x14ac:dyDescent="0.2"/>
    <row r="601" s="137" customFormat="1" x14ac:dyDescent="0.2"/>
    <row r="602" s="137" customFormat="1" x14ac:dyDescent="0.2"/>
    <row r="603" s="137" customFormat="1" x14ac:dyDescent="0.2"/>
    <row r="604" s="137" customFormat="1" x14ac:dyDescent="0.2"/>
    <row r="605" s="137" customFormat="1" x14ac:dyDescent="0.2"/>
    <row r="606" s="137" customFormat="1" x14ac:dyDescent="0.2"/>
    <row r="607" s="137" customFormat="1" x14ac:dyDescent="0.2"/>
    <row r="608" s="137" customFormat="1" x14ac:dyDescent="0.2"/>
    <row r="609" s="137" customFormat="1" x14ac:dyDescent="0.2"/>
    <row r="610" s="137" customFormat="1" x14ac:dyDescent="0.2"/>
    <row r="611" s="137" customFormat="1" x14ac:dyDescent="0.2"/>
    <row r="612" s="137" customFormat="1" x14ac:dyDescent="0.2"/>
    <row r="613" s="137" customFormat="1" x14ac:dyDescent="0.2"/>
    <row r="614" s="137" customFormat="1" x14ac:dyDescent="0.2"/>
    <row r="615" s="137" customFormat="1" x14ac:dyDescent="0.2"/>
    <row r="616" s="137" customFormat="1" x14ac:dyDescent="0.2"/>
    <row r="617" s="137" customFormat="1" x14ac:dyDescent="0.2"/>
    <row r="618" s="137" customFormat="1" x14ac:dyDescent="0.2"/>
    <row r="619" s="137" customFormat="1" x14ac:dyDescent="0.2"/>
    <row r="620" s="137" customFormat="1" x14ac:dyDescent="0.2"/>
    <row r="621" s="137" customFormat="1" x14ac:dyDescent="0.2"/>
    <row r="622" s="137" customFormat="1" x14ac:dyDescent="0.2"/>
    <row r="623" s="137" customFormat="1" x14ac:dyDescent="0.2"/>
    <row r="624" s="137" customFormat="1" x14ac:dyDescent="0.2"/>
    <row r="625" s="137" customFormat="1" x14ac:dyDescent="0.2"/>
    <row r="626" s="137" customFormat="1" x14ac:dyDescent="0.2"/>
    <row r="627" s="137" customFormat="1" x14ac:dyDescent="0.2"/>
    <row r="628" s="137" customFormat="1" x14ac:dyDescent="0.2"/>
    <row r="629" s="137" customFormat="1" x14ac:dyDescent="0.2"/>
    <row r="630" s="137" customFormat="1" x14ac:dyDescent="0.2"/>
    <row r="631" s="137" customFormat="1" x14ac:dyDescent="0.2"/>
    <row r="632" s="137" customFormat="1" x14ac:dyDescent="0.2"/>
    <row r="633" s="137" customFormat="1" x14ac:dyDescent="0.2"/>
    <row r="634" s="137" customFormat="1" x14ac:dyDescent="0.2"/>
    <row r="635" s="137" customFormat="1" x14ac:dyDescent="0.2"/>
    <row r="636" s="137" customFormat="1" x14ac:dyDescent="0.2"/>
    <row r="637" s="137" customFormat="1" x14ac:dyDescent="0.2"/>
    <row r="638" s="137" customFormat="1" x14ac:dyDescent="0.2"/>
    <row r="639" s="137" customFormat="1" x14ac:dyDescent="0.2"/>
    <row r="640" s="137" customFormat="1" x14ac:dyDescent="0.2"/>
    <row r="641" s="137" customFormat="1" x14ac:dyDescent="0.2"/>
    <row r="642" s="137" customFormat="1" x14ac:dyDescent="0.2"/>
    <row r="643" s="137" customFormat="1" x14ac:dyDescent="0.2"/>
    <row r="644" s="137" customFormat="1" x14ac:dyDescent="0.2"/>
    <row r="645" s="137" customFormat="1" x14ac:dyDescent="0.2"/>
    <row r="646" s="137" customFormat="1" x14ac:dyDescent="0.2"/>
    <row r="647" s="137" customFormat="1" x14ac:dyDescent="0.2"/>
    <row r="648" s="137" customFormat="1" x14ac:dyDescent="0.2"/>
    <row r="649" s="137" customFormat="1" x14ac:dyDescent="0.2"/>
    <row r="650" s="137" customFormat="1" x14ac:dyDescent="0.2"/>
    <row r="651" s="137" customFormat="1" x14ac:dyDescent="0.2"/>
    <row r="652" s="137" customFormat="1" x14ac:dyDescent="0.2"/>
    <row r="653" s="137" customFormat="1" x14ac:dyDescent="0.2"/>
    <row r="654" s="137" customFormat="1" x14ac:dyDescent="0.2"/>
    <row r="655" s="137" customFormat="1" x14ac:dyDescent="0.2"/>
    <row r="656" s="137" customFormat="1" x14ac:dyDescent="0.2"/>
    <row r="657" s="137" customFormat="1" x14ac:dyDescent="0.2"/>
    <row r="658" s="137" customFormat="1" x14ac:dyDescent="0.2"/>
    <row r="659" s="137" customFormat="1" x14ac:dyDescent="0.2"/>
    <row r="660" s="137" customFormat="1" x14ac:dyDescent="0.2"/>
    <row r="661" s="137" customFormat="1" x14ac:dyDescent="0.2"/>
    <row r="662" s="137" customFormat="1" x14ac:dyDescent="0.2"/>
    <row r="663" s="137" customFormat="1" x14ac:dyDescent="0.2"/>
    <row r="664" s="137" customFormat="1" x14ac:dyDescent="0.2"/>
    <row r="665" s="137" customFormat="1" x14ac:dyDescent="0.2"/>
    <row r="666" s="137" customFormat="1" x14ac:dyDescent="0.2"/>
    <row r="667" s="137" customFormat="1" x14ac:dyDescent="0.2"/>
    <row r="668" s="137" customFormat="1" x14ac:dyDescent="0.2"/>
    <row r="669" s="137" customFormat="1" x14ac:dyDescent="0.2"/>
    <row r="670" s="137" customFormat="1" x14ac:dyDescent="0.2"/>
    <row r="671" s="137" customFormat="1" x14ac:dyDescent="0.2"/>
    <row r="672" s="137" customFormat="1" x14ac:dyDescent="0.2"/>
    <row r="673" s="137" customFormat="1" x14ac:dyDescent="0.2"/>
    <row r="674" s="137" customFormat="1" x14ac:dyDescent="0.2"/>
    <row r="675" s="137" customFormat="1" x14ac:dyDescent="0.2"/>
    <row r="676" s="137" customFormat="1" x14ac:dyDescent="0.2"/>
    <row r="677" s="137" customFormat="1" x14ac:dyDescent="0.2"/>
    <row r="678" s="137" customFormat="1" x14ac:dyDescent="0.2"/>
    <row r="679" s="137" customFormat="1" x14ac:dyDescent="0.2"/>
    <row r="680" s="137" customFormat="1" x14ac:dyDescent="0.2"/>
    <row r="681" s="137" customFormat="1" x14ac:dyDescent="0.2"/>
    <row r="682" s="137" customFormat="1" x14ac:dyDescent="0.2"/>
    <row r="683" s="137" customFormat="1" x14ac:dyDescent="0.2"/>
    <row r="684" s="137" customFormat="1" x14ac:dyDescent="0.2"/>
    <row r="685" s="137" customFormat="1" x14ac:dyDescent="0.2"/>
    <row r="686" s="137" customFormat="1" x14ac:dyDescent="0.2"/>
    <row r="687" s="137" customFormat="1" x14ac:dyDescent="0.2"/>
    <row r="688" s="137" customFormat="1" x14ac:dyDescent="0.2"/>
    <row r="689" s="137" customFormat="1" x14ac:dyDescent="0.2"/>
    <row r="690" s="137" customFormat="1" x14ac:dyDescent="0.2"/>
    <row r="691" s="137" customFormat="1" x14ac:dyDescent="0.2"/>
    <row r="692" s="137" customFormat="1" x14ac:dyDescent="0.2"/>
    <row r="693" s="137" customFormat="1" x14ac:dyDescent="0.2"/>
    <row r="694" s="137" customFormat="1" x14ac:dyDescent="0.2"/>
    <row r="695" s="137" customFormat="1" x14ac:dyDescent="0.2"/>
    <row r="696" s="137" customFormat="1" x14ac:dyDescent="0.2"/>
    <row r="697" s="137" customFormat="1" x14ac:dyDescent="0.2"/>
    <row r="698" s="137" customFormat="1" x14ac:dyDescent="0.2"/>
    <row r="699" s="137" customFormat="1" x14ac:dyDescent="0.2"/>
    <row r="700" s="137" customFormat="1" x14ac:dyDescent="0.2"/>
    <row r="701" s="137" customFormat="1" x14ac:dyDescent="0.2"/>
    <row r="702" s="137" customFormat="1" x14ac:dyDescent="0.2"/>
    <row r="703" s="137" customFormat="1" x14ac:dyDescent="0.2"/>
    <row r="704" s="137" customFormat="1" x14ac:dyDescent="0.2"/>
    <row r="705" s="137" customFormat="1" x14ac:dyDescent="0.2"/>
    <row r="706" s="137" customFormat="1" x14ac:dyDescent="0.2"/>
    <row r="707" s="137" customFormat="1" x14ac:dyDescent="0.2"/>
    <row r="708" s="137" customFormat="1" x14ac:dyDescent="0.2"/>
    <row r="709" s="137" customFormat="1" x14ac:dyDescent="0.2"/>
    <row r="710" s="137" customFormat="1" x14ac:dyDescent="0.2"/>
    <row r="711" s="137" customFormat="1" x14ac:dyDescent="0.2"/>
    <row r="712" s="137" customFormat="1" x14ac:dyDescent="0.2"/>
    <row r="713" s="137" customFormat="1" x14ac:dyDescent="0.2"/>
    <row r="714" s="137" customFormat="1" x14ac:dyDescent="0.2"/>
    <row r="715" s="137" customFormat="1" x14ac:dyDescent="0.2"/>
    <row r="716" s="137" customFormat="1" x14ac:dyDescent="0.2"/>
    <row r="717" s="137" customFormat="1" x14ac:dyDescent="0.2"/>
    <row r="718" s="137" customFormat="1" x14ac:dyDescent="0.2"/>
    <row r="719" s="137" customFormat="1" x14ac:dyDescent="0.2"/>
    <row r="720" s="137" customFormat="1" x14ac:dyDescent="0.2"/>
    <row r="721" s="137" customFormat="1" x14ac:dyDescent="0.2"/>
    <row r="722" s="137" customFormat="1" x14ac:dyDescent="0.2"/>
    <row r="723" s="137" customFormat="1" x14ac:dyDescent="0.2"/>
    <row r="724" s="137" customFormat="1" x14ac:dyDescent="0.2"/>
    <row r="725" s="137" customFormat="1" x14ac:dyDescent="0.2"/>
    <row r="726" s="137" customFormat="1" x14ac:dyDescent="0.2"/>
    <row r="727" s="137" customFormat="1" x14ac:dyDescent="0.2"/>
    <row r="728" s="137" customFormat="1" x14ac:dyDescent="0.2"/>
    <row r="729" s="137" customFormat="1" x14ac:dyDescent="0.2"/>
    <row r="730" s="137" customFormat="1" x14ac:dyDescent="0.2"/>
    <row r="731" s="137" customFormat="1" x14ac:dyDescent="0.2"/>
    <row r="732" s="137" customFormat="1" x14ac:dyDescent="0.2"/>
    <row r="733" s="137" customFormat="1" x14ac:dyDescent="0.2"/>
    <row r="734" s="137" customFormat="1" x14ac:dyDescent="0.2"/>
    <row r="735" s="137" customFormat="1" x14ac:dyDescent="0.2"/>
    <row r="736" s="137" customFormat="1" x14ac:dyDescent="0.2"/>
    <row r="737" s="137" customFormat="1" x14ac:dyDescent="0.2"/>
    <row r="738" s="137" customFormat="1" x14ac:dyDescent="0.2"/>
    <row r="739" s="137" customFormat="1" x14ac:dyDescent="0.2"/>
    <row r="740" s="137" customFormat="1" x14ac:dyDescent="0.2"/>
    <row r="741" s="137" customFormat="1" x14ac:dyDescent="0.2"/>
    <row r="742" s="137" customFormat="1" x14ac:dyDescent="0.2"/>
    <row r="743" s="137" customFormat="1" x14ac:dyDescent="0.2"/>
    <row r="744" s="137" customFormat="1" x14ac:dyDescent="0.2"/>
    <row r="745" s="137" customFormat="1" x14ac:dyDescent="0.2"/>
    <row r="746" s="137" customFormat="1" x14ac:dyDescent="0.2"/>
    <row r="747" s="137" customFormat="1" x14ac:dyDescent="0.2"/>
    <row r="748" s="137" customFormat="1" x14ac:dyDescent="0.2"/>
    <row r="749" s="137" customFormat="1" x14ac:dyDescent="0.2"/>
    <row r="750" s="137" customFormat="1" x14ac:dyDescent="0.2"/>
    <row r="751" s="137" customFormat="1" x14ac:dyDescent="0.2"/>
    <row r="752" s="137" customFormat="1" x14ac:dyDescent="0.2"/>
    <row r="753" s="137" customFormat="1" x14ac:dyDescent="0.2"/>
    <row r="754" s="137" customFormat="1" x14ac:dyDescent="0.2"/>
    <row r="755" s="137" customFormat="1" x14ac:dyDescent="0.2"/>
    <row r="756" s="137" customFormat="1" x14ac:dyDescent="0.2"/>
    <row r="757" s="137" customFormat="1" x14ac:dyDescent="0.2"/>
    <row r="758" s="137" customFormat="1" x14ac:dyDescent="0.2"/>
    <row r="759" s="137" customFormat="1" x14ac:dyDescent="0.2"/>
    <row r="760" s="137" customFormat="1" x14ac:dyDescent="0.2"/>
    <row r="761" s="137" customFormat="1" x14ac:dyDescent="0.2"/>
    <row r="762" s="137" customFormat="1" x14ac:dyDescent="0.2"/>
    <row r="763" s="137" customFormat="1" x14ac:dyDescent="0.2"/>
    <row r="764" s="137" customFormat="1" x14ac:dyDescent="0.2"/>
    <row r="765" s="137" customFormat="1" x14ac:dyDescent="0.2"/>
    <row r="766" s="137" customFormat="1" x14ac:dyDescent="0.2"/>
    <row r="767" s="137" customFormat="1" x14ac:dyDescent="0.2"/>
    <row r="768" s="137" customFormat="1" x14ac:dyDescent="0.2"/>
    <row r="769" s="137" customFormat="1" x14ac:dyDescent="0.2"/>
    <row r="770" s="137" customFormat="1" x14ac:dyDescent="0.2"/>
    <row r="771" s="137" customFormat="1" x14ac:dyDescent="0.2"/>
    <row r="772" s="137" customFormat="1" x14ac:dyDescent="0.2"/>
    <row r="773" s="137" customFormat="1" x14ac:dyDescent="0.2"/>
    <row r="774" s="137" customFormat="1" x14ac:dyDescent="0.2"/>
    <row r="775" s="137" customFormat="1" x14ac:dyDescent="0.2"/>
    <row r="776" s="137" customFormat="1" x14ac:dyDescent="0.2"/>
    <row r="777" s="137" customFormat="1" x14ac:dyDescent="0.2"/>
    <row r="778" s="137" customFormat="1" x14ac:dyDescent="0.2"/>
    <row r="779" s="137" customFormat="1" x14ac:dyDescent="0.2"/>
    <row r="780" s="137" customFormat="1" x14ac:dyDescent="0.2"/>
    <row r="781" s="137" customFormat="1" x14ac:dyDescent="0.2"/>
    <row r="782" s="137" customFormat="1" x14ac:dyDescent="0.2"/>
    <row r="783" s="137" customFormat="1" x14ac:dyDescent="0.2"/>
    <row r="784" s="137" customFormat="1" x14ac:dyDescent="0.2"/>
    <row r="785" s="137" customFormat="1" x14ac:dyDescent="0.2"/>
    <row r="786" s="137" customFormat="1" x14ac:dyDescent="0.2"/>
    <row r="787" s="137" customFormat="1" x14ac:dyDescent="0.2"/>
    <row r="788" s="137" customFormat="1" x14ac:dyDescent="0.2"/>
    <row r="789" s="137" customFormat="1" x14ac:dyDescent="0.2"/>
    <row r="790" s="137" customFormat="1" x14ac:dyDescent="0.2"/>
    <row r="791" s="137" customFormat="1" x14ac:dyDescent="0.2"/>
    <row r="792" s="137" customFormat="1" x14ac:dyDescent="0.2"/>
    <row r="793" s="137" customFormat="1" x14ac:dyDescent="0.2"/>
    <row r="794" s="137" customFormat="1" x14ac:dyDescent="0.2"/>
    <row r="795" s="137" customFormat="1" x14ac:dyDescent="0.2"/>
    <row r="796" s="137" customFormat="1" x14ac:dyDescent="0.2"/>
    <row r="797" s="137" customFormat="1" x14ac:dyDescent="0.2"/>
    <row r="798" s="137" customFormat="1" x14ac:dyDescent="0.2"/>
    <row r="799" s="137" customFormat="1" x14ac:dyDescent="0.2"/>
    <row r="800" s="137" customFormat="1" x14ac:dyDescent="0.2"/>
    <row r="801" s="137" customFormat="1" x14ac:dyDescent="0.2"/>
    <row r="802" s="137" customFormat="1" x14ac:dyDescent="0.2"/>
    <row r="803" s="137" customFormat="1" x14ac:dyDescent="0.2"/>
    <row r="804" s="137" customFormat="1" x14ac:dyDescent="0.2"/>
    <row r="805" s="137" customFormat="1" x14ac:dyDescent="0.2"/>
    <row r="806" s="137" customFormat="1" x14ac:dyDescent="0.2"/>
    <row r="807" s="137" customFormat="1" x14ac:dyDescent="0.2"/>
    <row r="808" s="137" customFormat="1" x14ac:dyDescent="0.2"/>
    <row r="809" s="137" customFormat="1" x14ac:dyDescent="0.2"/>
    <row r="810" s="137" customFormat="1" x14ac:dyDescent="0.2"/>
    <row r="811" s="137" customFormat="1" x14ac:dyDescent="0.2"/>
    <row r="812" s="137" customFormat="1" x14ac:dyDescent="0.2"/>
    <row r="813" s="137" customFormat="1" x14ac:dyDescent="0.2"/>
    <row r="814" s="137" customFormat="1" x14ac:dyDescent="0.2"/>
    <row r="815" s="137" customFormat="1" x14ac:dyDescent="0.2"/>
    <row r="816" s="137" customFormat="1" x14ac:dyDescent="0.2"/>
    <row r="817" s="137" customFormat="1" x14ac:dyDescent="0.2"/>
    <row r="818" s="137" customFormat="1" x14ac:dyDescent="0.2"/>
    <row r="819" s="137" customFormat="1" x14ac:dyDescent="0.2"/>
    <row r="820" s="137" customFormat="1" x14ac:dyDescent="0.2"/>
    <row r="821" s="137" customFormat="1" x14ac:dyDescent="0.2"/>
    <row r="822" s="137" customFormat="1" x14ac:dyDescent="0.2"/>
    <row r="823" s="137" customFormat="1" x14ac:dyDescent="0.2"/>
  </sheetData>
  <mergeCells count="3">
    <mergeCell ref="A1:B1"/>
    <mergeCell ref="C1:F1"/>
    <mergeCell ref="G1:H1"/>
  </mergeCells>
  <pageMargins left="0.7" right="0.7" top="0.75" bottom="0.75" header="0.3" footer="0.3"/>
  <pageSetup paperSize="9" scale="85"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AG20"/>
  <sheetViews>
    <sheetView showGridLines="0" zoomScaleNormal="100" workbookViewId="0">
      <selection activeCell="P9" sqref="P9"/>
    </sheetView>
  </sheetViews>
  <sheetFormatPr baseColWidth="10" defaultRowHeight="12.75" x14ac:dyDescent="0.2"/>
  <cols>
    <col min="2" max="2" width="7.28515625" customWidth="1"/>
    <col min="3" max="32" width="4" customWidth="1"/>
    <col min="33" max="33" width="5" customWidth="1"/>
  </cols>
  <sheetData>
    <row r="1" spans="1:33" ht="60.75" customHeight="1" x14ac:dyDescent="0.2">
      <c r="A1" s="462"/>
      <c r="B1" s="463"/>
      <c r="C1" s="464"/>
      <c r="D1" s="446" t="s">
        <v>88</v>
      </c>
      <c r="E1" s="447"/>
      <c r="F1" s="447"/>
      <c r="G1" s="447"/>
      <c r="H1" s="447"/>
      <c r="I1" s="447"/>
      <c r="J1" s="447"/>
      <c r="K1" s="447"/>
      <c r="L1" s="447"/>
      <c r="M1" s="447"/>
      <c r="N1" s="447"/>
      <c r="O1" s="447"/>
      <c r="P1" s="447"/>
      <c r="Q1" s="447"/>
      <c r="R1" s="447"/>
      <c r="S1" s="447"/>
      <c r="T1" s="447"/>
      <c r="U1" s="447"/>
      <c r="V1" s="447"/>
      <c r="W1" s="447"/>
      <c r="X1" s="447"/>
      <c r="Y1" s="447"/>
      <c r="Z1" s="447"/>
      <c r="AA1" s="447"/>
      <c r="AB1" s="447"/>
      <c r="AC1" s="448"/>
      <c r="AD1" s="465" t="s">
        <v>120</v>
      </c>
      <c r="AE1" s="466"/>
      <c r="AF1" s="466"/>
      <c r="AG1" s="467"/>
    </row>
    <row r="2" spans="1:33" ht="45.75" customHeight="1" x14ac:dyDescent="0.2">
      <c r="A2" s="468" t="s">
        <v>89</v>
      </c>
      <c r="B2" s="469"/>
      <c r="C2" s="64"/>
      <c r="D2" s="64"/>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5" t="s">
        <v>0</v>
      </c>
    </row>
    <row r="3" spans="1:33" ht="23.25" customHeight="1" x14ac:dyDescent="0.2">
      <c r="A3" s="453" t="s">
        <v>4</v>
      </c>
      <c r="B3" s="453"/>
      <c r="C3" s="37"/>
      <c r="D3" s="37"/>
      <c r="E3" s="38"/>
      <c r="F3" s="38"/>
      <c r="G3" s="38"/>
      <c r="H3" s="38"/>
      <c r="I3" s="38"/>
      <c r="J3" s="38"/>
      <c r="K3" s="38"/>
      <c r="L3" s="38"/>
      <c r="M3" s="38"/>
      <c r="N3" s="38"/>
      <c r="O3" s="38"/>
      <c r="P3" s="38"/>
      <c r="Q3" s="38"/>
      <c r="R3" s="38"/>
      <c r="S3" s="38"/>
      <c r="T3" s="38"/>
      <c r="U3" s="38"/>
      <c r="V3" s="38"/>
      <c r="W3" s="38"/>
      <c r="X3" s="38"/>
      <c r="Y3" s="38"/>
      <c r="Z3" s="38"/>
      <c r="AA3" s="38"/>
      <c r="AB3" s="38"/>
      <c r="AC3" s="38"/>
      <c r="AD3" s="38"/>
      <c r="AE3" s="38"/>
      <c r="AF3" s="38"/>
      <c r="AG3" s="66">
        <f t="shared" ref="AG3:AG17" si="0">SUM(C3:AF3)</f>
        <v>0</v>
      </c>
    </row>
    <row r="4" spans="1:33" ht="23.25" customHeight="1" x14ac:dyDescent="0.2">
      <c r="A4" s="451" t="s">
        <v>135</v>
      </c>
      <c r="B4" s="452"/>
      <c r="C4" s="37"/>
      <c r="D4" s="37"/>
      <c r="E4" s="38"/>
      <c r="F4" s="38"/>
      <c r="G4" s="38"/>
      <c r="H4" s="38"/>
      <c r="I4" s="38"/>
      <c r="J4" s="38"/>
      <c r="K4" s="38"/>
      <c r="L4" s="38"/>
      <c r="M4" s="38"/>
      <c r="N4" s="38"/>
      <c r="O4" s="38"/>
      <c r="P4" s="38"/>
      <c r="Q4" s="38"/>
      <c r="R4" s="38"/>
      <c r="S4" s="38"/>
      <c r="T4" s="38"/>
      <c r="U4" s="38"/>
      <c r="V4" s="38"/>
      <c r="W4" s="38"/>
      <c r="X4" s="38"/>
      <c r="Y4" s="38"/>
      <c r="Z4" s="38"/>
      <c r="AA4" s="38"/>
      <c r="AB4" s="38"/>
      <c r="AC4" s="38"/>
      <c r="AD4" s="38"/>
      <c r="AE4" s="38"/>
      <c r="AF4" s="38"/>
      <c r="AG4" s="66">
        <f t="shared" si="0"/>
        <v>0</v>
      </c>
    </row>
    <row r="5" spans="1:33" ht="23.25" customHeight="1" x14ac:dyDescent="0.2">
      <c r="A5" s="451" t="s">
        <v>136</v>
      </c>
      <c r="B5" s="452"/>
      <c r="C5" s="37"/>
      <c r="D5" s="37"/>
      <c r="E5" s="38"/>
      <c r="F5" s="38"/>
      <c r="G5" s="38"/>
      <c r="H5" s="38"/>
      <c r="I5" s="38"/>
      <c r="J5" s="38"/>
      <c r="K5" s="38"/>
      <c r="L5" s="38"/>
      <c r="M5" s="38"/>
      <c r="N5" s="38"/>
      <c r="O5" s="38"/>
      <c r="P5" s="38"/>
      <c r="Q5" s="38"/>
      <c r="R5" s="38"/>
      <c r="S5" s="38"/>
      <c r="T5" s="38"/>
      <c r="U5" s="38"/>
      <c r="V5" s="38"/>
      <c r="W5" s="38"/>
      <c r="X5" s="38"/>
      <c r="Y5" s="38"/>
      <c r="Z5" s="38"/>
      <c r="AA5" s="38"/>
      <c r="AB5" s="38"/>
      <c r="AC5" s="38"/>
      <c r="AD5" s="38"/>
      <c r="AE5" s="38"/>
      <c r="AF5" s="38"/>
      <c r="AG5" s="66">
        <f t="shared" si="0"/>
        <v>0</v>
      </c>
    </row>
    <row r="6" spans="1:33" ht="23.25" customHeight="1" x14ac:dyDescent="0.2">
      <c r="A6" s="451" t="s">
        <v>137</v>
      </c>
      <c r="B6" s="452"/>
      <c r="C6" s="37"/>
      <c r="D6" s="37"/>
      <c r="E6" s="38"/>
      <c r="F6" s="38"/>
      <c r="G6" s="38"/>
      <c r="H6" s="38"/>
      <c r="I6" s="38"/>
      <c r="J6" s="38"/>
      <c r="K6" s="38"/>
      <c r="L6" s="38"/>
      <c r="M6" s="38"/>
      <c r="N6" s="38"/>
      <c r="O6" s="38"/>
      <c r="P6" s="38"/>
      <c r="Q6" s="38"/>
      <c r="R6" s="38"/>
      <c r="S6" s="38"/>
      <c r="T6" s="38"/>
      <c r="U6" s="38"/>
      <c r="V6" s="38"/>
      <c r="W6" s="38"/>
      <c r="X6" s="38"/>
      <c r="Y6" s="38"/>
      <c r="Z6" s="38"/>
      <c r="AA6" s="38"/>
      <c r="AB6" s="38"/>
      <c r="AC6" s="38"/>
      <c r="AD6" s="38"/>
      <c r="AE6" s="38"/>
      <c r="AF6" s="38"/>
      <c r="AG6" s="66">
        <f t="shared" si="0"/>
        <v>0</v>
      </c>
    </row>
    <row r="7" spans="1:33" ht="23.25" customHeight="1" x14ac:dyDescent="0.2">
      <c r="A7" s="453" t="s">
        <v>3</v>
      </c>
      <c r="B7" s="453"/>
      <c r="C7" s="37"/>
      <c r="D7" s="37"/>
      <c r="E7" s="38"/>
      <c r="F7" s="38"/>
      <c r="G7" s="38"/>
      <c r="H7" s="38"/>
      <c r="I7" s="38"/>
      <c r="J7" s="38"/>
      <c r="K7" s="38"/>
      <c r="L7" s="38"/>
      <c r="M7" s="38"/>
      <c r="N7" s="38"/>
      <c r="O7" s="38"/>
      <c r="P7" s="38"/>
      <c r="Q7" s="38"/>
      <c r="R7" s="38"/>
      <c r="S7" s="38"/>
      <c r="T7" s="38"/>
      <c r="U7" s="38"/>
      <c r="V7" s="38"/>
      <c r="W7" s="38"/>
      <c r="X7" s="38"/>
      <c r="Y7" s="38"/>
      <c r="Z7" s="38"/>
      <c r="AA7" s="38"/>
      <c r="AB7" s="38"/>
      <c r="AC7" s="38"/>
      <c r="AD7" s="38"/>
      <c r="AE7" s="38"/>
      <c r="AF7" s="38"/>
      <c r="AG7" s="66">
        <f t="shared" si="0"/>
        <v>0</v>
      </c>
    </row>
    <row r="8" spans="1:33" ht="23.25" customHeight="1" x14ac:dyDescent="0.2">
      <c r="A8" s="453" t="s">
        <v>121</v>
      </c>
      <c r="B8" s="453"/>
      <c r="C8" s="37"/>
      <c r="D8" s="37"/>
      <c r="E8" s="38"/>
      <c r="F8" s="38"/>
      <c r="G8" s="38"/>
      <c r="H8" s="38"/>
      <c r="I8" s="38"/>
      <c r="J8" s="38"/>
      <c r="K8" s="38"/>
      <c r="L8" s="38"/>
      <c r="M8" s="38"/>
      <c r="N8" s="38"/>
      <c r="O8" s="38"/>
      <c r="P8" s="38"/>
      <c r="Q8" s="38"/>
      <c r="R8" s="38"/>
      <c r="S8" s="38"/>
      <c r="T8" s="38"/>
      <c r="U8" s="38"/>
      <c r="V8" s="38"/>
      <c r="W8" s="38"/>
      <c r="X8" s="38"/>
      <c r="Y8" s="38"/>
      <c r="Z8" s="38"/>
      <c r="AA8" s="38"/>
      <c r="AB8" s="38"/>
      <c r="AC8" s="38"/>
      <c r="AD8" s="38"/>
      <c r="AE8" s="38"/>
      <c r="AF8" s="38"/>
      <c r="AG8" s="125">
        <f t="shared" si="0"/>
        <v>0</v>
      </c>
    </row>
    <row r="9" spans="1:33" ht="23.25" customHeight="1" x14ac:dyDescent="0.2">
      <c r="A9" s="453" t="s">
        <v>187</v>
      </c>
      <c r="B9" s="453"/>
      <c r="C9" s="37"/>
      <c r="D9" s="37"/>
      <c r="E9" s="38"/>
      <c r="F9" s="38"/>
      <c r="G9" s="38"/>
      <c r="H9" s="38"/>
      <c r="I9" s="38"/>
      <c r="J9" s="38"/>
      <c r="K9" s="38"/>
      <c r="L9" s="38"/>
      <c r="M9" s="38"/>
      <c r="N9" s="38"/>
      <c r="O9" s="38"/>
      <c r="P9" s="38"/>
      <c r="Q9" s="38"/>
      <c r="R9" s="38"/>
      <c r="S9" s="38"/>
      <c r="T9" s="38"/>
      <c r="U9" s="38"/>
      <c r="V9" s="38"/>
      <c r="W9" s="38"/>
      <c r="X9" s="38"/>
      <c r="Y9" s="38"/>
      <c r="Z9" s="38"/>
      <c r="AA9" s="38"/>
      <c r="AB9" s="38"/>
      <c r="AC9" s="38"/>
      <c r="AD9" s="38"/>
      <c r="AE9" s="38"/>
      <c r="AF9" s="38"/>
      <c r="AG9" s="125">
        <f t="shared" si="0"/>
        <v>0</v>
      </c>
    </row>
    <row r="10" spans="1:33" ht="23.25" customHeight="1" x14ac:dyDescent="0.2">
      <c r="A10" s="453" t="s">
        <v>188</v>
      </c>
      <c r="B10" s="453"/>
      <c r="C10" s="37"/>
      <c r="D10" s="37"/>
      <c r="E10" s="38"/>
      <c r="F10" s="38"/>
      <c r="G10" s="38"/>
      <c r="H10" s="38"/>
      <c r="I10" s="38"/>
      <c r="J10" s="38"/>
      <c r="K10" s="38"/>
      <c r="L10" s="38"/>
      <c r="M10" s="38"/>
      <c r="N10" s="38"/>
      <c r="O10" s="38"/>
      <c r="P10" s="38"/>
      <c r="Q10" s="38"/>
      <c r="R10" s="38"/>
      <c r="S10" s="38"/>
      <c r="T10" s="38"/>
      <c r="U10" s="38"/>
      <c r="V10" s="38"/>
      <c r="W10" s="38"/>
      <c r="X10" s="38"/>
      <c r="Y10" s="38"/>
      <c r="Z10" s="38"/>
      <c r="AA10" s="38"/>
      <c r="AB10" s="38"/>
      <c r="AC10" s="38"/>
      <c r="AD10" s="38"/>
      <c r="AE10" s="38"/>
      <c r="AF10" s="38"/>
      <c r="AG10" s="125">
        <f t="shared" si="0"/>
        <v>0</v>
      </c>
    </row>
    <row r="11" spans="1:33" ht="23.25" customHeight="1" x14ac:dyDescent="0.2">
      <c r="A11" s="453" t="s">
        <v>122</v>
      </c>
      <c r="B11" s="453"/>
      <c r="C11" s="37"/>
      <c r="D11" s="37"/>
      <c r="E11" s="38"/>
      <c r="F11" s="38"/>
      <c r="G11" s="38"/>
      <c r="H11" s="38"/>
      <c r="I11" s="38"/>
      <c r="J11" s="38"/>
      <c r="K11" s="38"/>
      <c r="L11" s="38"/>
      <c r="M11" s="38"/>
      <c r="N11" s="38"/>
      <c r="O11" s="38"/>
      <c r="P11" s="38"/>
      <c r="Q11" s="38"/>
      <c r="R11" s="38"/>
      <c r="S11" s="38"/>
      <c r="T11" s="38"/>
      <c r="U11" s="38"/>
      <c r="V11" s="38"/>
      <c r="W11" s="38"/>
      <c r="X11" s="38"/>
      <c r="Y11" s="38"/>
      <c r="Z11" s="38"/>
      <c r="AA11" s="38"/>
      <c r="AB11" s="38"/>
      <c r="AC11" s="38"/>
      <c r="AD11" s="38"/>
      <c r="AE11" s="38"/>
      <c r="AF11" s="38"/>
      <c r="AG11" s="125">
        <f t="shared" si="0"/>
        <v>0</v>
      </c>
    </row>
    <row r="12" spans="1:33" ht="23.25" customHeight="1" x14ac:dyDescent="0.2">
      <c r="A12" s="453" t="s">
        <v>123</v>
      </c>
      <c r="B12" s="453"/>
      <c r="C12" s="37"/>
      <c r="D12" s="37"/>
      <c r="E12" s="38"/>
      <c r="F12" s="38"/>
      <c r="G12" s="38"/>
      <c r="H12" s="38"/>
      <c r="I12" s="38"/>
      <c r="J12" s="38"/>
      <c r="K12" s="38"/>
      <c r="L12" s="38"/>
      <c r="M12" s="38"/>
      <c r="N12" s="38"/>
      <c r="O12" s="38"/>
      <c r="P12" s="38"/>
      <c r="Q12" s="38"/>
      <c r="R12" s="38"/>
      <c r="S12" s="38"/>
      <c r="T12" s="38"/>
      <c r="U12" s="38"/>
      <c r="V12" s="38"/>
      <c r="W12" s="38"/>
      <c r="X12" s="38"/>
      <c r="Y12" s="38"/>
      <c r="Z12" s="38"/>
      <c r="AA12" s="38"/>
      <c r="AB12" s="38"/>
      <c r="AC12" s="38"/>
      <c r="AD12" s="38"/>
      <c r="AE12" s="38"/>
      <c r="AF12" s="38"/>
      <c r="AG12" s="125">
        <f t="shared" si="0"/>
        <v>0</v>
      </c>
    </row>
    <row r="13" spans="1:33" ht="23.25" customHeight="1" x14ac:dyDescent="0.2">
      <c r="A13" s="453" t="s">
        <v>124</v>
      </c>
      <c r="B13" s="453"/>
      <c r="C13" s="38"/>
      <c r="D13" s="37"/>
      <c r="E13" s="37"/>
      <c r="F13" s="37"/>
      <c r="G13" s="37"/>
      <c r="H13" s="37"/>
      <c r="I13" s="37"/>
      <c r="J13" s="37"/>
      <c r="K13" s="37"/>
      <c r="L13" s="37"/>
      <c r="M13" s="37"/>
      <c r="N13" s="37"/>
      <c r="O13" s="37"/>
      <c r="P13" s="37"/>
      <c r="Q13" s="37"/>
      <c r="R13" s="37"/>
      <c r="S13" s="37"/>
      <c r="T13" s="37"/>
      <c r="U13" s="37"/>
      <c r="V13" s="37"/>
      <c r="W13" s="37"/>
      <c r="X13" s="37"/>
      <c r="Y13" s="37"/>
      <c r="Z13" s="37"/>
      <c r="AA13" s="37"/>
      <c r="AB13" s="37"/>
      <c r="AC13" s="37"/>
      <c r="AD13" s="37"/>
      <c r="AE13" s="37"/>
      <c r="AF13" s="37"/>
      <c r="AG13" s="66">
        <f t="shared" si="0"/>
        <v>0</v>
      </c>
    </row>
    <row r="14" spans="1:33" ht="23.25" customHeight="1" x14ac:dyDescent="0.2">
      <c r="A14" s="451" t="s">
        <v>125</v>
      </c>
      <c r="B14" s="452"/>
      <c r="C14" s="38"/>
      <c r="D14" s="37"/>
      <c r="E14" s="37"/>
      <c r="F14" s="37"/>
      <c r="G14" s="37"/>
      <c r="H14" s="37"/>
      <c r="I14" s="37"/>
      <c r="J14" s="37"/>
      <c r="K14" s="37"/>
      <c r="L14" s="37"/>
      <c r="M14" s="37"/>
      <c r="N14" s="37"/>
      <c r="O14" s="37"/>
      <c r="P14" s="37"/>
      <c r="Q14" s="37"/>
      <c r="R14" s="37"/>
      <c r="S14" s="37"/>
      <c r="T14" s="37"/>
      <c r="U14" s="37"/>
      <c r="V14" s="37"/>
      <c r="W14" s="37"/>
      <c r="X14" s="37"/>
      <c r="Y14" s="37"/>
      <c r="Z14" s="37"/>
      <c r="AA14" s="37"/>
      <c r="AB14" s="37"/>
      <c r="AC14" s="37"/>
      <c r="AD14" s="37"/>
      <c r="AE14" s="37"/>
      <c r="AF14" s="37"/>
      <c r="AG14" s="66">
        <f t="shared" si="0"/>
        <v>0</v>
      </c>
    </row>
    <row r="15" spans="1:33" ht="23.25" customHeight="1" x14ac:dyDescent="0.2">
      <c r="A15" s="451" t="s">
        <v>119</v>
      </c>
      <c r="B15" s="452"/>
      <c r="C15" s="38"/>
      <c r="D15" s="37"/>
      <c r="E15" s="37"/>
      <c r="F15" s="37"/>
      <c r="G15" s="37"/>
      <c r="H15" s="37"/>
      <c r="I15" s="37"/>
      <c r="J15" s="37"/>
      <c r="K15" s="37"/>
      <c r="L15" s="37"/>
      <c r="M15" s="37"/>
      <c r="N15" s="37"/>
      <c r="O15" s="37"/>
      <c r="P15" s="37"/>
      <c r="Q15" s="37"/>
      <c r="R15" s="37"/>
      <c r="S15" s="37"/>
      <c r="T15" s="37"/>
      <c r="U15" s="37"/>
      <c r="V15" s="37"/>
      <c r="W15" s="37"/>
      <c r="X15" s="37"/>
      <c r="Y15" s="37"/>
      <c r="Z15" s="37"/>
      <c r="AA15" s="37"/>
      <c r="AB15" s="37"/>
      <c r="AC15" s="37"/>
      <c r="AD15" s="37"/>
      <c r="AE15" s="37"/>
      <c r="AF15" s="37"/>
      <c r="AG15" s="66">
        <f t="shared" si="0"/>
        <v>0</v>
      </c>
    </row>
    <row r="16" spans="1:33" ht="23.25" customHeight="1" x14ac:dyDescent="0.2">
      <c r="A16" s="453" t="s">
        <v>189</v>
      </c>
      <c r="B16" s="453"/>
      <c r="C16" s="38"/>
      <c r="D16" s="37"/>
      <c r="E16" s="37"/>
      <c r="F16" s="37"/>
      <c r="G16" s="37"/>
      <c r="H16" s="37"/>
      <c r="I16" s="37"/>
      <c r="J16" s="37"/>
      <c r="K16" s="37"/>
      <c r="L16" s="37"/>
      <c r="M16" s="37"/>
      <c r="N16" s="37"/>
      <c r="O16" s="37"/>
      <c r="P16" s="37"/>
      <c r="Q16" s="37"/>
      <c r="R16" s="37"/>
      <c r="S16" s="37"/>
      <c r="T16" s="37"/>
      <c r="U16" s="37"/>
      <c r="V16" s="37"/>
      <c r="W16" s="37"/>
      <c r="X16" s="37"/>
      <c r="Y16" s="37"/>
      <c r="Z16" s="37"/>
      <c r="AA16" s="37"/>
      <c r="AB16" s="37"/>
      <c r="AC16" s="37"/>
      <c r="AD16" s="37"/>
      <c r="AE16" s="37"/>
      <c r="AF16" s="37"/>
      <c r="AG16" s="125">
        <f t="shared" si="0"/>
        <v>0</v>
      </c>
    </row>
    <row r="17" spans="1:33" ht="23.25" customHeight="1" x14ac:dyDescent="0.2">
      <c r="A17" s="453" t="s">
        <v>190</v>
      </c>
      <c r="B17" s="453"/>
      <c r="C17" s="38"/>
      <c r="D17" s="37"/>
      <c r="E17" s="37"/>
      <c r="F17" s="37"/>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66">
        <f t="shared" si="0"/>
        <v>0</v>
      </c>
    </row>
    <row r="18" spans="1:33" ht="21.75" customHeight="1" x14ac:dyDescent="0.2">
      <c r="A18" s="454"/>
      <c r="B18" s="455"/>
      <c r="C18" s="455"/>
      <c r="D18" s="455"/>
      <c r="E18" s="455"/>
      <c r="F18" s="455"/>
      <c r="G18" s="455"/>
      <c r="H18" s="455"/>
      <c r="I18" s="455"/>
      <c r="J18" s="455"/>
      <c r="K18" s="455"/>
      <c r="L18" s="455"/>
      <c r="M18" s="455"/>
      <c r="N18" s="455"/>
      <c r="O18" s="455"/>
      <c r="P18" s="455"/>
      <c r="Q18" s="455"/>
      <c r="R18" s="455"/>
      <c r="S18" s="455"/>
      <c r="T18" s="455"/>
      <c r="U18" s="455"/>
      <c r="V18" s="455"/>
      <c r="W18" s="455"/>
      <c r="X18" s="455"/>
      <c r="Y18" s="455"/>
      <c r="Z18" s="455"/>
      <c r="AA18" s="455"/>
      <c r="AB18" s="455"/>
      <c r="AC18" s="43"/>
      <c r="AD18" s="44"/>
      <c r="AE18" s="44"/>
      <c r="AF18" s="44"/>
      <c r="AG18" s="67">
        <f>SUM(AG3:AG17)</f>
        <v>0</v>
      </c>
    </row>
    <row r="19" spans="1:33" ht="21.75" customHeight="1" x14ac:dyDescent="0.2">
      <c r="A19" s="456"/>
      <c r="B19" s="457"/>
      <c r="C19" s="457"/>
      <c r="D19" s="457"/>
      <c r="E19" s="457"/>
      <c r="F19" s="457"/>
      <c r="G19" s="457"/>
      <c r="H19" s="457"/>
      <c r="I19" s="457"/>
      <c r="J19" s="457"/>
      <c r="K19" s="457"/>
      <c r="L19" s="457"/>
      <c r="M19" s="457"/>
      <c r="N19" s="457"/>
      <c r="O19" s="457"/>
      <c r="P19" s="457"/>
      <c r="Q19" s="457"/>
      <c r="R19" s="457"/>
      <c r="S19" s="457"/>
      <c r="T19" s="457"/>
      <c r="U19" s="457"/>
      <c r="V19" s="457"/>
      <c r="W19" s="457"/>
      <c r="X19" s="457"/>
      <c r="Y19" s="457"/>
      <c r="Z19" s="457"/>
      <c r="AA19" s="457"/>
      <c r="AB19" s="457"/>
      <c r="AC19" s="458" t="s">
        <v>2</v>
      </c>
      <c r="AD19" s="459"/>
      <c r="AE19" s="460">
        <v>0</v>
      </c>
      <c r="AF19" s="460"/>
      <c r="AG19" s="461"/>
    </row>
    <row r="20" spans="1:33" x14ac:dyDescent="0.2">
      <c r="A20" s="4"/>
      <c r="B20" s="4"/>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row>
  </sheetData>
  <mergeCells count="22">
    <mergeCell ref="A14:B14"/>
    <mergeCell ref="A1:C1"/>
    <mergeCell ref="D1:AC1"/>
    <mergeCell ref="AD1:AG1"/>
    <mergeCell ref="A2:B2"/>
    <mergeCell ref="A3:B3"/>
    <mergeCell ref="A5:B5"/>
    <mergeCell ref="A4:B4"/>
    <mergeCell ref="A6:B6"/>
    <mergeCell ref="A7:B7"/>
    <mergeCell ref="A8:B8"/>
    <mergeCell ref="A12:B12"/>
    <mergeCell ref="A10:B10"/>
    <mergeCell ref="A13:B13"/>
    <mergeCell ref="A9:B9"/>
    <mergeCell ref="A11:B11"/>
    <mergeCell ref="A15:B15"/>
    <mergeCell ref="A17:B17"/>
    <mergeCell ref="A18:AB19"/>
    <mergeCell ref="AC19:AD19"/>
    <mergeCell ref="AE19:AG19"/>
    <mergeCell ref="A16:B16"/>
  </mergeCells>
  <printOptions horizontalCentered="1" verticalCentered="1"/>
  <pageMargins left="0.39370078740157483" right="0.39370078740157483" top="0.74803149606299213" bottom="0.74803149606299213" header="0.31496062992125984" footer="0.51181102362204722"/>
  <pageSetup paperSize="9" scale="96" orientation="landscape" r:id="rId1"/>
  <headerFooter>
    <oddFooter xml:space="preserve">&amp;C&amp;P de &amp;N&amp;Rwww.cpavitoria06.com   
info@cpavitoria06.com   </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tabColor rgb="FFFFFF00"/>
  </sheetPr>
  <dimension ref="A1:I61"/>
  <sheetViews>
    <sheetView zoomScaleNormal="100" workbookViewId="0">
      <selection activeCell="N17" sqref="N17"/>
    </sheetView>
  </sheetViews>
  <sheetFormatPr baseColWidth="10" defaultRowHeight="12.75" x14ac:dyDescent="0.2"/>
  <cols>
    <col min="1" max="1" width="23" style="5" customWidth="1"/>
    <col min="2" max="5" width="11.42578125" style="5"/>
    <col min="6" max="6" width="12.28515625" style="5" bestFit="1" customWidth="1"/>
    <col min="7" max="16384" width="11.42578125" style="5"/>
  </cols>
  <sheetData>
    <row r="1" spans="1:9" ht="72" customHeight="1" x14ac:dyDescent="0.2">
      <c r="A1" s="127"/>
      <c r="B1" s="228" t="s">
        <v>140</v>
      </c>
      <c r="C1" s="228"/>
      <c r="D1" s="228"/>
      <c r="E1" s="228"/>
      <c r="F1" s="228"/>
      <c r="G1" s="228"/>
      <c r="H1" s="229" t="s">
        <v>139</v>
      </c>
      <c r="I1" s="229"/>
    </row>
    <row r="2" spans="1:9" ht="27" customHeight="1" x14ac:dyDescent="0.2">
      <c r="A2" s="227" t="s">
        <v>141</v>
      </c>
      <c r="B2" s="227"/>
      <c r="C2" s="227"/>
      <c r="D2" s="227"/>
      <c r="E2" s="227"/>
      <c r="F2" s="227"/>
      <c r="G2" s="227"/>
      <c r="H2" s="227"/>
      <c r="I2" s="227"/>
    </row>
    <row r="3" spans="1:9" x14ac:dyDescent="0.2">
      <c r="A3" s="138"/>
      <c r="B3" s="138"/>
      <c r="C3" s="138"/>
      <c r="D3" s="138"/>
      <c r="E3" s="138"/>
      <c r="F3" s="138"/>
      <c r="G3" s="138"/>
      <c r="H3" s="138"/>
      <c r="I3" s="138"/>
    </row>
    <row r="4" spans="1:9" ht="12.75" customHeight="1" x14ac:dyDescent="0.2">
      <c r="A4" s="475" t="s">
        <v>149</v>
      </c>
      <c r="B4" s="476"/>
      <c r="C4" s="476"/>
      <c r="D4" s="476"/>
      <c r="E4" s="476"/>
      <c r="F4" s="476"/>
      <c r="G4" s="476"/>
      <c r="H4" s="476"/>
      <c r="I4" s="476"/>
    </row>
    <row r="5" spans="1:9" x14ac:dyDescent="0.2">
      <c r="A5" s="476"/>
      <c r="B5" s="476"/>
      <c r="C5" s="476"/>
      <c r="D5" s="476"/>
      <c r="E5" s="476"/>
      <c r="F5" s="476"/>
      <c r="G5" s="476"/>
      <c r="H5" s="476"/>
      <c r="I5" s="476"/>
    </row>
    <row r="6" spans="1:9" x14ac:dyDescent="0.2">
      <c r="A6" s="138"/>
      <c r="B6" s="138"/>
      <c r="C6" s="138"/>
      <c r="D6" s="138"/>
      <c r="E6" s="138"/>
      <c r="F6" s="138"/>
      <c r="G6" s="138"/>
      <c r="H6" s="138"/>
      <c r="I6" s="138"/>
    </row>
    <row r="7" spans="1:9" x14ac:dyDescent="0.2">
      <c r="A7" s="138"/>
      <c r="B7" s="138"/>
      <c r="C7" s="138"/>
      <c r="D7" s="138"/>
      <c r="E7" s="138"/>
      <c r="F7" s="138"/>
      <c r="G7" s="138"/>
      <c r="H7" s="138"/>
      <c r="I7" s="138"/>
    </row>
    <row r="8" spans="1:9" ht="23.25" customHeight="1" x14ac:dyDescent="0.2">
      <c r="A8" s="138"/>
      <c r="B8" s="138"/>
      <c r="C8" s="138"/>
      <c r="D8" s="138"/>
      <c r="E8" s="130" t="s">
        <v>143</v>
      </c>
      <c r="F8" s="129" t="s">
        <v>145</v>
      </c>
      <c r="G8" s="131"/>
      <c r="H8" s="131"/>
      <c r="I8" s="131"/>
    </row>
    <row r="9" spans="1:9" ht="13.5" customHeight="1" x14ac:dyDescent="0.2">
      <c r="A9" s="358" t="s">
        <v>138</v>
      </c>
      <c r="B9" s="359"/>
      <c r="C9" s="359"/>
      <c r="D9" s="360"/>
      <c r="E9" s="391"/>
      <c r="F9" s="474">
        <f>(E9+E11+E13)/3</f>
        <v>0</v>
      </c>
      <c r="G9" s="473"/>
      <c r="H9" s="473"/>
      <c r="I9" s="128"/>
    </row>
    <row r="10" spans="1:9" ht="13.5" customHeight="1" x14ac:dyDescent="0.2">
      <c r="A10" s="364"/>
      <c r="B10" s="365"/>
      <c r="C10" s="365"/>
      <c r="D10" s="366"/>
      <c r="E10" s="391"/>
      <c r="F10" s="474"/>
      <c r="G10" s="473"/>
      <c r="H10" s="473"/>
      <c r="I10" s="128"/>
    </row>
    <row r="11" spans="1:9" ht="13.5" customHeight="1" x14ac:dyDescent="0.2">
      <c r="A11" s="358" t="s">
        <v>147</v>
      </c>
      <c r="B11" s="359"/>
      <c r="C11" s="359"/>
      <c r="D11" s="360"/>
      <c r="E11" s="391"/>
      <c r="F11" s="474"/>
      <c r="G11" s="473"/>
      <c r="H11" s="473"/>
      <c r="I11" s="128"/>
    </row>
    <row r="12" spans="1:9" ht="13.5" customHeight="1" x14ac:dyDescent="0.2">
      <c r="A12" s="364"/>
      <c r="B12" s="365"/>
      <c r="C12" s="365"/>
      <c r="D12" s="366"/>
      <c r="E12" s="391"/>
      <c r="F12" s="474"/>
      <c r="G12" s="473"/>
      <c r="H12" s="473"/>
      <c r="I12" s="128"/>
    </row>
    <row r="13" spans="1:9" ht="13.5" customHeight="1" x14ac:dyDescent="0.2">
      <c r="A13" s="358" t="s">
        <v>142</v>
      </c>
      <c r="B13" s="359"/>
      <c r="C13" s="359"/>
      <c r="D13" s="360"/>
      <c r="E13" s="388"/>
      <c r="F13" s="474"/>
      <c r="G13" s="131"/>
      <c r="H13" s="131"/>
      <c r="I13" s="128"/>
    </row>
    <row r="14" spans="1:9" ht="13.5" customHeight="1" x14ac:dyDescent="0.2">
      <c r="A14" s="364"/>
      <c r="B14" s="365"/>
      <c r="C14" s="365"/>
      <c r="D14" s="366"/>
      <c r="E14" s="390"/>
      <c r="F14" s="474"/>
      <c r="G14" s="131"/>
      <c r="H14" s="131"/>
      <c r="I14" s="128"/>
    </row>
    <row r="15" spans="1:9" ht="13.5" customHeight="1" x14ac:dyDescent="0.2">
      <c r="A15" s="146"/>
      <c r="B15" s="146"/>
      <c r="C15" s="146"/>
      <c r="D15" s="146"/>
      <c r="E15" s="139"/>
      <c r="F15" s="139"/>
      <c r="G15" s="139"/>
      <c r="H15" s="139"/>
      <c r="I15" s="138"/>
    </row>
    <row r="16" spans="1:9" x14ac:dyDescent="0.2">
      <c r="A16" s="138"/>
      <c r="B16" s="138"/>
      <c r="C16" s="138"/>
      <c r="D16" s="138"/>
      <c r="E16" s="472" t="s">
        <v>146</v>
      </c>
      <c r="F16" s="472"/>
      <c r="G16" s="472"/>
      <c r="H16" s="472"/>
      <c r="I16" s="472"/>
    </row>
    <row r="17" spans="1:9" x14ac:dyDescent="0.2">
      <c r="A17" s="138"/>
      <c r="B17" s="138"/>
      <c r="C17" s="138"/>
      <c r="D17" s="138"/>
      <c r="E17" s="147"/>
      <c r="F17" s="147"/>
      <c r="G17" s="147"/>
      <c r="H17" s="147"/>
      <c r="I17" s="147"/>
    </row>
    <row r="18" spans="1:9" x14ac:dyDescent="0.2">
      <c r="A18" s="138"/>
      <c r="B18" s="138"/>
      <c r="C18" s="138"/>
      <c r="D18" s="138"/>
      <c r="E18" s="147"/>
      <c r="F18" s="147"/>
      <c r="G18" s="147"/>
      <c r="H18" s="147"/>
      <c r="I18" s="147"/>
    </row>
    <row r="19" spans="1:9" x14ac:dyDescent="0.2">
      <c r="A19" s="471" t="s">
        <v>138</v>
      </c>
      <c r="B19" s="471"/>
      <c r="C19" s="471"/>
      <c r="D19" s="471" t="s">
        <v>150</v>
      </c>
      <c r="E19" s="471"/>
      <c r="F19" s="471"/>
      <c r="G19" s="471"/>
      <c r="H19" s="471"/>
      <c r="I19" s="471"/>
    </row>
    <row r="20" spans="1:9" x14ac:dyDescent="0.2">
      <c r="A20" s="138"/>
      <c r="B20" s="138"/>
      <c r="C20" s="138"/>
      <c r="D20" s="471" t="s">
        <v>151</v>
      </c>
      <c r="E20" s="471"/>
      <c r="F20" s="471"/>
      <c r="G20" s="471"/>
      <c r="H20" s="471"/>
      <c r="I20" s="471"/>
    </row>
    <row r="21" spans="1:9" x14ac:dyDescent="0.2">
      <c r="A21" s="138"/>
      <c r="B21" s="138"/>
      <c r="C21" s="138"/>
      <c r="D21" s="471" t="s">
        <v>152</v>
      </c>
      <c r="E21" s="471"/>
      <c r="F21" s="471"/>
      <c r="G21" s="471"/>
      <c r="H21" s="471"/>
      <c r="I21" s="471"/>
    </row>
    <row r="22" spans="1:9" x14ac:dyDescent="0.2">
      <c r="A22" s="138"/>
      <c r="B22" s="138"/>
      <c r="C22" s="138"/>
      <c r="D22" s="140"/>
      <c r="E22" s="140"/>
      <c r="F22" s="140"/>
      <c r="G22" s="140"/>
      <c r="H22" s="140"/>
      <c r="I22" s="140"/>
    </row>
    <row r="23" spans="1:9" x14ac:dyDescent="0.2">
      <c r="A23" s="471" t="s">
        <v>147</v>
      </c>
      <c r="B23" s="471"/>
      <c r="C23" s="471"/>
      <c r="D23" s="471" t="s">
        <v>153</v>
      </c>
      <c r="E23" s="471"/>
      <c r="F23" s="471"/>
      <c r="G23" s="471"/>
      <c r="H23" s="471"/>
      <c r="I23" s="471"/>
    </row>
    <row r="24" spans="1:9" x14ac:dyDescent="0.2">
      <c r="A24" s="140"/>
      <c r="B24" s="140"/>
      <c r="C24" s="140"/>
      <c r="D24" s="471" t="s">
        <v>154</v>
      </c>
      <c r="E24" s="471"/>
      <c r="F24" s="471"/>
      <c r="G24" s="471"/>
      <c r="H24" s="471"/>
      <c r="I24" s="471"/>
    </row>
    <row r="25" spans="1:9" x14ac:dyDescent="0.2">
      <c r="A25" s="140"/>
      <c r="B25" s="140"/>
      <c r="C25" s="140"/>
      <c r="D25" s="471" t="s">
        <v>155</v>
      </c>
      <c r="E25" s="471"/>
      <c r="F25" s="471"/>
      <c r="G25" s="471"/>
      <c r="H25" s="471"/>
      <c r="I25" s="471"/>
    </row>
    <row r="26" spans="1:9" x14ac:dyDescent="0.2">
      <c r="A26" s="140"/>
      <c r="B26" s="140"/>
      <c r="C26" s="140"/>
      <c r="D26" s="140"/>
      <c r="E26" s="140"/>
      <c r="F26" s="140"/>
      <c r="G26" s="140"/>
      <c r="H26" s="140"/>
      <c r="I26" s="140"/>
    </row>
    <row r="27" spans="1:9" x14ac:dyDescent="0.2">
      <c r="A27" s="471" t="s">
        <v>142</v>
      </c>
      <c r="B27" s="471"/>
      <c r="C27" s="471"/>
      <c r="D27" s="471" t="s">
        <v>156</v>
      </c>
      <c r="E27" s="471"/>
      <c r="F27" s="471"/>
      <c r="G27" s="471"/>
      <c r="H27" s="471"/>
      <c r="I27" s="471"/>
    </row>
    <row r="28" spans="1:9" x14ac:dyDescent="0.2">
      <c r="A28" s="138"/>
      <c r="B28" s="138"/>
      <c r="C28" s="138"/>
      <c r="D28" s="471" t="s">
        <v>157</v>
      </c>
      <c r="E28" s="471"/>
      <c r="F28" s="471"/>
      <c r="G28" s="471"/>
      <c r="H28" s="471"/>
      <c r="I28" s="471"/>
    </row>
    <row r="29" spans="1:9" x14ac:dyDescent="0.2">
      <c r="A29" s="138"/>
      <c r="B29" s="138"/>
      <c r="C29" s="148"/>
      <c r="D29" s="148"/>
      <c r="E29" s="148"/>
      <c r="F29" s="148"/>
      <c r="G29" s="138"/>
      <c r="H29" s="138"/>
      <c r="I29" s="138"/>
    </row>
    <row r="30" spans="1:9" x14ac:dyDescent="0.2">
      <c r="A30" s="149" t="s">
        <v>144</v>
      </c>
      <c r="B30" s="150"/>
      <c r="C30" s="138"/>
      <c r="D30" s="138"/>
      <c r="E30" s="138"/>
      <c r="F30" s="138"/>
      <c r="G30" s="138"/>
      <c r="H30" s="138"/>
      <c r="I30" s="138"/>
    </row>
    <row r="31" spans="1:9" x14ac:dyDescent="0.2">
      <c r="A31" s="138"/>
      <c r="B31" s="138"/>
      <c r="C31" s="138"/>
      <c r="D31" s="138"/>
      <c r="E31" s="138"/>
      <c r="F31" s="138"/>
      <c r="G31" s="138"/>
      <c r="H31" s="138"/>
      <c r="I31" s="138"/>
    </row>
    <row r="32" spans="1:9" x14ac:dyDescent="0.2">
      <c r="A32" s="391"/>
      <c r="B32" s="391"/>
      <c r="C32" s="391"/>
      <c r="D32" s="391"/>
      <c r="E32" s="391"/>
      <c r="F32" s="391"/>
      <c r="G32" s="391"/>
      <c r="H32" s="391"/>
      <c r="I32" s="391"/>
    </row>
    <row r="33" spans="1:9" x14ac:dyDescent="0.2">
      <c r="A33" s="391"/>
      <c r="B33" s="391"/>
      <c r="C33" s="391"/>
      <c r="D33" s="391"/>
      <c r="E33" s="391"/>
      <c r="F33" s="391"/>
      <c r="G33" s="391"/>
      <c r="H33" s="391"/>
      <c r="I33" s="391"/>
    </row>
    <row r="34" spans="1:9" x14ac:dyDescent="0.2">
      <c r="A34" s="391"/>
      <c r="B34" s="391"/>
      <c r="C34" s="391"/>
      <c r="D34" s="391"/>
      <c r="E34" s="391"/>
      <c r="F34" s="391"/>
      <c r="G34" s="391"/>
      <c r="H34" s="391"/>
      <c r="I34" s="391"/>
    </row>
    <row r="35" spans="1:9" x14ac:dyDescent="0.2">
      <c r="A35" s="391"/>
      <c r="B35" s="391"/>
      <c r="C35" s="391"/>
      <c r="D35" s="391"/>
      <c r="E35" s="391"/>
      <c r="F35" s="391"/>
      <c r="G35" s="391"/>
      <c r="H35" s="391"/>
      <c r="I35" s="391"/>
    </row>
    <row r="36" spans="1:9" x14ac:dyDescent="0.2">
      <c r="A36" s="391"/>
      <c r="B36" s="391"/>
      <c r="C36" s="391"/>
      <c r="D36" s="391"/>
      <c r="E36" s="391"/>
      <c r="F36" s="391"/>
      <c r="G36" s="391"/>
      <c r="H36" s="391"/>
      <c r="I36" s="391"/>
    </row>
    <row r="37" spans="1:9" x14ac:dyDescent="0.2">
      <c r="A37" s="391"/>
      <c r="B37" s="391"/>
      <c r="C37" s="391"/>
      <c r="D37" s="391"/>
      <c r="E37" s="391"/>
      <c r="F37" s="391"/>
      <c r="G37" s="391"/>
      <c r="H37" s="391"/>
      <c r="I37" s="391"/>
    </row>
    <row r="38" spans="1:9" x14ac:dyDescent="0.2">
      <c r="A38" s="391"/>
      <c r="B38" s="391"/>
      <c r="C38" s="391"/>
      <c r="D38" s="391"/>
      <c r="E38" s="391"/>
      <c r="F38" s="391"/>
      <c r="G38" s="391"/>
      <c r="H38" s="391"/>
      <c r="I38" s="391"/>
    </row>
    <row r="39" spans="1:9" x14ac:dyDescent="0.2">
      <c r="A39" s="391"/>
      <c r="B39" s="391"/>
      <c r="C39" s="391"/>
      <c r="D39" s="391"/>
      <c r="E39" s="391"/>
      <c r="F39" s="391"/>
      <c r="G39" s="391"/>
      <c r="H39" s="391"/>
      <c r="I39" s="391"/>
    </row>
    <row r="40" spans="1:9" x14ac:dyDescent="0.2">
      <c r="A40" s="391"/>
      <c r="B40" s="391"/>
      <c r="C40" s="391"/>
      <c r="D40" s="391"/>
      <c r="E40" s="391"/>
      <c r="F40" s="391"/>
      <c r="G40" s="391"/>
      <c r="H40" s="391"/>
      <c r="I40" s="391"/>
    </row>
    <row r="41" spans="1:9" x14ac:dyDescent="0.2">
      <c r="A41" s="391"/>
      <c r="B41" s="391"/>
      <c r="C41" s="391"/>
      <c r="D41" s="391"/>
      <c r="E41" s="391"/>
      <c r="F41" s="391"/>
      <c r="G41" s="391"/>
      <c r="H41" s="391"/>
      <c r="I41" s="391"/>
    </row>
    <row r="42" spans="1:9" x14ac:dyDescent="0.2">
      <c r="A42" s="391"/>
      <c r="B42" s="391"/>
      <c r="C42" s="391"/>
      <c r="D42" s="391"/>
      <c r="E42" s="391"/>
      <c r="F42" s="391"/>
      <c r="G42" s="391"/>
      <c r="H42" s="391"/>
      <c r="I42" s="391"/>
    </row>
    <row r="43" spans="1:9" x14ac:dyDescent="0.2">
      <c r="A43" s="391"/>
      <c r="B43" s="391"/>
      <c r="C43" s="391"/>
      <c r="D43" s="391"/>
      <c r="E43" s="391"/>
      <c r="F43" s="391"/>
      <c r="G43" s="391"/>
      <c r="H43" s="391"/>
      <c r="I43" s="391"/>
    </row>
    <row r="44" spans="1:9" x14ac:dyDescent="0.2">
      <c r="A44" s="391"/>
      <c r="B44" s="391"/>
      <c r="C44" s="391"/>
      <c r="D44" s="391"/>
      <c r="E44" s="391"/>
      <c r="F44" s="391"/>
      <c r="G44" s="391"/>
      <c r="H44" s="391"/>
      <c r="I44" s="391"/>
    </row>
    <row r="45" spans="1:9" x14ac:dyDescent="0.2">
      <c r="A45" s="391"/>
      <c r="B45" s="391"/>
      <c r="C45" s="391"/>
      <c r="D45" s="391"/>
      <c r="E45" s="391"/>
      <c r="F45" s="391"/>
      <c r="G45" s="391"/>
      <c r="H45" s="391"/>
      <c r="I45" s="391"/>
    </row>
    <row r="46" spans="1:9" x14ac:dyDescent="0.2">
      <c r="A46" s="391"/>
      <c r="B46" s="391"/>
      <c r="C46" s="391"/>
      <c r="D46" s="391"/>
      <c r="E46" s="391"/>
      <c r="F46" s="391"/>
      <c r="G46" s="391"/>
      <c r="H46" s="391"/>
      <c r="I46" s="391"/>
    </row>
    <row r="47" spans="1:9" x14ac:dyDescent="0.2">
      <c r="A47" s="138"/>
      <c r="B47" s="138"/>
      <c r="C47" s="138"/>
      <c r="D47" s="138"/>
      <c r="E47" s="138"/>
      <c r="F47" s="138"/>
      <c r="G47" s="138"/>
      <c r="H47" s="138"/>
      <c r="I47" s="138"/>
    </row>
    <row r="48" spans="1:9" x14ac:dyDescent="0.2">
      <c r="A48" s="138"/>
      <c r="B48" s="138"/>
      <c r="C48" s="138"/>
      <c r="D48" s="138"/>
      <c r="E48" s="138"/>
      <c r="F48" s="138"/>
      <c r="G48" s="138"/>
      <c r="H48" s="138"/>
      <c r="I48" s="138"/>
    </row>
    <row r="49" spans="1:9" x14ac:dyDescent="0.2">
      <c r="A49" s="138"/>
      <c r="B49" s="138"/>
      <c r="C49" s="138"/>
      <c r="D49" s="138"/>
      <c r="E49" s="138"/>
      <c r="F49" s="138"/>
      <c r="G49" s="138"/>
      <c r="H49" s="138"/>
      <c r="I49" s="138"/>
    </row>
    <row r="50" spans="1:9" x14ac:dyDescent="0.2">
      <c r="A50" s="138"/>
      <c r="B50" s="138"/>
      <c r="C50" s="138"/>
      <c r="D50" s="138"/>
      <c r="E50" s="138"/>
      <c r="F50" s="138"/>
      <c r="G50" s="138"/>
      <c r="H50" s="138"/>
      <c r="I50" s="138"/>
    </row>
    <row r="51" spans="1:9" ht="20.25" x14ac:dyDescent="0.2">
      <c r="A51" s="470" t="s">
        <v>148</v>
      </c>
      <c r="B51" s="470"/>
      <c r="C51" s="470"/>
      <c r="D51" s="470"/>
      <c r="E51" s="470"/>
      <c r="F51" s="138"/>
      <c r="G51" s="138"/>
      <c r="H51" s="138"/>
      <c r="I51" s="138"/>
    </row>
    <row r="52" spans="1:9" x14ac:dyDescent="0.2">
      <c r="A52" s="138"/>
      <c r="B52" s="138"/>
      <c r="C52" s="138"/>
      <c r="D52" s="138"/>
      <c r="E52" s="138"/>
      <c r="F52" s="138"/>
      <c r="G52" s="138"/>
      <c r="H52" s="138"/>
      <c r="I52" s="138"/>
    </row>
    <row r="53" spans="1:9" x14ac:dyDescent="0.2">
      <c r="A53" s="138"/>
      <c r="B53" s="138"/>
      <c r="C53" s="138"/>
      <c r="D53" s="138"/>
      <c r="E53" s="138"/>
      <c r="F53" s="138"/>
      <c r="G53" s="138"/>
      <c r="H53" s="138"/>
      <c r="I53" s="138"/>
    </row>
    <row r="54" spans="1:9" x14ac:dyDescent="0.2">
      <c r="A54" s="138"/>
      <c r="B54" s="138"/>
      <c r="C54" s="138"/>
      <c r="D54" s="138"/>
      <c r="E54" s="138"/>
      <c r="F54" s="138"/>
      <c r="G54" s="138"/>
      <c r="H54" s="138"/>
      <c r="I54" s="138"/>
    </row>
    <row r="55" spans="1:9" x14ac:dyDescent="0.2">
      <c r="A55" s="138"/>
      <c r="B55" s="138"/>
      <c r="C55" s="138"/>
      <c r="D55" s="138"/>
      <c r="E55" s="138"/>
      <c r="F55" s="138"/>
      <c r="G55" s="138"/>
      <c r="H55" s="138"/>
      <c r="I55" s="138"/>
    </row>
    <row r="56" spans="1:9" x14ac:dyDescent="0.2">
      <c r="A56" s="138"/>
      <c r="B56" s="138"/>
      <c r="C56" s="138"/>
      <c r="D56" s="138"/>
      <c r="E56" s="138"/>
      <c r="F56" s="138"/>
      <c r="G56" s="138"/>
      <c r="H56" s="138"/>
      <c r="I56" s="138"/>
    </row>
    <row r="57" spans="1:9" x14ac:dyDescent="0.2">
      <c r="A57" s="138"/>
      <c r="B57" s="138"/>
      <c r="C57" s="138"/>
      <c r="D57" s="138"/>
      <c r="E57" s="138"/>
      <c r="F57" s="138"/>
      <c r="G57" s="138"/>
      <c r="H57" s="138"/>
      <c r="I57" s="138"/>
    </row>
    <row r="58" spans="1:9" x14ac:dyDescent="0.2">
      <c r="A58" s="138"/>
      <c r="B58" s="138"/>
      <c r="C58" s="138"/>
      <c r="D58" s="138"/>
      <c r="E58" s="138"/>
      <c r="F58" s="138"/>
      <c r="G58" s="138"/>
      <c r="H58" s="138"/>
      <c r="I58" s="138"/>
    </row>
    <row r="59" spans="1:9" x14ac:dyDescent="0.2">
      <c r="A59" s="138"/>
      <c r="B59" s="138"/>
      <c r="C59" s="138"/>
      <c r="D59" s="138"/>
      <c r="E59" s="138"/>
      <c r="F59" s="138"/>
      <c r="G59" s="138"/>
      <c r="H59" s="138"/>
      <c r="I59" s="138"/>
    </row>
    <row r="60" spans="1:9" x14ac:dyDescent="0.2">
      <c r="A60" s="138"/>
      <c r="B60" s="138"/>
      <c r="C60" s="138"/>
      <c r="D60" s="138"/>
      <c r="E60" s="138"/>
      <c r="F60" s="138"/>
      <c r="G60" s="138"/>
      <c r="H60" s="138"/>
      <c r="I60" s="138"/>
    </row>
    <row r="61" spans="1:9" x14ac:dyDescent="0.2">
      <c r="A61" s="138"/>
      <c r="B61" s="138"/>
      <c r="C61" s="138"/>
      <c r="D61" s="138"/>
      <c r="E61" s="138"/>
      <c r="F61" s="138"/>
      <c r="G61" s="138"/>
      <c r="H61" s="138"/>
      <c r="I61" s="138"/>
    </row>
  </sheetData>
  <mergeCells count="29">
    <mergeCell ref="B1:G1"/>
    <mergeCell ref="H1:I1"/>
    <mergeCell ref="A2:I2"/>
    <mergeCell ref="E16:I16"/>
    <mergeCell ref="G9:G10"/>
    <mergeCell ref="H9:H10"/>
    <mergeCell ref="E11:E12"/>
    <mergeCell ref="G11:G12"/>
    <mergeCell ref="H11:H12"/>
    <mergeCell ref="F9:F14"/>
    <mergeCell ref="A4:I5"/>
    <mergeCell ref="A9:D10"/>
    <mergeCell ref="A11:D12"/>
    <mergeCell ref="E9:E10"/>
    <mergeCell ref="A13:D14"/>
    <mergeCell ref="E13:E14"/>
    <mergeCell ref="A19:C19"/>
    <mergeCell ref="D19:I19"/>
    <mergeCell ref="D20:I20"/>
    <mergeCell ref="D21:I21"/>
    <mergeCell ref="A23:C23"/>
    <mergeCell ref="D23:I23"/>
    <mergeCell ref="A51:E51"/>
    <mergeCell ref="D24:I24"/>
    <mergeCell ref="D25:I25"/>
    <mergeCell ref="A27:C27"/>
    <mergeCell ref="D27:I27"/>
    <mergeCell ref="D28:I28"/>
    <mergeCell ref="A32:I46"/>
  </mergeCells>
  <pageMargins left="0.25" right="0.25" top="0.75" bottom="0.75" header="0.3" footer="0.3"/>
  <pageSetup paperSize="9" scale="85"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X16"/>
  <sheetViews>
    <sheetView zoomScaleNormal="100" workbookViewId="0">
      <selection activeCell="Z9" sqref="Z9"/>
    </sheetView>
  </sheetViews>
  <sheetFormatPr baseColWidth="10" defaultRowHeight="12.75" x14ac:dyDescent="0.2"/>
  <cols>
    <col min="1" max="1" width="11.42578125" style="156" customWidth="1"/>
    <col min="2" max="2" width="6.42578125" style="151" customWidth="1"/>
    <col min="3" max="3" width="6.28515625" style="151" customWidth="1"/>
    <col min="4" max="4" width="6.85546875" style="151" customWidth="1"/>
    <col min="5" max="5" width="8.28515625" style="151" customWidth="1"/>
    <col min="6" max="6" width="7.140625" style="151" customWidth="1"/>
    <col min="7" max="12" width="5.85546875" style="151" customWidth="1"/>
    <col min="13" max="13" width="6" style="151" customWidth="1"/>
    <col min="14" max="14" width="6.140625" style="151" customWidth="1"/>
    <col min="15" max="15" width="5.28515625" style="151" customWidth="1"/>
    <col min="16" max="16" width="6.42578125" style="151" customWidth="1"/>
    <col min="17" max="17" width="7.85546875" style="151" customWidth="1"/>
    <col min="18" max="20" width="4.5703125" style="151" customWidth="1"/>
    <col min="21" max="21" width="2.42578125" style="151" customWidth="1"/>
    <col min="22" max="22" width="4.5703125" style="151" customWidth="1"/>
    <col min="23" max="189" width="11.42578125" style="153"/>
    <col min="190" max="190" width="12.28515625" style="153" customWidth="1"/>
    <col min="191" max="192" width="6.42578125" style="153" customWidth="1"/>
    <col min="193" max="193" width="10.140625" style="153" customWidth="1"/>
    <col min="194" max="194" width="8.28515625" style="153" customWidth="1"/>
    <col min="195" max="195" width="8.140625" style="153" customWidth="1"/>
    <col min="196" max="203" width="6.42578125" style="153" customWidth="1"/>
    <col min="204" max="204" width="5.28515625" style="153" customWidth="1"/>
    <col min="205" max="205" width="6.42578125" style="153" customWidth="1"/>
    <col min="206" max="206" width="10.7109375" style="153" customWidth="1"/>
    <col min="207" max="208" width="6.42578125" style="153" customWidth="1"/>
    <col min="209" max="209" width="6.5703125" style="153" customWidth="1"/>
    <col min="210" max="210" width="6.42578125" style="153" customWidth="1"/>
    <col min="211" max="211" width="8.5703125" style="153" customWidth="1"/>
    <col min="212" max="445" width="11.42578125" style="153"/>
    <col min="446" max="446" width="12.28515625" style="153" customWidth="1"/>
    <col min="447" max="448" width="6.42578125" style="153" customWidth="1"/>
    <col min="449" max="449" width="10.140625" style="153" customWidth="1"/>
    <col min="450" max="450" width="8.28515625" style="153" customWidth="1"/>
    <col min="451" max="451" width="8.140625" style="153" customWidth="1"/>
    <col min="452" max="459" width="6.42578125" style="153" customWidth="1"/>
    <col min="460" max="460" width="5.28515625" style="153" customWidth="1"/>
    <col min="461" max="461" width="6.42578125" style="153" customWidth="1"/>
    <col min="462" max="462" width="10.7109375" style="153" customWidth="1"/>
    <col min="463" max="464" width="6.42578125" style="153" customWidth="1"/>
    <col min="465" max="465" width="6.5703125" style="153" customWidth="1"/>
    <col min="466" max="466" width="6.42578125" style="153" customWidth="1"/>
    <col min="467" max="467" width="8.5703125" style="153" customWidth="1"/>
    <col min="468" max="701" width="11.42578125" style="153"/>
    <col min="702" max="702" width="12.28515625" style="153" customWidth="1"/>
    <col min="703" max="704" width="6.42578125" style="153" customWidth="1"/>
    <col min="705" max="705" width="10.140625" style="153" customWidth="1"/>
    <col min="706" max="706" width="8.28515625" style="153" customWidth="1"/>
    <col min="707" max="707" width="8.140625" style="153" customWidth="1"/>
    <col min="708" max="715" width="6.42578125" style="153" customWidth="1"/>
    <col min="716" max="716" width="5.28515625" style="153" customWidth="1"/>
    <col min="717" max="717" width="6.42578125" style="153" customWidth="1"/>
    <col min="718" max="718" width="10.7109375" style="153" customWidth="1"/>
    <col min="719" max="720" width="6.42578125" style="153" customWidth="1"/>
    <col min="721" max="721" width="6.5703125" style="153" customWidth="1"/>
    <col min="722" max="722" width="6.42578125" style="153" customWidth="1"/>
    <col min="723" max="723" width="8.5703125" style="153" customWidth="1"/>
    <col min="724" max="957" width="11.42578125" style="153"/>
    <col min="958" max="958" width="12.28515625" style="153" customWidth="1"/>
    <col min="959" max="960" width="6.42578125" style="153" customWidth="1"/>
    <col min="961" max="961" width="10.140625" style="153" customWidth="1"/>
    <col min="962" max="962" width="8.28515625" style="153" customWidth="1"/>
    <col min="963" max="963" width="8.140625" style="153" customWidth="1"/>
    <col min="964" max="971" width="6.42578125" style="153" customWidth="1"/>
    <col min="972" max="972" width="5.28515625" style="153" customWidth="1"/>
    <col min="973" max="973" width="6.42578125" style="153" customWidth="1"/>
    <col min="974" max="974" width="10.7109375" style="153" customWidth="1"/>
    <col min="975" max="976" width="6.42578125" style="153" customWidth="1"/>
    <col min="977" max="977" width="6.5703125" style="153" customWidth="1"/>
    <col min="978" max="978" width="6.42578125" style="153" customWidth="1"/>
    <col min="979" max="979" width="8.5703125" style="153" customWidth="1"/>
    <col min="980" max="1213" width="11.42578125" style="153"/>
    <col min="1214" max="1214" width="12.28515625" style="153" customWidth="1"/>
    <col min="1215" max="1216" width="6.42578125" style="153" customWidth="1"/>
    <col min="1217" max="1217" width="10.140625" style="153" customWidth="1"/>
    <col min="1218" max="1218" width="8.28515625" style="153" customWidth="1"/>
    <col min="1219" max="1219" width="8.140625" style="153" customWidth="1"/>
    <col min="1220" max="1227" width="6.42578125" style="153" customWidth="1"/>
    <col min="1228" max="1228" width="5.28515625" style="153" customWidth="1"/>
    <col min="1229" max="1229" width="6.42578125" style="153" customWidth="1"/>
    <col min="1230" max="1230" width="10.7109375" style="153" customWidth="1"/>
    <col min="1231" max="1232" width="6.42578125" style="153" customWidth="1"/>
    <col min="1233" max="1233" width="6.5703125" style="153" customWidth="1"/>
    <col min="1234" max="1234" width="6.42578125" style="153" customWidth="1"/>
    <col min="1235" max="1235" width="8.5703125" style="153" customWidth="1"/>
    <col min="1236" max="1469" width="11.42578125" style="153"/>
    <col min="1470" max="1470" width="12.28515625" style="153" customWidth="1"/>
    <col min="1471" max="1472" width="6.42578125" style="153" customWidth="1"/>
    <col min="1473" max="1473" width="10.140625" style="153" customWidth="1"/>
    <col min="1474" max="1474" width="8.28515625" style="153" customWidth="1"/>
    <col min="1475" max="1475" width="8.140625" style="153" customWidth="1"/>
    <col min="1476" max="1483" width="6.42578125" style="153" customWidth="1"/>
    <col min="1484" max="1484" width="5.28515625" style="153" customWidth="1"/>
    <col min="1485" max="1485" width="6.42578125" style="153" customWidth="1"/>
    <col min="1486" max="1486" width="10.7109375" style="153" customWidth="1"/>
    <col min="1487" max="1488" width="6.42578125" style="153" customWidth="1"/>
    <col min="1489" max="1489" width="6.5703125" style="153" customWidth="1"/>
    <col min="1490" max="1490" width="6.42578125" style="153" customWidth="1"/>
    <col min="1491" max="1491" width="8.5703125" style="153" customWidth="1"/>
    <col min="1492" max="1725" width="11.42578125" style="153"/>
    <col min="1726" max="1726" width="12.28515625" style="153" customWidth="1"/>
    <col min="1727" max="1728" width="6.42578125" style="153" customWidth="1"/>
    <col min="1729" max="1729" width="10.140625" style="153" customWidth="1"/>
    <col min="1730" max="1730" width="8.28515625" style="153" customWidth="1"/>
    <col min="1731" max="1731" width="8.140625" style="153" customWidth="1"/>
    <col min="1732" max="1739" width="6.42578125" style="153" customWidth="1"/>
    <col min="1740" max="1740" width="5.28515625" style="153" customWidth="1"/>
    <col min="1741" max="1741" width="6.42578125" style="153" customWidth="1"/>
    <col min="1742" max="1742" width="10.7109375" style="153" customWidth="1"/>
    <col min="1743" max="1744" width="6.42578125" style="153" customWidth="1"/>
    <col min="1745" max="1745" width="6.5703125" style="153" customWidth="1"/>
    <col min="1746" max="1746" width="6.42578125" style="153" customWidth="1"/>
    <col min="1747" max="1747" width="8.5703125" style="153" customWidth="1"/>
    <col min="1748" max="1981" width="11.42578125" style="153"/>
    <col min="1982" max="1982" width="12.28515625" style="153" customWidth="1"/>
    <col min="1983" max="1984" width="6.42578125" style="153" customWidth="1"/>
    <col min="1985" max="1985" width="10.140625" style="153" customWidth="1"/>
    <col min="1986" max="1986" width="8.28515625" style="153" customWidth="1"/>
    <col min="1987" max="1987" width="8.140625" style="153" customWidth="1"/>
    <col min="1988" max="1995" width="6.42578125" style="153" customWidth="1"/>
    <col min="1996" max="1996" width="5.28515625" style="153" customWidth="1"/>
    <col min="1997" max="1997" width="6.42578125" style="153" customWidth="1"/>
    <col min="1998" max="1998" width="10.7109375" style="153" customWidth="1"/>
    <col min="1999" max="2000" width="6.42578125" style="153" customWidth="1"/>
    <col min="2001" max="2001" width="6.5703125" style="153" customWidth="1"/>
    <col min="2002" max="2002" width="6.42578125" style="153" customWidth="1"/>
    <col min="2003" max="2003" width="8.5703125" style="153" customWidth="1"/>
    <col min="2004" max="2237" width="11.42578125" style="153"/>
    <col min="2238" max="2238" width="12.28515625" style="153" customWidth="1"/>
    <col min="2239" max="2240" width="6.42578125" style="153" customWidth="1"/>
    <col min="2241" max="2241" width="10.140625" style="153" customWidth="1"/>
    <col min="2242" max="2242" width="8.28515625" style="153" customWidth="1"/>
    <col min="2243" max="2243" width="8.140625" style="153" customWidth="1"/>
    <col min="2244" max="2251" width="6.42578125" style="153" customWidth="1"/>
    <col min="2252" max="2252" width="5.28515625" style="153" customWidth="1"/>
    <col min="2253" max="2253" width="6.42578125" style="153" customWidth="1"/>
    <col min="2254" max="2254" width="10.7109375" style="153" customWidth="1"/>
    <col min="2255" max="2256" width="6.42578125" style="153" customWidth="1"/>
    <col min="2257" max="2257" width="6.5703125" style="153" customWidth="1"/>
    <col min="2258" max="2258" width="6.42578125" style="153" customWidth="1"/>
    <col min="2259" max="2259" width="8.5703125" style="153" customWidth="1"/>
    <col min="2260" max="2493" width="11.42578125" style="153"/>
    <col min="2494" max="2494" width="12.28515625" style="153" customWidth="1"/>
    <col min="2495" max="2496" width="6.42578125" style="153" customWidth="1"/>
    <col min="2497" max="2497" width="10.140625" style="153" customWidth="1"/>
    <col min="2498" max="2498" width="8.28515625" style="153" customWidth="1"/>
    <col min="2499" max="2499" width="8.140625" style="153" customWidth="1"/>
    <col min="2500" max="2507" width="6.42578125" style="153" customWidth="1"/>
    <col min="2508" max="2508" width="5.28515625" style="153" customWidth="1"/>
    <col min="2509" max="2509" width="6.42578125" style="153" customWidth="1"/>
    <col min="2510" max="2510" width="10.7109375" style="153" customWidth="1"/>
    <col min="2511" max="2512" width="6.42578125" style="153" customWidth="1"/>
    <col min="2513" max="2513" width="6.5703125" style="153" customWidth="1"/>
    <col min="2514" max="2514" width="6.42578125" style="153" customWidth="1"/>
    <col min="2515" max="2515" width="8.5703125" style="153" customWidth="1"/>
    <col min="2516" max="2749" width="11.42578125" style="153"/>
    <col min="2750" max="2750" width="12.28515625" style="153" customWidth="1"/>
    <col min="2751" max="2752" width="6.42578125" style="153" customWidth="1"/>
    <col min="2753" max="2753" width="10.140625" style="153" customWidth="1"/>
    <col min="2754" max="2754" width="8.28515625" style="153" customWidth="1"/>
    <col min="2755" max="2755" width="8.140625" style="153" customWidth="1"/>
    <col min="2756" max="2763" width="6.42578125" style="153" customWidth="1"/>
    <col min="2764" max="2764" width="5.28515625" style="153" customWidth="1"/>
    <col min="2765" max="2765" width="6.42578125" style="153" customWidth="1"/>
    <col min="2766" max="2766" width="10.7109375" style="153" customWidth="1"/>
    <col min="2767" max="2768" width="6.42578125" style="153" customWidth="1"/>
    <col min="2769" max="2769" width="6.5703125" style="153" customWidth="1"/>
    <col min="2770" max="2770" width="6.42578125" style="153" customWidth="1"/>
    <col min="2771" max="2771" width="8.5703125" style="153" customWidth="1"/>
    <col min="2772" max="3005" width="11.42578125" style="153"/>
    <col min="3006" max="3006" width="12.28515625" style="153" customWidth="1"/>
    <col min="3007" max="3008" width="6.42578125" style="153" customWidth="1"/>
    <col min="3009" max="3009" width="10.140625" style="153" customWidth="1"/>
    <col min="3010" max="3010" width="8.28515625" style="153" customWidth="1"/>
    <col min="3011" max="3011" width="8.140625" style="153" customWidth="1"/>
    <col min="3012" max="3019" width="6.42578125" style="153" customWidth="1"/>
    <col min="3020" max="3020" width="5.28515625" style="153" customWidth="1"/>
    <col min="3021" max="3021" width="6.42578125" style="153" customWidth="1"/>
    <col min="3022" max="3022" width="10.7109375" style="153" customWidth="1"/>
    <col min="3023" max="3024" width="6.42578125" style="153" customWidth="1"/>
    <col min="3025" max="3025" width="6.5703125" style="153" customWidth="1"/>
    <col min="3026" max="3026" width="6.42578125" style="153" customWidth="1"/>
    <col min="3027" max="3027" width="8.5703125" style="153" customWidth="1"/>
    <col min="3028" max="3261" width="11.42578125" style="153"/>
    <col min="3262" max="3262" width="12.28515625" style="153" customWidth="1"/>
    <col min="3263" max="3264" width="6.42578125" style="153" customWidth="1"/>
    <col min="3265" max="3265" width="10.140625" style="153" customWidth="1"/>
    <col min="3266" max="3266" width="8.28515625" style="153" customWidth="1"/>
    <col min="3267" max="3267" width="8.140625" style="153" customWidth="1"/>
    <col min="3268" max="3275" width="6.42578125" style="153" customWidth="1"/>
    <col min="3276" max="3276" width="5.28515625" style="153" customWidth="1"/>
    <col min="3277" max="3277" width="6.42578125" style="153" customWidth="1"/>
    <col min="3278" max="3278" width="10.7109375" style="153" customWidth="1"/>
    <col min="3279" max="3280" width="6.42578125" style="153" customWidth="1"/>
    <col min="3281" max="3281" width="6.5703125" style="153" customWidth="1"/>
    <col min="3282" max="3282" width="6.42578125" style="153" customWidth="1"/>
    <col min="3283" max="3283" width="8.5703125" style="153" customWidth="1"/>
    <col min="3284" max="3517" width="11.42578125" style="153"/>
    <col min="3518" max="3518" width="12.28515625" style="153" customWidth="1"/>
    <col min="3519" max="3520" width="6.42578125" style="153" customWidth="1"/>
    <col min="3521" max="3521" width="10.140625" style="153" customWidth="1"/>
    <col min="3522" max="3522" width="8.28515625" style="153" customWidth="1"/>
    <col min="3523" max="3523" width="8.140625" style="153" customWidth="1"/>
    <col min="3524" max="3531" width="6.42578125" style="153" customWidth="1"/>
    <col min="3532" max="3532" width="5.28515625" style="153" customWidth="1"/>
    <col min="3533" max="3533" width="6.42578125" style="153" customWidth="1"/>
    <col min="3534" max="3534" width="10.7109375" style="153" customWidth="1"/>
    <col min="3535" max="3536" width="6.42578125" style="153" customWidth="1"/>
    <col min="3537" max="3537" width="6.5703125" style="153" customWidth="1"/>
    <col min="3538" max="3538" width="6.42578125" style="153" customWidth="1"/>
    <col min="3539" max="3539" width="8.5703125" style="153" customWidth="1"/>
    <col min="3540" max="3773" width="11.42578125" style="153"/>
    <col min="3774" max="3774" width="12.28515625" style="153" customWidth="1"/>
    <col min="3775" max="3776" width="6.42578125" style="153" customWidth="1"/>
    <col min="3777" max="3777" width="10.140625" style="153" customWidth="1"/>
    <col min="3778" max="3778" width="8.28515625" style="153" customWidth="1"/>
    <col min="3779" max="3779" width="8.140625" style="153" customWidth="1"/>
    <col min="3780" max="3787" width="6.42578125" style="153" customWidth="1"/>
    <col min="3788" max="3788" width="5.28515625" style="153" customWidth="1"/>
    <col min="3789" max="3789" width="6.42578125" style="153" customWidth="1"/>
    <col min="3790" max="3790" width="10.7109375" style="153" customWidth="1"/>
    <col min="3791" max="3792" width="6.42578125" style="153" customWidth="1"/>
    <col min="3793" max="3793" width="6.5703125" style="153" customWidth="1"/>
    <col min="3794" max="3794" width="6.42578125" style="153" customWidth="1"/>
    <col min="3795" max="3795" width="8.5703125" style="153" customWidth="1"/>
    <col min="3796" max="4029" width="11.42578125" style="153"/>
    <col min="4030" max="4030" width="12.28515625" style="153" customWidth="1"/>
    <col min="4031" max="4032" width="6.42578125" style="153" customWidth="1"/>
    <col min="4033" max="4033" width="10.140625" style="153" customWidth="1"/>
    <col min="4034" max="4034" width="8.28515625" style="153" customWidth="1"/>
    <col min="4035" max="4035" width="8.140625" style="153" customWidth="1"/>
    <col min="4036" max="4043" width="6.42578125" style="153" customWidth="1"/>
    <col min="4044" max="4044" width="5.28515625" style="153" customWidth="1"/>
    <col min="4045" max="4045" width="6.42578125" style="153" customWidth="1"/>
    <col min="4046" max="4046" width="10.7109375" style="153" customWidth="1"/>
    <col min="4047" max="4048" width="6.42578125" style="153" customWidth="1"/>
    <col min="4049" max="4049" width="6.5703125" style="153" customWidth="1"/>
    <col min="4050" max="4050" width="6.42578125" style="153" customWidth="1"/>
    <col min="4051" max="4051" width="8.5703125" style="153" customWidth="1"/>
    <col min="4052" max="4285" width="11.42578125" style="153"/>
    <col min="4286" max="4286" width="12.28515625" style="153" customWidth="1"/>
    <col min="4287" max="4288" width="6.42578125" style="153" customWidth="1"/>
    <col min="4289" max="4289" width="10.140625" style="153" customWidth="1"/>
    <col min="4290" max="4290" width="8.28515625" style="153" customWidth="1"/>
    <col min="4291" max="4291" width="8.140625" style="153" customWidth="1"/>
    <col min="4292" max="4299" width="6.42578125" style="153" customWidth="1"/>
    <col min="4300" max="4300" width="5.28515625" style="153" customWidth="1"/>
    <col min="4301" max="4301" width="6.42578125" style="153" customWidth="1"/>
    <col min="4302" max="4302" width="10.7109375" style="153" customWidth="1"/>
    <col min="4303" max="4304" width="6.42578125" style="153" customWidth="1"/>
    <col min="4305" max="4305" width="6.5703125" style="153" customWidth="1"/>
    <col min="4306" max="4306" width="6.42578125" style="153" customWidth="1"/>
    <col min="4307" max="4307" width="8.5703125" style="153" customWidth="1"/>
    <col min="4308" max="4541" width="11.42578125" style="153"/>
    <col min="4542" max="4542" width="12.28515625" style="153" customWidth="1"/>
    <col min="4543" max="4544" width="6.42578125" style="153" customWidth="1"/>
    <col min="4545" max="4545" width="10.140625" style="153" customWidth="1"/>
    <col min="4546" max="4546" width="8.28515625" style="153" customWidth="1"/>
    <col min="4547" max="4547" width="8.140625" style="153" customWidth="1"/>
    <col min="4548" max="4555" width="6.42578125" style="153" customWidth="1"/>
    <col min="4556" max="4556" width="5.28515625" style="153" customWidth="1"/>
    <col min="4557" max="4557" width="6.42578125" style="153" customWidth="1"/>
    <col min="4558" max="4558" width="10.7109375" style="153" customWidth="1"/>
    <col min="4559" max="4560" width="6.42578125" style="153" customWidth="1"/>
    <col min="4561" max="4561" width="6.5703125" style="153" customWidth="1"/>
    <col min="4562" max="4562" width="6.42578125" style="153" customWidth="1"/>
    <col min="4563" max="4563" width="8.5703125" style="153" customWidth="1"/>
    <col min="4564" max="4797" width="11.42578125" style="153"/>
    <col min="4798" max="4798" width="12.28515625" style="153" customWidth="1"/>
    <col min="4799" max="4800" width="6.42578125" style="153" customWidth="1"/>
    <col min="4801" max="4801" width="10.140625" style="153" customWidth="1"/>
    <col min="4802" max="4802" width="8.28515625" style="153" customWidth="1"/>
    <col min="4803" max="4803" width="8.140625" style="153" customWidth="1"/>
    <col min="4804" max="4811" width="6.42578125" style="153" customWidth="1"/>
    <col min="4812" max="4812" width="5.28515625" style="153" customWidth="1"/>
    <col min="4813" max="4813" width="6.42578125" style="153" customWidth="1"/>
    <col min="4814" max="4814" width="10.7109375" style="153" customWidth="1"/>
    <col min="4815" max="4816" width="6.42578125" style="153" customWidth="1"/>
    <col min="4817" max="4817" width="6.5703125" style="153" customWidth="1"/>
    <col min="4818" max="4818" width="6.42578125" style="153" customWidth="1"/>
    <col min="4819" max="4819" width="8.5703125" style="153" customWidth="1"/>
    <col min="4820" max="5053" width="11.42578125" style="153"/>
    <col min="5054" max="5054" width="12.28515625" style="153" customWidth="1"/>
    <col min="5055" max="5056" width="6.42578125" style="153" customWidth="1"/>
    <col min="5057" max="5057" width="10.140625" style="153" customWidth="1"/>
    <col min="5058" max="5058" width="8.28515625" style="153" customWidth="1"/>
    <col min="5059" max="5059" width="8.140625" style="153" customWidth="1"/>
    <col min="5060" max="5067" width="6.42578125" style="153" customWidth="1"/>
    <col min="5068" max="5068" width="5.28515625" style="153" customWidth="1"/>
    <col min="5069" max="5069" width="6.42578125" style="153" customWidth="1"/>
    <col min="5070" max="5070" width="10.7109375" style="153" customWidth="1"/>
    <col min="5071" max="5072" width="6.42578125" style="153" customWidth="1"/>
    <col min="5073" max="5073" width="6.5703125" style="153" customWidth="1"/>
    <col min="5074" max="5074" width="6.42578125" style="153" customWidth="1"/>
    <col min="5075" max="5075" width="8.5703125" style="153" customWidth="1"/>
    <col min="5076" max="5309" width="11.42578125" style="153"/>
    <col min="5310" max="5310" width="12.28515625" style="153" customWidth="1"/>
    <col min="5311" max="5312" width="6.42578125" style="153" customWidth="1"/>
    <col min="5313" max="5313" width="10.140625" style="153" customWidth="1"/>
    <col min="5314" max="5314" width="8.28515625" style="153" customWidth="1"/>
    <col min="5315" max="5315" width="8.140625" style="153" customWidth="1"/>
    <col min="5316" max="5323" width="6.42578125" style="153" customWidth="1"/>
    <col min="5324" max="5324" width="5.28515625" style="153" customWidth="1"/>
    <col min="5325" max="5325" width="6.42578125" style="153" customWidth="1"/>
    <col min="5326" max="5326" width="10.7109375" style="153" customWidth="1"/>
    <col min="5327" max="5328" width="6.42578125" style="153" customWidth="1"/>
    <col min="5329" max="5329" width="6.5703125" style="153" customWidth="1"/>
    <col min="5330" max="5330" width="6.42578125" style="153" customWidth="1"/>
    <col min="5331" max="5331" width="8.5703125" style="153" customWidth="1"/>
    <col min="5332" max="5565" width="11.42578125" style="153"/>
    <col min="5566" max="5566" width="12.28515625" style="153" customWidth="1"/>
    <col min="5567" max="5568" width="6.42578125" style="153" customWidth="1"/>
    <col min="5569" max="5569" width="10.140625" style="153" customWidth="1"/>
    <col min="5570" max="5570" width="8.28515625" style="153" customWidth="1"/>
    <col min="5571" max="5571" width="8.140625" style="153" customWidth="1"/>
    <col min="5572" max="5579" width="6.42578125" style="153" customWidth="1"/>
    <col min="5580" max="5580" width="5.28515625" style="153" customWidth="1"/>
    <col min="5581" max="5581" width="6.42578125" style="153" customWidth="1"/>
    <col min="5582" max="5582" width="10.7109375" style="153" customWidth="1"/>
    <col min="5583" max="5584" width="6.42578125" style="153" customWidth="1"/>
    <col min="5585" max="5585" width="6.5703125" style="153" customWidth="1"/>
    <col min="5586" max="5586" width="6.42578125" style="153" customWidth="1"/>
    <col min="5587" max="5587" width="8.5703125" style="153" customWidth="1"/>
    <col min="5588" max="5821" width="11.42578125" style="153"/>
    <col min="5822" max="5822" width="12.28515625" style="153" customWidth="1"/>
    <col min="5823" max="5824" width="6.42578125" style="153" customWidth="1"/>
    <col min="5825" max="5825" width="10.140625" style="153" customWidth="1"/>
    <col min="5826" max="5826" width="8.28515625" style="153" customWidth="1"/>
    <col min="5827" max="5827" width="8.140625" style="153" customWidth="1"/>
    <col min="5828" max="5835" width="6.42578125" style="153" customWidth="1"/>
    <col min="5836" max="5836" width="5.28515625" style="153" customWidth="1"/>
    <col min="5837" max="5837" width="6.42578125" style="153" customWidth="1"/>
    <col min="5838" max="5838" width="10.7109375" style="153" customWidth="1"/>
    <col min="5839" max="5840" width="6.42578125" style="153" customWidth="1"/>
    <col min="5841" max="5841" width="6.5703125" style="153" customWidth="1"/>
    <col min="5842" max="5842" width="6.42578125" style="153" customWidth="1"/>
    <col min="5843" max="5843" width="8.5703125" style="153" customWidth="1"/>
    <col min="5844" max="6077" width="11.42578125" style="153"/>
    <col min="6078" max="6078" width="12.28515625" style="153" customWidth="1"/>
    <col min="6079" max="6080" width="6.42578125" style="153" customWidth="1"/>
    <col min="6081" max="6081" width="10.140625" style="153" customWidth="1"/>
    <col min="6082" max="6082" width="8.28515625" style="153" customWidth="1"/>
    <col min="6083" max="6083" width="8.140625" style="153" customWidth="1"/>
    <col min="6084" max="6091" width="6.42578125" style="153" customWidth="1"/>
    <col min="6092" max="6092" width="5.28515625" style="153" customWidth="1"/>
    <col min="6093" max="6093" width="6.42578125" style="153" customWidth="1"/>
    <col min="6094" max="6094" width="10.7109375" style="153" customWidth="1"/>
    <col min="6095" max="6096" width="6.42578125" style="153" customWidth="1"/>
    <col min="6097" max="6097" width="6.5703125" style="153" customWidth="1"/>
    <col min="6098" max="6098" width="6.42578125" style="153" customWidth="1"/>
    <col min="6099" max="6099" width="8.5703125" style="153" customWidth="1"/>
    <col min="6100" max="6333" width="11.42578125" style="153"/>
    <col min="6334" max="6334" width="12.28515625" style="153" customWidth="1"/>
    <col min="6335" max="6336" width="6.42578125" style="153" customWidth="1"/>
    <col min="6337" max="6337" width="10.140625" style="153" customWidth="1"/>
    <col min="6338" max="6338" width="8.28515625" style="153" customWidth="1"/>
    <col min="6339" max="6339" width="8.140625" style="153" customWidth="1"/>
    <col min="6340" max="6347" width="6.42578125" style="153" customWidth="1"/>
    <col min="6348" max="6348" width="5.28515625" style="153" customWidth="1"/>
    <col min="6349" max="6349" width="6.42578125" style="153" customWidth="1"/>
    <col min="6350" max="6350" width="10.7109375" style="153" customWidth="1"/>
    <col min="6351" max="6352" width="6.42578125" style="153" customWidth="1"/>
    <col min="6353" max="6353" width="6.5703125" style="153" customWidth="1"/>
    <col min="6354" max="6354" width="6.42578125" style="153" customWidth="1"/>
    <col min="6355" max="6355" width="8.5703125" style="153" customWidth="1"/>
    <col min="6356" max="6589" width="11.42578125" style="153"/>
    <col min="6590" max="6590" width="12.28515625" style="153" customWidth="1"/>
    <col min="6591" max="6592" width="6.42578125" style="153" customWidth="1"/>
    <col min="6593" max="6593" width="10.140625" style="153" customWidth="1"/>
    <col min="6594" max="6594" width="8.28515625" style="153" customWidth="1"/>
    <col min="6595" max="6595" width="8.140625" style="153" customWidth="1"/>
    <col min="6596" max="6603" width="6.42578125" style="153" customWidth="1"/>
    <col min="6604" max="6604" width="5.28515625" style="153" customWidth="1"/>
    <col min="6605" max="6605" width="6.42578125" style="153" customWidth="1"/>
    <col min="6606" max="6606" width="10.7109375" style="153" customWidth="1"/>
    <col min="6607" max="6608" width="6.42578125" style="153" customWidth="1"/>
    <col min="6609" max="6609" width="6.5703125" style="153" customWidth="1"/>
    <col min="6610" max="6610" width="6.42578125" style="153" customWidth="1"/>
    <col min="6611" max="6611" width="8.5703125" style="153" customWidth="1"/>
    <col min="6612" max="6845" width="11.42578125" style="153"/>
    <col min="6846" max="6846" width="12.28515625" style="153" customWidth="1"/>
    <col min="6847" max="6848" width="6.42578125" style="153" customWidth="1"/>
    <col min="6849" max="6849" width="10.140625" style="153" customWidth="1"/>
    <col min="6850" max="6850" width="8.28515625" style="153" customWidth="1"/>
    <col min="6851" max="6851" width="8.140625" style="153" customWidth="1"/>
    <col min="6852" max="6859" width="6.42578125" style="153" customWidth="1"/>
    <col min="6860" max="6860" width="5.28515625" style="153" customWidth="1"/>
    <col min="6861" max="6861" width="6.42578125" style="153" customWidth="1"/>
    <col min="6862" max="6862" width="10.7109375" style="153" customWidth="1"/>
    <col min="6863" max="6864" width="6.42578125" style="153" customWidth="1"/>
    <col min="6865" max="6865" width="6.5703125" style="153" customWidth="1"/>
    <col min="6866" max="6866" width="6.42578125" style="153" customWidth="1"/>
    <col min="6867" max="6867" width="8.5703125" style="153" customWidth="1"/>
    <col min="6868" max="7101" width="11.42578125" style="153"/>
    <col min="7102" max="7102" width="12.28515625" style="153" customWidth="1"/>
    <col min="7103" max="7104" width="6.42578125" style="153" customWidth="1"/>
    <col min="7105" max="7105" width="10.140625" style="153" customWidth="1"/>
    <col min="7106" max="7106" width="8.28515625" style="153" customWidth="1"/>
    <col min="7107" max="7107" width="8.140625" style="153" customWidth="1"/>
    <col min="7108" max="7115" width="6.42578125" style="153" customWidth="1"/>
    <col min="7116" max="7116" width="5.28515625" style="153" customWidth="1"/>
    <col min="7117" max="7117" width="6.42578125" style="153" customWidth="1"/>
    <col min="7118" max="7118" width="10.7109375" style="153" customWidth="1"/>
    <col min="7119" max="7120" width="6.42578125" style="153" customWidth="1"/>
    <col min="7121" max="7121" width="6.5703125" style="153" customWidth="1"/>
    <col min="7122" max="7122" width="6.42578125" style="153" customWidth="1"/>
    <col min="7123" max="7123" width="8.5703125" style="153" customWidth="1"/>
    <col min="7124" max="7357" width="11.42578125" style="153"/>
    <col min="7358" max="7358" width="12.28515625" style="153" customWidth="1"/>
    <col min="7359" max="7360" width="6.42578125" style="153" customWidth="1"/>
    <col min="7361" max="7361" width="10.140625" style="153" customWidth="1"/>
    <col min="7362" max="7362" width="8.28515625" style="153" customWidth="1"/>
    <col min="7363" max="7363" width="8.140625" style="153" customWidth="1"/>
    <col min="7364" max="7371" width="6.42578125" style="153" customWidth="1"/>
    <col min="7372" max="7372" width="5.28515625" style="153" customWidth="1"/>
    <col min="7373" max="7373" width="6.42578125" style="153" customWidth="1"/>
    <col min="7374" max="7374" width="10.7109375" style="153" customWidth="1"/>
    <col min="7375" max="7376" width="6.42578125" style="153" customWidth="1"/>
    <col min="7377" max="7377" width="6.5703125" style="153" customWidth="1"/>
    <col min="7378" max="7378" width="6.42578125" style="153" customWidth="1"/>
    <col min="7379" max="7379" width="8.5703125" style="153" customWidth="1"/>
    <col min="7380" max="7613" width="11.42578125" style="153"/>
    <col min="7614" max="7614" width="12.28515625" style="153" customWidth="1"/>
    <col min="7615" max="7616" width="6.42578125" style="153" customWidth="1"/>
    <col min="7617" max="7617" width="10.140625" style="153" customWidth="1"/>
    <col min="7618" max="7618" width="8.28515625" style="153" customWidth="1"/>
    <col min="7619" max="7619" width="8.140625" style="153" customWidth="1"/>
    <col min="7620" max="7627" width="6.42578125" style="153" customWidth="1"/>
    <col min="7628" max="7628" width="5.28515625" style="153" customWidth="1"/>
    <col min="7629" max="7629" width="6.42578125" style="153" customWidth="1"/>
    <col min="7630" max="7630" width="10.7109375" style="153" customWidth="1"/>
    <col min="7631" max="7632" width="6.42578125" style="153" customWidth="1"/>
    <col min="7633" max="7633" width="6.5703125" style="153" customWidth="1"/>
    <col min="7634" max="7634" width="6.42578125" style="153" customWidth="1"/>
    <col min="7635" max="7635" width="8.5703125" style="153" customWidth="1"/>
    <col min="7636" max="7869" width="11.42578125" style="153"/>
    <col min="7870" max="7870" width="12.28515625" style="153" customWidth="1"/>
    <col min="7871" max="7872" width="6.42578125" style="153" customWidth="1"/>
    <col min="7873" max="7873" width="10.140625" style="153" customWidth="1"/>
    <col min="7874" max="7874" width="8.28515625" style="153" customWidth="1"/>
    <col min="7875" max="7875" width="8.140625" style="153" customWidth="1"/>
    <col min="7876" max="7883" width="6.42578125" style="153" customWidth="1"/>
    <col min="7884" max="7884" width="5.28515625" style="153" customWidth="1"/>
    <col min="7885" max="7885" width="6.42578125" style="153" customWidth="1"/>
    <col min="7886" max="7886" width="10.7109375" style="153" customWidth="1"/>
    <col min="7887" max="7888" width="6.42578125" style="153" customWidth="1"/>
    <col min="7889" max="7889" width="6.5703125" style="153" customWidth="1"/>
    <col min="7890" max="7890" width="6.42578125" style="153" customWidth="1"/>
    <col min="7891" max="7891" width="8.5703125" style="153" customWidth="1"/>
    <col min="7892" max="8125" width="11.42578125" style="153"/>
    <col min="8126" max="8126" width="12.28515625" style="153" customWidth="1"/>
    <col min="8127" max="8128" width="6.42578125" style="153" customWidth="1"/>
    <col min="8129" max="8129" width="10.140625" style="153" customWidth="1"/>
    <col min="8130" max="8130" width="8.28515625" style="153" customWidth="1"/>
    <col min="8131" max="8131" width="8.140625" style="153" customWidth="1"/>
    <col min="8132" max="8139" width="6.42578125" style="153" customWidth="1"/>
    <col min="8140" max="8140" width="5.28515625" style="153" customWidth="1"/>
    <col min="8141" max="8141" width="6.42578125" style="153" customWidth="1"/>
    <col min="8142" max="8142" width="10.7109375" style="153" customWidth="1"/>
    <col min="8143" max="8144" width="6.42578125" style="153" customWidth="1"/>
    <col min="8145" max="8145" width="6.5703125" style="153" customWidth="1"/>
    <col min="8146" max="8146" width="6.42578125" style="153" customWidth="1"/>
    <col min="8147" max="8147" width="8.5703125" style="153" customWidth="1"/>
    <col min="8148" max="8381" width="11.42578125" style="153"/>
    <col min="8382" max="8382" width="12.28515625" style="153" customWidth="1"/>
    <col min="8383" max="8384" width="6.42578125" style="153" customWidth="1"/>
    <col min="8385" max="8385" width="10.140625" style="153" customWidth="1"/>
    <col min="8386" max="8386" width="8.28515625" style="153" customWidth="1"/>
    <col min="8387" max="8387" width="8.140625" style="153" customWidth="1"/>
    <col min="8388" max="8395" width="6.42578125" style="153" customWidth="1"/>
    <col min="8396" max="8396" width="5.28515625" style="153" customWidth="1"/>
    <col min="8397" max="8397" width="6.42578125" style="153" customWidth="1"/>
    <col min="8398" max="8398" width="10.7109375" style="153" customWidth="1"/>
    <col min="8399" max="8400" width="6.42578125" style="153" customWidth="1"/>
    <col min="8401" max="8401" width="6.5703125" style="153" customWidth="1"/>
    <col min="8402" max="8402" width="6.42578125" style="153" customWidth="1"/>
    <col min="8403" max="8403" width="8.5703125" style="153" customWidth="1"/>
    <col min="8404" max="8637" width="11.42578125" style="153"/>
    <col min="8638" max="8638" width="12.28515625" style="153" customWidth="1"/>
    <col min="8639" max="8640" width="6.42578125" style="153" customWidth="1"/>
    <col min="8641" max="8641" width="10.140625" style="153" customWidth="1"/>
    <col min="8642" max="8642" width="8.28515625" style="153" customWidth="1"/>
    <col min="8643" max="8643" width="8.140625" style="153" customWidth="1"/>
    <col min="8644" max="8651" width="6.42578125" style="153" customWidth="1"/>
    <col min="8652" max="8652" width="5.28515625" style="153" customWidth="1"/>
    <col min="8653" max="8653" width="6.42578125" style="153" customWidth="1"/>
    <col min="8654" max="8654" width="10.7109375" style="153" customWidth="1"/>
    <col min="8655" max="8656" width="6.42578125" style="153" customWidth="1"/>
    <col min="8657" max="8657" width="6.5703125" style="153" customWidth="1"/>
    <col min="8658" max="8658" width="6.42578125" style="153" customWidth="1"/>
    <col min="8659" max="8659" width="8.5703125" style="153" customWidth="1"/>
    <col min="8660" max="8893" width="11.42578125" style="153"/>
    <col min="8894" max="8894" width="12.28515625" style="153" customWidth="1"/>
    <col min="8895" max="8896" width="6.42578125" style="153" customWidth="1"/>
    <col min="8897" max="8897" width="10.140625" style="153" customWidth="1"/>
    <col min="8898" max="8898" width="8.28515625" style="153" customWidth="1"/>
    <col min="8899" max="8899" width="8.140625" style="153" customWidth="1"/>
    <col min="8900" max="8907" width="6.42578125" style="153" customWidth="1"/>
    <col min="8908" max="8908" width="5.28515625" style="153" customWidth="1"/>
    <col min="8909" max="8909" width="6.42578125" style="153" customWidth="1"/>
    <col min="8910" max="8910" width="10.7109375" style="153" customWidth="1"/>
    <col min="8911" max="8912" width="6.42578125" style="153" customWidth="1"/>
    <col min="8913" max="8913" width="6.5703125" style="153" customWidth="1"/>
    <col min="8914" max="8914" width="6.42578125" style="153" customWidth="1"/>
    <col min="8915" max="8915" width="8.5703125" style="153" customWidth="1"/>
    <col min="8916" max="9149" width="11.42578125" style="153"/>
    <col min="9150" max="9150" width="12.28515625" style="153" customWidth="1"/>
    <col min="9151" max="9152" width="6.42578125" style="153" customWidth="1"/>
    <col min="9153" max="9153" width="10.140625" style="153" customWidth="1"/>
    <col min="9154" max="9154" width="8.28515625" style="153" customWidth="1"/>
    <col min="9155" max="9155" width="8.140625" style="153" customWidth="1"/>
    <col min="9156" max="9163" width="6.42578125" style="153" customWidth="1"/>
    <col min="9164" max="9164" width="5.28515625" style="153" customWidth="1"/>
    <col min="9165" max="9165" width="6.42578125" style="153" customWidth="1"/>
    <col min="9166" max="9166" width="10.7109375" style="153" customWidth="1"/>
    <col min="9167" max="9168" width="6.42578125" style="153" customWidth="1"/>
    <col min="9169" max="9169" width="6.5703125" style="153" customWidth="1"/>
    <col min="9170" max="9170" width="6.42578125" style="153" customWidth="1"/>
    <col min="9171" max="9171" width="8.5703125" style="153" customWidth="1"/>
    <col min="9172" max="9405" width="11.42578125" style="153"/>
    <col min="9406" max="9406" width="12.28515625" style="153" customWidth="1"/>
    <col min="9407" max="9408" width="6.42578125" style="153" customWidth="1"/>
    <col min="9409" max="9409" width="10.140625" style="153" customWidth="1"/>
    <col min="9410" max="9410" width="8.28515625" style="153" customWidth="1"/>
    <col min="9411" max="9411" width="8.140625" style="153" customWidth="1"/>
    <col min="9412" max="9419" width="6.42578125" style="153" customWidth="1"/>
    <col min="9420" max="9420" width="5.28515625" style="153" customWidth="1"/>
    <col min="9421" max="9421" width="6.42578125" style="153" customWidth="1"/>
    <col min="9422" max="9422" width="10.7109375" style="153" customWidth="1"/>
    <col min="9423" max="9424" width="6.42578125" style="153" customWidth="1"/>
    <col min="9425" max="9425" width="6.5703125" style="153" customWidth="1"/>
    <col min="9426" max="9426" width="6.42578125" style="153" customWidth="1"/>
    <col min="9427" max="9427" width="8.5703125" style="153" customWidth="1"/>
    <col min="9428" max="9661" width="11.42578125" style="153"/>
    <col min="9662" max="9662" width="12.28515625" style="153" customWidth="1"/>
    <col min="9663" max="9664" width="6.42578125" style="153" customWidth="1"/>
    <col min="9665" max="9665" width="10.140625" style="153" customWidth="1"/>
    <col min="9666" max="9666" width="8.28515625" style="153" customWidth="1"/>
    <col min="9667" max="9667" width="8.140625" style="153" customWidth="1"/>
    <col min="9668" max="9675" width="6.42578125" style="153" customWidth="1"/>
    <col min="9676" max="9676" width="5.28515625" style="153" customWidth="1"/>
    <col min="9677" max="9677" width="6.42578125" style="153" customWidth="1"/>
    <col min="9678" max="9678" width="10.7109375" style="153" customWidth="1"/>
    <col min="9679" max="9680" width="6.42578125" style="153" customWidth="1"/>
    <col min="9681" max="9681" width="6.5703125" style="153" customWidth="1"/>
    <col min="9682" max="9682" width="6.42578125" style="153" customWidth="1"/>
    <col min="9683" max="9683" width="8.5703125" style="153" customWidth="1"/>
    <col min="9684" max="9917" width="11.42578125" style="153"/>
    <col min="9918" max="9918" width="12.28515625" style="153" customWidth="1"/>
    <col min="9919" max="9920" width="6.42578125" style="153" customWidth="1"/>
    <col min="9921" max="9921" width="10.140625" style="153" customWidth="1"/>
    <col min="9922" max="9922" width="8.28515625" style="153" customWidth="1"/>
    <col min="9923" max="9923" width="8.140625" style="153" customWidth="1"/>
    <col min="9924" max="9931" width="6.42578125" style="153" customWidth="1"/>
    <col min="9932" max="9932" width="5.28515625" style="153" customWidth="1"/>
    <col min="9933" max="9933" width="6.42578125" style="153" customWidth="1"/>
    <col min="9934" max="9934" width="10.7109375" style="153" customWidth="1"/>
    <col min="9935" max="9936" width="6.42578125" style="153" customWidth="1"/>
    <col min="9937" max="9937" width="6.5703125" style="153" customWidth="1"/>
    <col min="9938" max="9938" width="6.42578125" style="153" customWidth="1"/>
    <col min="9939" max="9939" width="8.5703125" style="153" customWidth="1"/>
    <col min="9940" max="10173" width="11.42578125" style="153"/>
    <col min="10174" max="10174" width="12.28515625" style="153" customWidth="1"/>
    <col min="10175" max="10176" width="6.42578125" style="153" customWidth="1"/>
    <col min="10177" max="10177" width="10.140625" style="153" customWidth="1"/>
    <col min="10178" max="10178" width="8.28515625" style="153" customWidth="1"/>
    <col min="10179" max="10179" width="8.140625" style="153" customWidth="1"/>
    <col min="10180" max="10187" width="6.42578125" style="153" customWidth="1"/>
    <col min="10188" max="10188" width="5.28515625" style="153" customWidth="1"/>
    <col min="10189" max="10189" width="6.42578125" style="153" customWidth="1"/>
    <col min="10190" max="10190" width="10.7109375" style="153" customWidth="1"/>
    <col min="10191" max="10192" width="6.42578125" style="153" customWidth="1"/>
    <col min="10193" max="10193" width="6.5703125" style="153" customWidth="1"/>
    <col min="10194" max="10194" width="6.42578125" style="153" customWidth="1"/>
    <col min="10195" max="10195" width="8.5703125" style="153" customWidth="1"/>
    <col min="10196" max="10429" width="11.42578125" style="153"/>
    <col min="10430" max="10430" width="12.28515625" style="153" customWidth="1"/>
    <col min="10431" max="10432" width="6.42578125" style="153" customWidth="1"/>
    <col min="10433" max="10433" width="10.140625" style="153" customWidth="1"/>
    <col min="10434" max="10434" width="8.28515625" style="153" customWidth="1"/>
    <col min="10435" max="10435" width="8.140625" style="153" customWidth="1"/>
    <col min="10436" max="10443" width="6.42578125" style="153" customWidth="1"/>
    <col min="10444" max="10444" width="5.28515625" style="153" customWidth="1"/>
    <col min="10445" max="10445" width="6.42578125" style="153" customWidth="1"/>
    <col min="10446" max="10446" width="10.7109375" style="153" customWidth="1"/>
    <col min="10447" max="10448" width="6.42578125" style="153" customWidth="1"/>
    <col min="10449" max="10449" width="6.5703125" style="153" customWidth="1"/>
    <col min="10450" max="10450" width="6.42578125" style="153" customWidth="1"/>
    <col min="10451" max="10451" width="8.5703125" style="153" customWidth="1"/>
    <col min="10452" max="10685" width="11.42578125" style="153"/>
    <col min="10686" max="10686" width="12.28515625" style="153" customWidth="1"/>
    <col min="10687" max="10688" width="6.42578125" style="153" customWidth="1"/>
    <col min="10689" max="10689" width="10.140625" style="153" customWidth="1"/>
    <col min="10690" max="10690" width="8.28515625" style="153" customWidth="1"/>
    <col min="10691" max="10691" width="8.140625" style="153" customWidth="1"/>
    <col min="10692" max="10699" width="6.42578125" style="153" customWidth="1"/>
    <col min="10700" max="10700" width="5.28515625" style="153" customWidth="1"/>
    <col min="10701" max="10701" width="6.42578125" style="153" customWidth="1"/>
    <col min="10702" max="10702" width="10.7109375" style="153" customWidth="1"/>
    <col min="10703" max="10704" width="6.42578125" style="153" customWidth="1"/>
    <col min="10705" max="10705" width="6.5703125" style="153" customWidth="1"/>
    <col min="10706" max="10706" width="6.42578125" style="153" customWidth="1"/>
    <col min="10707" max="10707" width="8.5703125" style="153" customWidth="1"/>
    <col min="10708" max="10941" width="11.42578125" style="153"/>
    <col min="10942" max="10942" width="12.28515625" style="153" customWidth="1"/>
    <col min="10943" max="10944" width="6.42578125" style="153" customWidth="1"/>
    <col min="10945" max="10945" width="10.140625" style="153" customWidth="1"/>
    <col min="10946" max="10946" width="8.28515625" style="153" customWidth="1"/>
    <col min="10947" max="10947" width="8.140625" style="153" customWidth="1"/>
    <col min="10948" max="10955" width="6.42578125" style="153" customWidth="1"/>
    <col min="10956" max="10956" width="5.28515625" style="153" customWidth="1"/>
    <col min="10957" max="10957" width="6.42578125" style="153" customWidth="1"/>
    <col min="10958" max="10958" width="10.7109375" style="153" customWidth="1"/>
    <col min="10959" max="10960" width="6.42578125" style="153" customWidth="1"/>
    <col min="10961" max="10961" width="6.5703125" style="153" customWidth="1"/>
    <col min="10962" max="10962" width="6.42578125" style="153" customWidth="1"/>
    <col min="10963" max="10963" width="8.5703125" style="153" customWidth="1"/>
    <col min="10964" max="11197" width="11.42578125" style="153"/>
    <col min="11198" max="11198" width="12.28515625" style="153" customWidth="1"/>
    <col min="11199" max="11200" width="6.42578125" style="153" customWidth="1"/>
    <col min="11201" max="11201" width="10.140625" style="153" customWidth="1"/>
    <col min="11202" max="11202" width="8.28515625" style="153" customWidth="1"/>
    <col min="11203" max="11203" width="8.140625" style="153" customWidth="1"/>
    <col min="11204" max="11211" width="6.42578125" style="153" customWidth="1"/>
    <col min="11212" max="11212" width="5.28515625" style="153" customWidth="1"/>
    <col min="11213" max="11213" width="6.42578125" style="153" customWidth="1"/>
    <col min="11214" max="11214" width="10.7109375" style="153" customWidth="1"/>
    <col min="11215" max="11216" width="6.42578125" style="153" customWidth="1"/>
    <col min="11217" max="11217" width="6.5703125" style="153" customWidth="1"/>
    <col min="11218" max="11218" width="6.42578125" style="153" customWidth="1"/>
    <col min="11219" max="11219" width="8.5703125" style="153" customWidth="1"/>
    <col min="11220" max="11453" width="11.42578125" style="153"/>
    <col min="11454" max="11454" width="12.28515625" style="153" customWidth="1"/>
    <col min="11455" max="11456" width="6.42578125" style="153" customWidth="1"/>
    <col min="11457" max="11457" width="10.140625" style="153" customWidth="1"/>
    <col min="11458" max="11458" width="8.28515625" style="153" customWidth="1"/>
    <col min="11459" max="11459" width="8.140625" style="153" customWidth="1"/>
    <col min="11460" max="11467" width="6.42578125" style="153" customWidth="1"/>
    <col min="11468" max="11468" width="5.28515625" style="153" customWidth="1"/>
    <col min="11469" max="11469" width="6.42578125" style="153" customWidth="1"/>
    <col min="11470" max="11470" width="10.7109375" style="153" customWidth="1"/>
    <col min="11471" max="11472" width="6.42578125" style="153" customWidth="1"/>
    <col min="11473" max="11473" width="6.5703125" style="153" customWidth="1"/>
    <col min="11474" max="11474" width="6.42578125" style="153" customWidth="1"/>
    <col min="11475" max="11475" width="8.5703125" style="153" customWidth="1"/>
    <col min="11476" max="11709" width="11.42578125" style="153"/>
    <col min="11710" max="11710" width="12.28515625" style="153" customWidth="1"/>
    <col min="11711" max="11712" width="6.42578125" style="153" customWidth="1"/>
    <col min="11713" max="11713" width="10.140625" style="153" customWidth="1"/>
    <col min="11714" max="11714" width="8.28515625" style="153" customWidth="1"/>
    <col min="11715" max="11715" width="8.140625" style="153" customWidth="1"/>
    <col min="11716" max="11723" width="6.42578125" style="153" customWidth="1"/>
    <col min="11724" max="11724" width="5.28515625" style="153" customWidth="1"/>
    <col min="11725" max="11725" width="6.42578125" style="153" customWidth="1"/>
    <col min="11726" max="11726" width="10.7109375" style="153" customWidth="1"/>
    <col min="11727" max="11728" width="6.42578125" style="153" customWidth="1"/>
    <col min="11729" max="11729" width="6.5703125" style="153" customWidth="1"/>
    <col min="11730" max="11730" width="6.42578125" style="153" customWidth="1"/>
    <col min="11731" max="11731" width="8.5703125" style="153" customWidth="1"/>
    <col min="11732" max="11965" width="11.42578125" style="153"/>
    <col min="11966" max="11966" width="12.28515625" style="153" customWidth="1"/>
    <col min="11967" max="11968" width="6.42578125" style="153" customWidth="1"/>
    <col min="11969" max="11969" width="10.140625" style="153" customWidth="1"/>
    <col min="11970" max="11970" width="8.28515625" style="153" customWidth="1"/>
    <col min="11971" max="11971" width="8.140625" style="153" customWidth="1"/>
    <col min="11972" max="11979" width="6.42578125" style="153" customWidth="1"/>
    <col min="11980" max="11980" width="5.28515625" style="153" customWidth="1"/>
    <col min="11981" max="11981" width="6.42578125" style="153" customWidth="1"/>
    <col min="11982" max="11982" width="10.7109375" style="153" customWidth="1"/>
    <col min="11983" max="11984" width="6.42578125" style="153" customWidth="1"/>
    <col min="11985" max="11985" width="6.5703125" style="153" customWidth="1"/>
    <col min="11986" max="11986" width="6.42578125" style="153" customWidth="1"/>
    <col min="11987" max="11987" width="8.5703125" style="153" customWidth="1"/>
    <col min="11988" max="12221" width="11.42578125" style="153"/>
    <col min="12222" max="12222" width="12.28515625" style="153" customWidth="1"/>
    <col min="12223" max="12224" width="6.42578125" style="153" customWidth="1"/>
    <col min="12225" max="12225" width="10.140625" style="153" customWidth="1"/>
    <col min="12226" max="12226" width="8.28515625" style="153" customWidth="1"/>
    <col min="12227" max="12227" width="8.140625" style="153" customWidth="1"/>
    <col min="12228" max="12235" width="6.42578125" style="153" customWidth="1"/>
    <col min="12236" max="12236" width="5.28515625" style="153" customWidth="1"/>
    <col min="12237" max="12237" width="6.42578125" style="153" customWidth="1"/>
    <col min="12238" max="12238" width="10.7109375" style="153" customWidth="1"/>
    <col min="12239" max="12240" width="6.42578125" style="153" customWidth="1"/>
    <col min="12241" max="12241" width="6.5703125" style="153" customWidth="1"/>
    <col min="12242" max="12242" width="6.42578125" style="153" customWidth="1"/>
    <col min="12243" max="12243" width="8.5703125" style="153" customWidth="1"/>
    <col min="12244" max="12477" width="11.42578125" style="153"/>
    <col min="12478" max="12478" width="12.28515625" style="153" customWidth="1"/>
    <col min="12479" max="12480" width="6.42578125" style="153" customWidth="1"/>
    <col min="12481" max="12481" width="10.140625" style="153" customWidth="1"/>
    <col min="12482" max="12482" width="8.28515625" style="153" customWidth="1"/>
    <col min="12483" max="12483" width="8.140625" style="153" customWidth="1"/>
    <col min="12484" max="12491" width="6.42578125" style="153" customWidth="1"/>
    <col min="12492" max="12492" width="5.28515625" style="153" customWidth="1"/>
    <col min="12493" max="12493" width="6.42578125" style="153" customWidth="1"/>
    <col min="12494" max="12494" width="10.7109375" style="153" customWidth="1"/>
    <col min="12495" max="12496" width="6.42578125" style="153" customWidth="1"/>
    <col min="12497" max="12497" width="6.5703125" style="153" customWidth="1"/>
    <col min="12498" max="12498" width="6.42578125" style="153" customWidth="1"/>
    <col min="12499" max="12499" width="8.5703125" style="153" customWidth="1"/>
    <col min="12500" max="12733" width="11.42578125" style="153"/>
    <col min="12734" max="12734" width="12.28515625" style="153" customWidth="1"/>
    <col min="12735" max="12736" width="6.42578125" style="153" customWidth="1"/>
    <col min="12737" max="12737" width="10.140625" style="153" customWidth="1"/>
    <col min="12738" max="12738" width="8.28515625" style="153" customWidth="1"/>
    <col min="12739" max="12739" width="8.140625" style="153" customWidth="1"/>
    <col min="12740" max="12747" width="6.42578125" style="153" customWidth="1"/>
    <col min="12748" max="12748" width="5.28515625" style="153" customWidth="1"/>
    <col min="12749" max="12749" width="6.42578125" style="153" customWidth="1"/>
    <col min="12750" max="12750" width="10.7109375" style="153" customWidth="1"/>
    <col min="12751" max="12752" width="6.42578125" style="153" customWidth="1"/>
    <col min="12753" max="12753" width="6.5703125" style="153" customWidth="1"/>
    <col min="12754" max="12754" width="6.42578125" style="153" customWidth="1"/>
    <col min="12755" max="12755" width="8.5703125" style="153" customWidth="1"/>
    <col min="12756" max="12989" width="11.42578125" style="153"/>
    <col min="12990" max="12990" width="12.28515625" style="153" customWidth="1"/>
    <col min="12991" max="12992" width="6.42578125" style="153" customWidth="1"/>
    <col min="12993" max="12993" width="10.140625" style="153" customWidth="1"/>
    <col min="12994" max="12994" width="8.28515625" style="153" customWidth="1"/>
    <col min="12995" max="12995" width="8.140625" style="153" customWidth="1"/>
    <col min="12996" max="13003" width="6.42578125" style="153" customWidth="1"/>
    <col min="13004" max="13004" width="5.28515625" style="153" customWidth="1"/>
    <col min="13005" max="13005" width="6.42578125" style="153" customWidth="1"/>
    <col min="13006" max="13006" width="10.7109375" style="153" customWidth="1"/>
    <col min="13007" max="13008" width="6.42578125" style="153" customWidth="1"/>
    <col min="13009" max="13009" width="6.5703125" style="153" customWidth="1"/>
    <col min="13010" max="13010" width="6.42578125" style="153" customWidth="1"/>
    <col min="13011" max="13011" width="8.5703125" style="153" customWidth="1"/>
    <col min="13012" max="13245" width="11.42578125" style="153"/>
    <col min="13246" max="13246" width="12.28515625" style="153" customWidth="1"/>
    <col min="13247" max="13248" width="6.42578125" style="153" customWidth="1"/>
    <col min="13249" max="13249" width="10.140625" style="153" customWidth="1"/>
    <col min="13250" max="13250" width="8.28515625" style="153" customWidth="1"/>
    <col min="13251" max="13251" width="8.140625" style="153" customWidth="1"/>
    <col min="13252" max="13259" width="6.42578125" style="153" customWidth="1"/>
    <col min="13260" max="13260" width="5.28515625" style="153" customWidth="1"/>
    <col min="13261" max="13261" width="6.42578125" style="153" customWidth="1"/>
    <col min="13262" max="13262" width="10.7109375" style="153" customWidth="1"/>
    <col min="13263" max="13264" width="6.42578125" style="153" customWidth="1"/>
    <col min="13265" max="13265" width="6.5703125" style="153" customWidth="1"/>
    <col min="13266" max="13266" width="6.42578125" style="153" customWidth="1"/>
    <col min="13267" max="13267" width="8.5703125" style="153" customWidth="1"/>
    <col min="13268" max="13501" width="11.42578125" style="153"/>
    <col min="13502" max="13502" width="12.28515625" style="153" customWidth="1"/>
    <col min="13503" max="13504" width="6.42578125" style="153" customWidth="1"/>
    <col min="13505" max="13505" width="10.140625" style="153" customWidth="1"/>
    <col min="13506" max="13506" width="8.28515625" style="153" customWidth="1"/>
    <col min="13507" max="13507" width="8.140625" style="153" customWidth="1"/>
    <col min="13508" max="13515" width="6.42578125" style="153" customWidth="1"/>
    <col min="13516" max="13516" width="5.28515625" style="153" customWidth="1"/>
    <col min="13517" max="13517" width="6.42578125" style="153" customWidth="1"/>
    <col min="13518" max="13518" width="10.7109375" style="153" customWidth="1"/>
    <col min="13519" max="13520" width="6.42578125" style="153" customWidth="1"/>
    <col min="13521" max="13521" width="6.5703125" style="153" customWidth="1"/>
    <col min="13522" max="13522" width="6.42578125" style="153" customWidth="1"/>
    <col min="13523" max="13523" width="8.5703125" style="153" customWidth="1"/>
    <col min="13524" max="13757" width="11.42578125" style="153"/>
    <col min="13758" max="13758" width="12.28515625" style="153" customWidth="1"/>
    <col min="13759" max="13760" width="6.42578125" style="153" customWidth="1"/>
    <col min="13761" max="13761" width="10.140625" style="153" customWidth="1"/>
    <col min="13762" max="13762" width="8.28515625" style="153" customWidth="1"/>
    <col min="13763" max="13763" width="8.140625" style="153" customWidth="1"/>
    <col min="13764" max="13771" width="6.42578125" style="153" customWidth="1"/>
    <col min="13772" max="13772" width="5.28515625" style="153" customWidth="1"/>
    <col min="13773" max="13773" width="6.42578125" style="153" customWidth="1"/>
    <col min="13774" max="13774" width="10.7109375" style="153" customWidth="1"/>
    <col min="13775" max="13776" width="6.42578125" style="153" customWidth="1"/>
    <col min="13777" max="13777" width="6.5703125" style="153" customWidth="1"/>
    <col min="13778" max="13778" width="6.42578125" style="153" customWidth="1"/>
    <col min="13779" max="13779" width="8.5703125" style="153" customWidth="1"/>
    <col min="13780" max="14013" width="11.42578125" style="153"/>
    <col min="14014" max="14014" width="12.28515625" style="153" customWidth="1"/>
    <col min="14015" max="14016" width="6.42578125" style="153" customWidth="1"/>
    <col min="14017" max="14017" width="10.140625" style="153" customWidth="1"/>
    <col min="14018" max="14018" width="8.28515625" style="153" customWidth="1"/>
    <col min="14019" max="14019" width="8.140625" style="153" customWidth="1"/>
    <col min="14020" max="14027" width="6.42578125" style="153" customWidth="1"/>
    <col min="14028" max="14028" width="5.28515625" style="153" customWidth="1"/>
    <col min="14029" max="14029" width="6.42578125" style="153" customWidth="1"/>
    <col min="14030" max="14030" width="10.7109375" style="153" customWidth="1"/>
    <col min="14031" max="14032" width="6.42578125" style="153" customWidth="1"/>
    <col min="14033" max="14033" width="6.5703125" style="153" customWidth="1"/>
    <col min="14034" max="14034" width="6.42578125" style="153" customWidth="1"/>
    <col min="14035" max="14035" width="8.5703125" style="153" customWidth="1"/>
    <col min="14036" max="14269" width="11.42578125" style="153"/>
    <col min="14270" max="14270" width="12.28515625" style="153" customWidth="1"/>
    <col min="14271" max="14272" width="6.42578125" style="153" customWidth="1"/>
    <col min="14273" max="14273" width="10.140625" style="153" customWidth="1"/>
    <col min="14274" max="14274" width="8.28515625" style="153" customWidth="1"/>
    <col min="14275" max="14275" width="8.140625" style="153" customWidth="1"/>
    <col min="14276" max="14283" width="6.42578125" style="153" customWidth="1"/>
    <col min="14284" max="14284" width="5.28515625" style="153" customWidth="1"/>
    <col min="14285" max="14285" width="6.42578125" style="153" customWidth="1"/>
    <col min="14286" max="14286" width="10.7109375" style="153" customWidth="1"/>
    <col min="14287" max="14288" width="6.42578125" style="153" customWidth="1"/>
    <col min="14289" max="14289" width="6.5703125" style="153" customWidth="1"/>
    <col min="14290" max="14290" width="6.42578125" style="153" customWidth="1"/>
    <col min="14291" max="14291" width="8.5703125" style="153" customWidth="1"/>
    <col min="14292" max="14525" width="11.42578125" style="153"/>
    <col min="14526" max="14526" width="12.28515625" style="153" customWidth="1"/>
    <col min="14527" max="14528" width="6.42578125" style="153" customWidth="1"/>
    <col min="14529" max="14529" width="10.140625" style="153" customWidth="1"/>
    <col min="14530" max="14530" width="8.28515625" style="153" customWidth="1"/>
    <col min="14531" max="14531" width="8.140625" style="153" customWidth="1"/>
    <col min="14532" max="14539" width="6.42578125" style="153" customWidth="1"/>
    <col min="14540" max="14540" width="5.28515625" style="153" customWidth="1"/>
    <col min="14541" max="14541" width="6.42578125" style="153" customWidth="1"/>
    <col min="14542" max="14542" width="10.7109375" style="153" customWidth="1"/>
    <col min="14543" max="14544" width="6.42578125" style="153" customWidth="1"/>
    <col min="14545" max="14545" width="6.5703125" style="153" customWidth="1"/>
    <col min="14546" max="14546" width="6.42578125" style="153" customWidth="1"/>
    <col min="14547" max="14547" width="8.5703125" style="153" customWidth="1"/>
    <col min="14548" max="14781" width="11.42578125" style="153"/>
    <col min="14782" max="14782" width="12.28515625" style="153" customWidth="1"/>
    <col min="14783" max="14784" width="6.42578125" style="153" customWidth="1"/>
    <col min="14785" max="14785" width="10.140625" style="153" customWidth="1"/>
    <col min="14786" max="14786" width="8.28515625" style="153" customWidth="1"/>
    <col min="14787" max="14787" width="8.140625" style="153" customWidth="1"/>
    <col min="14788" max="14795" width="6.42578125" style="153" customWidth="1"/>
    <col min="14796" max="14796" width="5.28515625" style="153" customWidth="1"/>
    <col min="14797" max="14797" width="6.42578125" style="153" customWidth="1"/>
    <col min="14798" max="14798" width="10.7109375" style="153" customWidth="1"/>
    <col min="14799" max="14800" width="6.42578125" style="153" customWidth="1"/>
    <col min="14801" max="14801" width="6.5703125" style="153" customWidth="1"/>
    <col min="14802" max="14802" width="6.42578125" style="153" customWidth="1"/>
    <col min="14803" max="14803" width="8.5703125" style="153" customWidth="1"/>
    <col min="14804" max="15037" width="11.42578125" style="153"/>
    <col min="15038" max="15038" width="12.28515625" style="153" customWidth="1"/>
    <col min="15039" max="15040" width="6.42578125" style="153" customWidth="1"/>
    <col min="15041" max="15041" width="10.140625" style="153" customWidth="1"/>
    <col min="15042" max="15042" width="8.28515625" style="153" customWidth="1"/>
    <col min="15043" max="15043" width="8.140625" style="153" customWidth="1"/>
    <col min="15044" max="15051" width="6.42578125" style="153" customWidth="1"/>
    <col min="15052" max="15052" width="5.28515625" style="153" customWidth="1"/>
    <col min="15053" max="15053" width="6.42578125" style="153" customWidth="1"/>
    <col min="15054" max="15054" width="10.7109375" style="153" customWidth="1"/>
    <col min="15055" max="15056" width="6.42578125" style="153" customWidth="1"/>
    <col min="15057" max="15057" width="6.5703125" style="153" customWidth="1"/>
    <col min="15058" max="15058" width="6.42578125" style="153" customWidth="1"/>
    <col min="15059" max="15059" width="8.5703125" style="153" customWidth="1"/>
    <col min="15060" max="15293" width="11.42578125" style="153"/>
    <col min="15294" max="15294" width="12.28515625" style="153" customWidth="1"/>
    <col min="15295" max="15296" width="6.42578125" style="153" customWidth="1"/>
    <col min="15297" max="15297" width="10.140625" style="153" customWidth="1"/>
    <col min="15298" max="15298" width="8.28515625" style="153" customWidth="1"/>
    <col min="15299" max="15299" width="8.140625" style="153" customWidth="1"/>
    <col min="15300" max="15307" width="6.42578125" style="153" customWidth="1"/>
    <col min="15308" max="15308" width="5.28515625" style="153" customWidth="1"/>
    <col min="15309" max="15309" width="6.42578125" style="153" customWidth="1"/>
    <col min="15310" max="15310" width="10.7109375" style="153" customWidth="1"/>
    <col min="15311" max="15312" width="6.42578125" style="153" customWidth="1"/>
    <col min="15313" max="15313" width="6.5703125" style="153" customWidth="1"/>
    <col min="15314" max="15314" width="6.42578125" style="153" customWidth="1"/>
    <col min="15315" max="15315" width="8.5703125" style="153" customWidth="1"/>
    <col min="15316" max="15549" width="11.42578125" style="153"/>
    <col min="15550" max="15550" width="12.28515625" style="153" customWidth="1"/>
    <col min="15551" max="15552" width="6.42578125" style="153" customWidth="1"/>
    <col min="15553" max="15553" width="10.140625" style="153" customWidth="1"/>
    <col min="15554" max="15554" width="8.28515625" style="153" customWidth="1"/>
    <col min="15555" max="15555" width="8.140625" style="153" customWidth="1"/>
    <col min="15556" max="15563" width="6.42578125" style="153" customWidth="1"/>
    <col min="15564" max="15564" width="5.28515625" style="153" customWidth="1"/>
    <col min="15565" max="15565" width="6.42578125" style="153" customWidth="1"/>
    <col min="15566" max="15566" width="10.7109375" style="153" customWidth="1"/>
    <col min="15567" max="15568" width="6.42578125" style="153" customWidth="1"/>
    <col min="15569" max="15569" width="6.5703125" style="153" customWidth="1"/>
    <col min="15570" max="15570" width="6.42578125" style="153" customWidth="1"/>
    <col min="15571" max="15571" width="8.5703125" style="153" customWidth="1"/>
    <col min="15572" max="15805" width="11.42578125" style="153"/>
    <col min="15806" max="15806" width="12.28515625" style="153" customWidth="1"/>
    <col min="15807" max="15808" width="6.42578125" style="153" customWidth="1"/>
    <col min="15809" max="15809" width="10.140625" style="153" customWidth="1"/>
    <col min="15810" max="15810" width="8.28515625" style="153" customWidth="1"/>
    <col min="15811" max="15811" width="8.140625" style="153" customWidth="1"/>
    <col min="15812" max="15819" width="6.42578125" style="153" customWidth="1"/>
    <col min="15820" max="15820" width="5.28515625" style="153" customWidth="1"/>
    <col min="15821" max="15821" width="6.42578125" style="153" customWidth="1"/>
    <col min="15822" max="15822" width="10.7109375" style="153" customWidth="1"/>
    <col min="15823" max="15824" width="6.42578125" style="153" customWidth="1"/>
    <col min="15825" max="15825" width="6.5703125" style="153" customWidth="1"/>
    <col min="15826" max="15826" width="6.42578125" style="153" customWidth="1"/>
    <col min="15827" max="15827" width="8.5703125" style="153" customWidth="1"/>
    <col min="15828" max="16061" width="11.42578125" style="153"/>
    <col min="16062" max="16062" width="12.28515625" style="153" customWidth="1"/>
    <col min="16063" max="16064" width="6.42578125" style="153" customWidth="1"/>
    <col min="16065" max="16065" width="10.140625" style="153" customWidth="1"/>
    <col min="16066" max="16066" width="8.28515625" style="153" customWidth="1"/>
    <col min="16067" max="16067" width="8.140625" style="153" customWidth="1"/>
    <col min="16068" max="16075" width="6.42578125" style="153" customWidth="1"/>
    <col min="16076" max="16076" width="5.28515625" style="153" customWidth="1"/>
    <col min="16077" max="16077" width="6.42578125" style="153" customWidth="1"/>
    <col min="16078" max="16078" width="10.7109375" style="153" customWidth="1"/>
    <col min="16079" max="16080" width="6.42578125" style="153" customWidth="1"/>
    <col min="16081" max="16081" width="6.5703125" style="153" customWidth="1"/>
    <col min="16082" max="16082" width="6.42578125" style="153" customWidth="1"/>
    <col min="16083" max="16083" width="8.5703125" style="153" customWidth="1"/>
    <col min="16084" max="16384" width="11.42578125" style="153"/>
  </cols>
  <sheetData>
    <row r="1" spans="1:24" s="151" customFormat="1" ht="36" customHeight="1" x14ac:dyDescent="0.2">
      <c r="A1" s="482"/>
      <c r="B1" s="482"/>
      <c r="C1" s="482"/>
      <c r="D1" s="482"/>
      <c r="E1" s="482"/>
      <c r="F1" s="483" t="s">
        <v>158</v>
      </c>
      <c r="G1" s="483"/>
      <c r="H1" s="483"/>
      <c r="I1" s="483"/>
      <c r="J1" s="483"/>
      <c r="K1" s="483"/>
      <c r="L1" s="483"/>
      <c r="M1" s="483"/>
      <c r="N1" s="483"/>
      <c r="O1" s="477" t="s">
        <v>159</v>
      </c>
      <c r="P1" s="478"/>
      <c r="Q1" s="478"/>
      <c r="R1" s="484"/>
      <c r="S1" s="484"/>
      <c r="T1" s="484"/>
      <c r="U1" s="484"/>
      <c r="V1" s="484"/>
    </row>
    <row r="2" spans="1:24" s="151" customFormat="1" ht="36" customHeight="1" x14ac:dyDescent="0.2">
      <c r="A2" s="482"/>
      <c r="B2" s="482"/>
      <c r="C2" s="482"/>
      <c r="D2" s="482"/>
      <c r="E2" s="482"/>
      <c r="F2" s="483"/>
      <c r="G2" s="483"/>
      <c r="H2" s="483"/>
      <c r="I2" s="483"/>
      <c r="J2" s="483"/>
      <c r="K2" s="483"/>
      <c r="L2" s="483"/>
      <c r="M2" s="483"/>
      <c r="N2" s="483"/>
      <c r="O2" s="477" t="s">
        <v>160</v>
      </c>
      <c r="P2" s="478"/>
      <c r="Q2" s="478"/>
      <c r="R2" s="485"/>
      <c r="S2" s="484"/>
      <c r="T2" s="484"/>
      <c r="U2" s="484"/>
      <c r="V2" s="484"/>
    </row>
    <row r="3" spans="1:24" s="151" customFormat="1" ht="27" customHeight="1" x14ac:dyDescent="0.2">
      <c r="A3" s="477" t="s">
        <v>161</v>
      </c>
      <c r="B3" s="478"/>
      <c r="C3" s="478"/>
      <c r="D3" s="479"/>
      <c r="E3" s="480"/>
      <c r="F3" s="480"/>
      <c r="G3" s="480"/>
      <c r="H3" s="480"/>
      <c r="I3" s="480"/>
      <c r="J3" s="480"/>
      <c r="K3" s="480"/>
      <c r="L3" s="480"/>
      <c r="M3" s="480"/>
      <c r="N3" s="480"/>
      <c r="O3" s="480"/>
      <c r="P3" s="480"/>
      <c r="Q3" s="480"/>
      <c r="R3" s="480"/>
      <c r="S3" s="480"/>
      <c r="T3" s="480"/>
      <c r="U3" s="480"/>
      <c r="V3" s="480"/>
    </row>
    <row r="4" spans="1:24" s="151" customFormat="1" ht="27" customHeight="1" x14ac:dyDescent="0.2">
      <c r="A4" s="477" t="s">
        <v>162</v>
      </c>
      <c r="B4" s="478"/>
      <c r="C4" s="478"/>
      <c r="D4" s="479"/>
      <c r="E4" s="481"/>
      <c r="F4" s="481"/>
      <c r="G4" s="481"/>
      <c r="H4" s="481"/>
      <c r="I4" s="481"/>
      <c r="J4" s="481"/>
      <c r="K4" s="481"/>
      <c r="L4" s="481"/>
      <c r="M4" s="481"/>
      <c r="N4" s="481"/>
      <c r="O4" s="481"/>
      <c r="P4" s="481"/>
      <c r="Q4" s="481"/>
      <c r="R4" s="481"/>
      <c r="S4" s="481"/>
      <c r="T4" s="481"/>
      <c r="U4" s="481"/>
      <c r="V4" s="481"/>
    </row>
    <row r="5" spans="1:24" s="151" customFormat="1" ht="27" customHeight="1" x14ac:dyDescent="0.2">
      <c r="A5" s="477" t="s">
        <v>163</v>
      </c>
      <c r="B5" s="478"/>
      <c r="C5" s="478"/>
      <c r="D5" s="479"/>
      <c r="E5" s="481"/>
      <c r="F5" s="481"/>
      <c r="G5" s="481"/>
      <c r="H5" s="481"/>
      <c r="I5" s="481"/>
      <c r="J5" s="481"/>
      <c r="K5" s="481"/>
      <c r="L5" s="481"/>
      <c r="M5" s="481"/>
      <c r="N5" s="481"/>
      <c r="O5" s="481"/>
      <c r="P5" s="481"/>
      <c r="Q5" s="481"/>
      <c r="R5" s="481"/>
      <c r="S5" s="481"/>
      <c r="T5" s="481"/>
      <c r="U5" s="481"/>
      <c r="V5" s="481"/>
    </row>
    <row r="6" spans="1:24" s="152" customFormat="1" ht="38.25" customHeight="1" x14ac:dyDescent="0.2">
      <c r="A6" s="157" t="s">
        <v>164</v>
      </c>
      <c r="B6" s="486" t="s">
        <v>165</v>
      </c>
      <c r="C6" s="487"/>
      <c r="D6" s="487"/>
      <c r="E6" s="487"/>
      <c r="F6" s="487"/>
      <c r="G6" s="487"/>
      <c r="H6" s="487"/>
      <c r="I6" s="487"/>
      <c r="J6" s="487"/>
      <c r="K6" s="487"/>
      <c r="L6" s="487"/>
      <c r="M6" s="488"/>
      <c r="N6" s="486" t="s">
        <v>166</v>
      </c>
      <c r="O6" s="487"/>
      <c r="P6" s="487"/>
      <c r="Q6" s="488"/>
      <c r="R6" s="486" t="s">
        <v>167</v>
      </c>
      <c r="S6" s="487"/>
      <c r="T6" s="487"/>
      <c r="U6" s="487"/>
      <c r="V6" s="488"/>
      <c r="X6" s="153"/>
    </row>
    <row r="7" spans="1:24" s="155" customFormat="1" ht="30" customHeight="1" x14ac:dyDescent="0.2">
      <c r="A7" s="154">
        <v>1</v>
      </c>
      <c r="B7" s="489"/>
      <c r="C7" s="489"/>
      <c r="D7" s="489"/>
      <c r="E7" s="489"/>
      <c r="F7" s="489"/>
      <c r="G7" s="489"/>
      <c r="H7" s="489"/>
      <c r="I7" s="489"/>
      <c r="J7" s="489"/>
      <c r="K7" s="489"/>
      <c r="L7" s="489"/>
      <c r="M7" s="489"/>
      <c r="N7" s="482"/>
      <c r="O7" s="482"/>
      <c r="P7" s="482"/>
      <c r="Q7" s="482"/>
      <c r="R7" s="490"/>
      <c r="S7" s="482"/>
      <c r="T7" s="482"/>
      <c r="U7" s="482"/>
      <c r="V7" s="482"/>
    </row>
    <row r="8" spans="1:24" s="155" customFormat="1" ht="30" customHeight="1" x14ac:dyDescent="0.2">
      <c r="A8" s="154">
        <v>2</v>
      </c>
      <c r="B8" s="489"/>
      <c r="C8" s="489"/>
      <c r="D8" s="489"/>
      <c r="E8" s="489"/>
      <c r="F8" s="489"/>
      <c r="G8" s="489"/>
      <c r="H8" s="489"/>
      <c r="I8" s="489"/>
      <c r="J8" s="489"/>
      <c r="K8" s="489"/>
      <c r="L8" s="489"/>
      <c r="M8" s="489"/>
      <c r="N8" s="482"/>
      <c r="O8" s="482"/>
      <c r="P8" s="482"/>
      <c r="Q8" s="482"/>
      <c r="R8" s="490"/>
      <c r="S8" s="482"/>
      <c r="T8" s="482"/>
      <c r="U8" s="482"/>
      <c r="V8" s="482"/>
    </row>
    <row r="9" spans="1:24" s="155" customFormat="1" ht="30" customHeight="1" x14ac:dyDescent="0.2">
      <c r="A9" s="154">
        <v>3</v>
      </c>
      <c r="B9" s="489"/>
      <c r="C9" s="489"/>
      <c r="D9" s="489"/>
      <c r="E9" s="489"/>
      <c r="F9" s="489"/>
      <c r="G9" s="489"/>
      <c r="H9" s="489"/>
      <c r="I9" s="489"/>
      <c r="J9" s="489"/>
      <c r="K9" s="489"/>
      <c r="L9" s="489"/>
      <c r="M9" s="489"/>
      <c r="N9" s="482"/>
      <c r="O9" s="482"/>
      <c r="P9" s="482"/>
      <c r="Q9" s="482"/>
      <c r="R9" s="482"/>
      <c r="S9" s="482"/>
      <c r="T9" s="482"/>
      <c r="U9" s="482"/>
      <c r="V9" s="482"/>
    </row>
    <row r="10" spans="1:24" s="155" customFormat="1" ht="30" customHeight="1" x14ac:dyDescent="0.2">
      <c r="A10" s="154">
        <v>4</v>
      </c>
      <c r="B10" s="489"/>
      <c r="C10" s="489"/>
      <c r="D10" s="489"/>
      <c r="E10" s="489"/>
      <c r="F10" s="489"/>
      <c r="G10" s="489"/>
      <c r="H10" s="489"/>
      <c r="I10" s="489"/>
      <c r="J10" s="489"/>
      <c r="K10" s="489"/>
      <c r="L10" s="489"/>
      <c r="M10" s="489"/>
      <c r="N10" s="482"/>
      <c r="O10" s="482"/>
      <c r="P10" s="482"/>
      <c r="Q10" s="482"/>
      <c r="R10" s="482"/>
      <c r="S10" s="482"/>
      <c r="T10" s="482"/>
      <c r="U10" s="482"/>
      <c r="V10" s="482"/>
    </row>
    <row r="11" spans="1:24" s="155" customFormat="1" ht="30" customHeight="1" x14ac:dyDescent="0.2">
      <c r="A11" s="154">
        <v>5</v>
      </c>
      <c r="B11" s="489"/>
      <c r="C11" s="489"/>
      <c r="D11" s="489"/>
      <c r="E11" s="489"/>
      <c r="F11" s="489"/>
      <c r="G11" s="489"/>
      <c r="H11" s="489"/>
      <c r="I11" s="489"/>
      <c r="J11" s="489"/>
      <c r="K11" s="489"/>
      <c r="L11" s="489"/>
      <c r="M11" s="489"/>
      <c r="N11" s="482"/>
      <c r="O11" s="482"/>
      <c r="P11" s="482"/>
      <c r="Q11" s="482"/>
      <c r="R11" s="482"/>
      <c r="S11" s="482"/>
      <c r="T11" s="482"/>
      <c r="U11" s="482"/>
      <c r="V11" s="482"/>
    </row>
    <row r="12" spans="1:24" s="155" customFormat="1" ht="30" customHeight="1" x14ac:dyDescent="0.2">
      <c r="A12" s="154">
        <v>6</v>
      </c>
      <c r="B12" s="489"/>
      <c r="C12" s="489"/>
      <c r="D12" s="489"/>
      <c r="E12" s="489"/>
      <c r="F12" s="489"/>
      <c r="G12" s="489"/>
      <c r="H12" s="489"/>
      <c r="I12" s="489"/>
      <c r="J12" s="489"/>
      <c r="K12" s="489"/>
      <c r="L12" s="489"/>
      <c r="M12" s="489"/>
      <c r="N12" s="482"/>
      <c r="O12" s="482"/>
      <c r="P12" s="482"/>
      <c r="Q12" s="482"/>
      <c r="R12" s="482"/>
      <c r="S12" s="482"/>
      <c r="T12" s="482"/>
      <c r="U12" s="482"/>
      <c r="V12" s="482"/>
    </row>
    <row r="13" spans="1:24" s="155" customFormat="1" ht="30" customHeight="1" x14ac:dyDescent="0.2">
      <c r="A13" s="154">
        <v>7</v>
      </c>
      <c r="B13" s="489"/>
      <c r="C13" s="489"/>
      <c r="D13" s="489"/>
      <c r="E13" s="489"/>
      <c r="F13" s="489"/>
      <c r="G13" s="489"/>
      <c r="H13" s="489"/>
      <c r="I13" s="489"/>
      <c r="J13" s="489"/>
      <c r="K13" s="489"/>
      <c r="L13" s="489"/>
      <c r="M13" s="489"/>
      <c r="N13" s="482"/>
      <c r="O13" s="482"/>
      <c r="P13" s="482"/>
      <c r="Q13" s="482"/>
      <c r="R13" s="482"/>
      <c r="S13" s="482"/>
      <c r="T13" s="482"/>
      <c r="U13" s="482"/>
      <c r="V13" s="482"/>
    </row>
    <row r="14" spans="1:24" s="155" customFormat="1" ht="30" customHeight="1" x14ac:dyDescent="0.2">
      <c r="A14" s="154">
        <v>8</v>
      </c>
      <c r="B14" s="489"/>
      <c r="C14" s="489"/>
      <c r="D14" s="489"/>
      <c r="E14" s="489"/>
      <c r="F14" s="489"/>
      <c r="G14" s="489"/>
      <c r="H14" s="489"/>
      <c r="I14" s="489"/>
      <c r="J14" s="489"/>
      <c r="K14" s="489"/>
      <c r="L14" s="489"/>
      <c r="M14" s="489"/>
      <c r="N14" s="482"/>
      <c r="O14" s="482"/>
      <c r="P14" s="482"/>
      <c r="Q14" s="482"/>
      <c r="R14" s="482"/>
      <c r="S14" s="482"/>
      <c r="T14" s="482"/>
      <c r="U14" s="482"/>
      <c r="V14" s="482"/>
    </row>
    <row r="15" spans="1:24" s="155" customFormat="1" ht="30" customHeight="1" x14ac:dyDescent="0.2">
      <c r="A15" s="154">
        <v>9</v>
      </c>
      <c r="B15" s="489"/>
      <c r="C15" s="489"/>
      <c r="D15" s="489"/>
      <c r="E15" s="489"/>
      <c r="F15" s="489"/>
      <c r="G15" s="489"/>
      <c r="H15" s="489"/>
      <c r="I15" s="489"/>
      <c r="J15" s="489"/>
      <c r="K15" s="489"/>
      <c r="L15" s="489"/>
      <c r="M15" s="489"/>
      <c r="N15" s="482"/>
      <c r="O15" s="482"/>
      <c r="P15" s="482"/>
      <c r="Q15" s="482"/>
      <c r="R15" s="482"/>
      <c r="S15" s="482"/>
      <c r="T15" s="482"/>
      <c r="U15" s="482"/>
      <c r="V15" s="482"/>
    </row>
    <row r="16" spans="1:24" s="155" customFormat="1" ht="30" customHeight="1" x14ac:dyDescent="0.2">
      <c r="A16" s="154">
        <v>10</v>
      </c>
      <c r="B16" s="489"/>
      <c r="C16" s="489"/>
      <c r="D16" s="489"/>
      <c r="E16" s="489"/>
      <c r="F16" s="489"/>
      <c r="G16" s="489"/>
      <c r="H16" s="489"/>
      <c r="I16" s="489"/>
      <c r="J16" s="489"/>
      <c r="K16" s="489"/>
      <c r="L16" s="489"/>
      <c r="M16" s="489"/>
      <c r="N16" s="482"/>
      <c r="O16" s="482"/>
      <c r="P16" s="482"/>
      <c r="Q16" s="482"/>
      <c r="R16" s="482"/>
      <c r="S16" s="482"/>
      <c r="T16" s="482"/>
      <c r="U16" s="482"/>
      <c r="V16" s="482"/>
    </row>
  </sheetData>
  <mergeCells count="46">
    <mergeCell ref="B16:M16"/>
    <mergeCell ref="N16:Q16"/>
    <mergeCell ref="R16:V16"/>
    <mergeCell ref="B14:M14"/>
    <mergeCell ref="N14:Q14"/>
    <mergeCell ref="R14:V14"/>
    <mergeCell ref="B15:M15"/>
    <mergeCell ref="N15:Q15"/>
    <mergeCell ref="R15:V15"/>
    <mergeCell ref="B12:M12"/>
    <mergeCell ref="N12:Q12"/>
    <mergeCell ref="R12:V12"/>
    <mergeCell ref="B13:M13"/>
    <mergeCell ref="N13:Q13"/>
    <mergeCell ref="R13:V13"/>
    <mergeCell ref="B10:M10"/>
    <mergeCell ref="N10:Q10"/>
    <mergeCell ref="R10:V10"/>
    <mergeCell ref="B11:M11"/>
    <mergeCell ref="N11:Q11"/>
    <mergeCell ref="R11:V11"/>
    <mergeCell ref="B8:M8"/>
    <mergeCell ref="N8:Q8"/>
    <mergeCell ref="R8:V8"/>
    <mergeCell ref="B9:M9"/>
    <mergeCell ref="N9:Q9"/>
    <mergeCell ref="R9:V9"/>
    <mergeCell ref="N6:Q6"/>
    <mergeCell ref="R6:V6"/>
    <mergeCell ref="B7:M7"/>
    <mergeCell ref="N7:Q7"/>
    <mergeCell ref="R7:V7"/>
    <mergeCell ref="B6:M6"/>
    <mergeCell ref="A1:C2"/>
    <mergeCell ref="D1:E2"/>
    <mergeCell ref="F1:N2"/>
    <mergeCell ref="O1:Q1"/>
    <mergeCell ref="R1:V1"/>
    <mergeCell ref="O2:Q2"/>
    <mergeCell ref="R2:V2"/>
    <mergeCell ref="A3:D3"/>
    <mergeCell ref="E3:V3"/>
    <mergeCell ref="A4:D4"/>
    <mergeCell ref="E4:V4"/>
    <mergeCell ref="A5:D5"/>
    <mergeCell ref="E5:V5"/>
  </mergeCells>
  <pageMargins left="0.7" right="0.7" top="0.75" bottom="0.75" header="0.3" footer="0.3"/>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V19"/>
  <sheetViews>
    <sheetView zoomScaleNormal="100" workbookViewId="0">
      <selection activeCell="B14" sqref="B14:M14"/>
    </sheetView>
  </sheetViews>
  <sheetFormatPr baseColWidth="10" defaultRowHeight="12.75" x14ac:dyDescent="0.2"/>
  <cols>
    <col min="1" max="1" width="10.7109375" style="137" customWidth="1"/>
    <col min="2" max="2" width="7.28515625" style="137" customWidth="1"/>
    <col min="3" max="3" width="5.5703125" style="137" customWidth="1"/>
    <col min="4" max="4" width="5" style="137" customWidth="1"/>
    <col min="5" max="12" width="5.5703125" style="137" customWidth="1"/>
    <col min="13" max="13" width="6.85546875" style="137" customWidth="1"/>
    <col min="14" max="14" width="5.140625" style="137" customWidth="1"/>
    <col min="15" max="15" width="5.28515625" style="137" customWidth="1"/>
    <col min="16" max="16" width="6.42578125" style="137" customWidth="1"/>
    <col min="17" max="17" width="8.7109375" style="137" customWidth="1"/>
    <col min="18" max="18" width="5.42578125" style="137" customWidth="1"/>
    <col min="19" max="19" width="6.28515625" style="137" customWidth="1"/>
    <col min="20" max="20" width="6.42578125" style="137" customWidth="1"/>
    <col min="21" max="21" width="5.140625" style="137" customWidth="1"/>
    <col min="22" max="22" width="4.7109375" style="137" customWidth="1"/>
    <col min="23" max="16384" width="11.42578125" style="137"/>
  </cols>
  <sheetData>
    <row r="1" spans="1:22" ht="24" customHeight="1" x14ac:dyDescent="0.2">
      <c r="A1" s="492"/>
      <c r="B1" s="492"/>
      <c r="C1" s="492"/>
      <c r="D1" s="492"/>
      <c r="E1" s="492"/>
      <c r="F1" s="516" t="s">
        <v>168</v>
      </c>
      <c r="G1" s="516"/>
      <c r="H1" s="516"/>
      <c r="I1" s="516"/>
      <c r="J1" s="516"/>
      <c r="K1" s="516"/>
      <c r="L1" s="516"/>
      <c r="M1" s="516"/>
      <c r="N1" s="516"/>
      <c r="O1" s="502" t="s">
        <v>169</v>
      </c>
      <c r="P1" s="502"/>
      <c r="Q1" s="502"/>
      <c r="R1" s="517"/>
      <c r="S1" s="517"/>
      <c r="T1" s="517"/>
      <c r="U1" s="517"/>
      <c r="V1" s="517"/>
    </row>
    <row r="2" spans="1:22" ht="15.75" customHeight="1" x14ac:dyDescent="0.2">
      <c r="A2" s="492"/>
      <c r="B2" s="492"/>
      <c r="C2" s="492"/>
      <c r="D2" s="492"/>
      <c r="E2" s="492"/>
      <c r="F2" s="516"/>
      <c r="G2" s="516"/>
      <c r="H2" s="516"/>
      <c r="I2" s="516"/>
      <c r="J2" s="516"/>
      <c r="K2" s="516"/>
      <c r="L2" s="516"/>
      <c r="M2" s="516"/>
      <c r="N2" s="516"/>
      <c r="O2" s="502" t="s">
        <v>170</v>
      </c>
      <c r="P2" s="502"/>
      <c r="Q2" s="502"/>
      <c r="R2" s="518"/>
      <c r="S2" s="517"/>
      <c r="T2" s="517"/>
      <c r="U2" s="517"/>
      <c r="V2" s="517"/>
    </row>
    <row r="3" spans="1:22" ht="36" customHeight="1" x14ac:dyDescent="0.2">
      <c r="A3" s="492"/>
      <c r="B3" s="492"/>
      <c r="C3" s="492"/>
      <c r="D3" s="492"/>
      <c r="E3" s="492"/>
      <c r="F3" s="516"/>
      <c r="G3" s="516"/>
      <c r="H3" s="516"/>
      <c r="I3" s="516"/>
      <c r="J3" s="516"/>
      <c r="K3" s="516"/>
      <c r="L3" s="516"/>
      <c r="M3" s="516"/>
      <c r="N3" s="516"/>
      <c r="O3" s="502" t="s">
        <v>171</v>
      </c>
      <c r="P3" s="502"/>
      <c r="Q3" s="502"/>
      <c r="R3" s="519" t="s">
        <v>172</v>
      </c>
      <c r="S3" s="519"/>
      <c r="T3" s="519"/>
      <c r="U3" s="519"/>
      <c r="V3" s="519"/>
    </row>
    <row r="4" spans="1:22" ht="29.25" customHeight="1" x14ac:dyDescent="0.2">
      <c r="A4" s="492"/>
      <c r="B4" s="492"/>
      <c r="C4" s="492"/>
      <c r="D4" s="492"/>
      <c r="E4" s="492"/>
      <c r="F4" s="516"/>
      <c r="G4" s="516"/>
      <c r="H4" s="516"/>
      <c r="I4" s="516"/>
      <c r="J4" s="516"/>
      <c r="K4" s="516"/>
      <c r="L4" s="516"/>
      <c r="M4" s="516"/>
      <c r="N4" s="516"/>
      <c r="O4" s="502" t="s">
        <v>173</v>
      </c>
      <c r="P4" s="502"/>
      <c r="Q4" s="502"/>
      <c r="R4" s="518"/>
      <c r="S4" s="517"/>
      <c r="T4" s="517"/>
      <c r="U4" s="517"/>
      <c r="V4" s="517"/>
    </row>
    <row r="5" spans="1:22" ht="42.75" customHeight="1" x14ac:dyDescent="0.2">
      <c r="A5" s="513" t="s">
        <v>174</v>
      </c>
      <c r="B5" s="514"/>
      <c r="C5" s="514"/>
      <c r="D5" s="515"/>
      <c r="E5" s="505" t="s">
        <v>175</v>
      </c>
      <c r="F5" s="505"/>
      <c r="G5" s="506" t="s">
        <v>176</v>
      </c>
      <c r="H5" s="507"/>
      <c r="I5" s="507"/>
      <c r="J5" s="507"/>
      <c r="K5" s="507"/>
      <c r="L5" s="507"/>
      <c r="M5" s="507"/>
      <c r="N5" s="507"/>
      <c r="O5" s="507"/>
      <c r="P5" s="507"/>
      <c r="Q5" s="507"/>
      <c r="R5" s="507"/>
      <c r="S5" s="505" t="s">
        <v>177</v>
      </c>
      <c r="T5" s="505"/>
      <c r="U5" s="508" t="s">
        <v>178</v>
      </c>
      <c r="V5" s="509"/>
    </row>
    <row r="6" spans="1:22" ht="22.5" customHeight="1" x14ac:dyDescent="0.2">
      <c r="A6" s="510"/>
      <c r="B6" s="510"/>
      <c r="C6" s="510"/>
      <c r="D6" s="510"/>
      <c r="E6" s="511"/>
      <c r="F6" s="510"/>
      <c r="G6" s="507"/>
      <c r="H6" s="507"/>
      <c r="I6" s="507"/>
      <c r="J6" s="507"/>
      <c r="K6" s="507"/>
      <c r="L6" s="507"/>
      <c r="M6" s="507"/>
      <c r="N6" s="507"/>
      <c r="O6" s="507"/>
      <c r="P6" s="507"/>
      <c r="Q6" s="507"/>
      <c r="R6" s="507"/>
      <c r="S6" s="512"/>
      <c r="T6" s="512"/>
      <c r="U6" s="492"/>
      <c r="V6" s="492"/>
    </row>
    <row r="7" spans="1:22" ht="33" customHeight="1" x14ac:dyDescent="0.2">
      <c r="A7" s="500" t="s">
        <v>179</v>
      </c>
      <c r="B7" s="501"/>
      <c r="C7" s="501"/>
      <c r="D7" s="501"/>
      <c r="E7" s="501"/>
      <c r="F7" s="501"/>
      <c r="G7" s="501"/>
      <c r="H7" s="502" t="s">
        <v>180</v>
      </c>
      <c r="I7" s="502"/>
      <c r="J7" s="502"/>
      <c r="K7" s="502"/>
      <c r="L7" s="502"/>
      <c r="M7" s="502"/>
      <c r="N7" s="502"/>
      <c r="O7" s="502"/>
      <c r="P7" s="502"/>
      <c r="Q7" s="502"/>
      <c r="R7" s="503" t="s">
        <v>181</v>
      </c>
      <c r="S7" s="503"/>
      <c r="T7" s="503"/>
      <c r="U7" s="503"/>
      <c r="V7" s="503"/>
    </row>
    <row r="8" spans="1:22" ht="21" customHeight="1" x14ac:dyDescent="0.2">
      <c r="A8" s="504" t="s">
        <v>182</v>
      </c>
      <c r="B8" s="504"/>
      <c r="C8" s="504"/>
      <c r="D8" s="504"/>
      <c r="E8" s="504" t="s">
        <v>183</v>
      </c>
      <c r="F8" s="504"/>
      <c r="G8" s="504"/>
      <c r="H8" s="504"/>
      <c r="I8" s="504" t="s">
        <v>184</v>
      </c>
      <c r="J8" s="504"/>
      <c r="K8" s="504"/>
      <c r="L8" s="504"/>
      <c r="M8" s="504"/>
      <c r="N8" s="504" t="s">
        <v>183</v>
      </c>
      <c r="O8" s="504"/>
      <c r="P8" s="504"/>
      <c r="Q8" s="504"/>
      <c r="R8" s="504" t="s">
        <v>185</v>
      </c>
      <c r="S8" s="504"/>
      <c r="T8" s="504"/>
      <c r="U8" s="504"/>
      <c r="V8" s="504"/>
    </row>
    <row r="9" spans="1:22" ht="37.5" customHeight="1" x14ac:dyDescent="0.2">
      <c r="A9" s="142" t="s">
        <v>164</v>
      </c>
      <c r="B9" s="494" t="s">
        <v>186</v>
      </c>
      <c r="C9" s="495"/>
      <c r="D9" s="495"/>
      <c r="E9" s="495"/>
      <c r="F9" s="495"/>
      <c r="G9" s="495"/>
      <c r="H9" s="495"/>
      <c r="I9" s="495"/>
      <c r="J9" s="495"/>
      <c r="K9" s="495"/>
      <c r="L9" s="495"/>
      <c r="M9" s="496"/>
      <c r="N9" s="497" t="s">
        <v>166</v>
      </c>
      <c r="O9" s="498"/>
      <c r="P9" s="498"/>
      <c r="Q9" s="499"/>
      <c r="R9" s="497" t="s">
        <v>167</v>
      </c>
      <c r="S9" s="498"/>
      <c r="T9" s="498"/>
      <c r="U9" s="498"/>
      <c r="V9" s="499"/>
    </row>
    <row r="10" spans="1:22" ht="24" customHeight="1" x14ac:dyDescent="0.2">
      <c r="A10" s="141">
        <v>1</v>
      </c>
      <c r="B10" s="491"/>
      <c r="C10" s="491"/>
      <c r="D10" s="491"/>
      <c r="E10" s="491"/>
      <c r="F10" s="491"/>
      <c r="G10" s="491"/>
      <c r="H10" s="491"/>
      <c r="I10" s="491"/>
      <c r="J10" s="491"/>
      <c r="K10" s="491"/>
      <c r="L10" s="491"/>
      <c r="M10" s="491"/>
      <c r="N10" s="492"/>
      <c r="O10" s="492"/>
      <c r="P10" s="492"/>
      <c r="Q10" s="492"/>
      <c r="R10" s="493"/>
      <c r="S10" s="492"/>
      <c r="T10" s="492"/>
      <c r="U10" s="492"/>
      <c r="V10" s="492"/>
    </row>
    <row r="11" spans="1:22" ht="24" customHeight="1" x14ac:dyDescent="0.2">
      <c r="A11" s="141">
        <v>2</v>
      </c>
      <c r="B11" s="491"/>
      <c r="C11" s="491"/>
      <c r="D11" s="491"/>
      <c r="E11" s="491"/>
      <c r="F11" s="491"/>
      <c r="G11" s="491"/>
      <c r="H11" s="491"/>
      <c r="I11" s="491"/>
      <c r="J11" s="491"/>
      <c r="K11" s="491"/>
      <c r="L11" s="491"/>
      <c r="M11" s="491"/>
      <c r="N11" s="492"/>
      <c r="O11" s="492"/>
      <c r="P11" s="492"/>
      <c r="Q11" s="492"/>
      <c r="R11" s="493"/>
      <c r="S11" s="492"/>
      <c r="T11" s="492"/>
      <c r="U11" s="492"/>
      <c r="V11" s="492"/>
    </row>
    <row r="12" spans="1:22" ht="24" customHeight="1" x14ac:dyDescent="0.2">
      <c r="A12" s="141">
        <v>3</v>
      </c>
      <c r="B12" s="491"/>
      <c r="C12" s="491"/>
      <c r="D12" s="491"/>
      <c r="E12" s="491"/>
      <c r="F12" s="491"/>
      <c r="G12" s="491"/>
      <c r="H12" s="491"/>
      <c r="I12" s="491"/>
      <c r="J12" s="491"/>
      <c r="K12" s="491"/>
      <c r="L12" s="491"/>
      <c r="M12" s="491"/>
      <c r="N12" s="492"/>
      <c r="O12" s="492"/>
      <c r="P12" s="492"/>
      <c r="Q12" s="492"/>
      <c r="R12" s="492"/>
      <c r="S12" s="492"/>
      <c r="T12" s="492"/>
      <c r="U12" s="492"/>
      <c r="V12" s="492"/>
    </row>
    <row r="13" spans="1:22" ht="24" customHeight="1" x14ac:dyDescent="0.2">
      <c r="A13" s="141">
        <v>4</v>
      </c>
      <c r="B13" s="491"/>
      <c r="C13" s="491"/>
      <c r="D13" s="491"/>
      <c r="E13" s="491"/>
      <c r="F13" s="491"/>
      <c r="G13" s="491"/>
      <c r="H13" s="491"/>
      <c r="I13" s="491"/>
      <c r="J13" s="491"/>
      <c r="K13" s="491"/>
      <c r="L13" s="491"/>
      <c r="M13" s="491"/>
      <c r="N13" s="492"/>
      <c r="O13" s="492"/>
      <c r="P13" s="492"/>
      <c r="Q13" s="492"/>
      <c r="R13" s="492"/>
      <c r="S13" s="492"/>
      <c r="T13" s="492"/>
      <c r="U13" s="492"/>
      <c r="V13" s="492"/>
    </row>
    <row r="14" spans="1:22" ht="24" customHeight="1" x14ac:dyDescent="0.2">
      <c r="A14" s="141">
        <v>5</v>
      </c>
      <c r="B14" s="491"/>
      <c r="C14" s="491"/>
      <c r="D14" s="491"/>
      <c r="E14" s="491"/>
      <c r="F14" s="491"/>
      <c r="G14" s="491"/>
      <c r="H14" s="491"/>
      <c r="I14" s="491"/>
      <c r="J14" s="491"/>
      <c r="K14" s="491"/>
      <c r="L14" s="491"/>
      <c r="M14" s="491"/>
      <c r="N14" s="492"/>
      <c r="O14" s="492"/>
      <c r="P14" s="492"/>
      <c r="Q14" s="492"/>
      <c r="R14" s="492"/>
      <c r="S14" s="492"/>
      <c r="T14" s="492"/>
      <c r="U14" s="492"/>
      <c r="V14" s="492"/>
    </row>
    <row r="15" spans="1:22" ht="24" customHeight="1" x14ac:dyDescent="0.2">
      <c r="A15" s="141">
        <v>6</v>
      </c>
      <c r="B15" s="491"/>
      <c r="C15" s="491"/>
      <c r="D15" s="491"/>
      <c r="E15" s="491"/>
      <c r="F15" s="491"/>
      <c r="G15" s="491"/>
      <c r="H15" s="491"/>
      <c r="I15" s="491"/>
      <c r="J15" s="491"/>
      <c r="K15" s="491"/>
      <c r="L15" s="491"/>
      <c r="M15" s="491"/>
      <c r="N15" s="492"/>
      <c r="O15" s="492"/>
      <c r="P15" s="492"/>
      <c r="Q15" s="492"/>
      <c r="R15" s="492"/>
      <c r="S15" s="492"/>
      <c r="T15" s="492"/>
      <c r="U15" s="492"/>
      <c r="V15" s="492"/>
    </row>
    <row r="16" spans="1:22" ht="24" customHeight="1" x14ac:dyDescent="0.2">
      <c r="A16" s="141">
        <v>7</v>
      </c>
      <c r="B16" s="491"/>
      <c r="C16" s="491"/>
      <c r="D16" s="491"/>
      <c r="E16" s="491"/>
      <c r="F16" s="491"/>
      <c r="G16" s="491"/>
      <c r="H16" s="491"/>
      <c r="I16" s="491"/>
      <c r="J16" s="491"/>
      <c r="K16" s="491"/>
      <c r="L16" s="491"/>
      <c r="M16" s="491"/>
      <c r="N16" s="492"/>
      <c r="O16" s="492"/>
      <c r="P16" s="492"/>
      <c r="Q16" s="492"/>
      <c r="R16" s="492"/>
      <c r="S16" s="492"/>
      <c r="T16" s="492"/>
      <c r="U16" s="492"/>
      <c r="V16" s="492"/>
    </row>
    <row r="17" spans="1:22" ht="24" customHeight="1" x14ac:dyDescent="0.2">
      <c r="A17" s="141">
        <v>8</v>
      </c>
      <c r="B17" s="491"/>
      <c r="C17" s="491"/>
      <c r="D17" s="491"/>
      <c r="E17" s="491"/>
      <c r="F17" s="491"/>
      <c r="G17" s="491"/>
      <c r="H17" s="491"/>
      <c r="I17" s="491"/>
      <c r="J17" s="491"/>
      <c r="K17" s="491"/>
      <c r="L17" s="491"/>
      <c r="M17" s="491"/>
      <c r="N17" s="492"/>
      <c r="O17" s="492"/>
      <c r="P17" s="492"/>
      <c r="Q17" s="492"/>
      <c r="R17" s="492"/>
      <c r="S17" s="492"/>
      <c r="T17" s="492"/>
      <c r="U17" s="492"/>
      <c r="V17" s="492"/>
    </row>
    <row r="18" spans="1:22" ht="24" customHeight="1" x14ac:dyDescent="0.2">
      <c r="A18" s="141">
        <v>9</v>
      </c>
      <c r="B18" s="491"/>
      <c r="C18" s="491"/>
      <c r="D18" s="491"/>
      <c r="E18" s="491"/>
      <c r="F18" s="491"/>
      <c r="G18" s="491"/>
      <c r="H18" s="491"/>
      <c r="I18" s="491"/>
      <c r="J18" s="491"/>
      <c r="K18" s="491"/>
      <c r="L18" s="491"/>
      <c r="M18" s="491"/>
      <c r="N18" s="492"/>
      <c r="O18" s="492"/>
      <c r="P18" s="492"/>
      <c r="Q18" s="492"/>
      <c r="R18" s="492"/>
      <c r="S18" s="492"/>
      <c r="T18" s="492"/>
      <c r="U18" s="492"/>
      <c r="V18" s="492"/>
    </row>
    <row r="19" spans="1:22" ht="24" customHeight="1" x14ac:dyDescent="0.2">
      <c r="A19" s="141">
        <v>10</v>
      </c>
      <c r="B19" s="491"/>
      <c r="C19" s="491"/>
      <c r="D19" s="491"/>
      <c r="E19" s="491"/>
      <c r="F19" s="491"/>
      <c r="G19" s="491"/>
      <c r="H19" s="491"/>
      <c r="I19" s="491"/>
      <c r="J19" s="491"/>
      <c r="K19" s="491"/>
      <c r="L19" s="491"/>
      <c r="M19" s="491"/>
      <c r="N19" s="492"/>
      <c r="O19" s="492"/>
      <c r="P19" s="492"/>
      <c r="Q19" s="492"/>
      <c r="R19" s="492"/>
      <c r="S19" s="492"/>
      <c r="T19" s="492"/>
      <c r="U19" s="492"/>
      <c r="V19" s="492"/>
    </row>
  </sheetData>
  <mergeCells count="60">
    <mergeCell ref="A1:E4"/>
    <mergeCell ref="F1:N4"/>
    <mergeCell ref="O1:Q1"/>
    <mergeCell ref="R1:V1"/>
    <mergeCell ref="O2:Q2"/>
    <mergeCell ref="R2:V2"/>
    <mergeCell ref="O3:Q3"/>
    <mergeCell ref="R3:V3"/>
    <mergeCell ref="O4:Q4"/>
    <mergeCell ref="R4:V4"/>
    <mergeCell ref="E5:F5"/>
    <mergeCell ref="G5:R6"/>
    <mergeCell ref="S5:T5"/>
    <mergeCell ref="U5:V5"/>
    <mergeCell ref="A6:D6"/>
    <mergeCell ref="E6:F6"/>
    <mergeCell ref="S6:T6"/>
    <mergeCell ref="U6:V6"/>
    <mergeCell ref="A5:D5"/>
    <mergeCell ref="A7:G7"/>
    <mergeCell ref="H7:Q7"/>
    <mergeCell ref="R7:V7"/>
    <mergeCell ref="A8:D8"/>
    <mergeCell ref="E8:H8"/>
    <mergeCell ref="I8:M8"/>
    <mergeCell ref="N8:Q8"/>
    <mergeCell ref="R8:V8"/>
    <mergeCell ref="B9:M9"/>
    <mergeCell ref="N9:Q9"/>
    <mergeCell ref="R9:V9"/>
    <mergeCell ref="B10:M10"/>
    <mergeCell ref="N10:Q10"/>
    <mergeCell ref="R10:V10"/>
    <mergeCell ref="B11:M11"/>
    <mergeCell ref="N11:Q11"/>
    <mergeCell ref="R11:V11"/>
    <mergeCell ref="B12:M12"/>
    <mergeCell ref="N12:Q12"/>
    <mergeCell ref="R12:V12"/>
    <mergeCell ref="B13:M13"/>
    <mergeCell ref="N13:Q13"/>
    <mergeCell ref="R13:V13"/>
    <mergeCell ref="B14:M14"/>
    <mergeCell ref="N14:Q14"/>
    <mergeCell ref="R14:V14"/>
    <mergeCell ref="B15:M15"/>
    <mergeCell ref="N15:Q15"/>
    <mergeCell ref="R15:V15"/>
    <mergeCell ref="B16:M16"/>
    <mergeCell ref="N16:Q16"/>
    <mergeCell ref="R16:V16"/>
    <mergeCell ref="B17:M17"/>
    <mergeCell ref="N17:Q17"/>
    <mergeCell ref="R17:V17"/>
    <mergeCell ref="B19:M19"/>
    <mergeCell ref="N19:Q19"/>
    <mergeCell ref="R19:V19"/>
    <mergeCell ref="B18:M18"/>
    <mergeCell ref="N18:Q18"/>
    <mergeCell ref="R18:V18"/>
  </mergeCells>
  <pageMargins left="0.7" right="0.7" top="0.75" bottom="0.75" header="0.3" footer="0.3"/>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4</vt:i4>
      </vt:variant>
    </vt:vector>
  </HeadingPairs>
  <TitlesOfParts>
    <vt:vector size="14" baseType="lpstr">
      <vt:lpstr>Validación</vt:lpstr>
      <vt:lpstr>Orden de Pedido</vt:lpstr>
      <vt:lpstr>Instrucción de trabajo</vt:lpstr>
      <vt:lpstr>Información</vt:lpstr>
      <vt:lpstr>Grafico</vt:lpstr>
      <vt:lpstr>Recuento final</vt:lpstr>
      <vt:lpstr>Estimación de horas y costes</vt:lpstr>
      <vt:lpstr>Valoración del servicio</vt:lpstr>
      <vt:lpstr>Registro personal formado</vt:lpstr>
      <vt:lpstr>Gama de retrabajos</vt:lpstr>
      <vt:lpstr>'Instrucción de trabajo'!Área_de_impresión</vt:lpstr>
      <vt:lpstr>'Orden de Pedido'!Área_de_impresión</vt:lpstr>
      <vt:lpstr>Validación!Área_de_impresión</vt:lpstr>
      <vt:lpstr>'Instrucción de trabajo'!Títulos_a_imprimir</vt:lpstr>
    </vt:vector>
  </TitlesOfParts>
  <Company>Faurecia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Fco Javier Muñoz</dc:creator>
  <cp:lastModifiedBy>Xabier Molero Martín</cp:lastModifiedBy>
  <cp:lastPrinted>2015-12-11T17:57:54Z</cp:lastPrinted>
  <dcterms:created xsi:type="dcterms:W3CDTF">2007-01-22T12:13:31Z</dcterms:created>
  <dcterms:modified xsi:type="dcterms:W3CDTF">2015-12-13T02:07:47Z</dcterms:modified>
</cp:coreProperties>
</file>