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7"/>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s>
  <definedNames>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rint_Area" localSheetId="2">'Instrucción de trabajo'!$A$1:$I$106</definedName>
    <definedName name="Print_Area" localSheetId="1">'Orden de Pedido'!$A$1:$H$42</definedName>
    <definedName name="Print_Area" localSheetId="0">Validación!$A$1:$I$54</definedName>
    <definedName name="Print_Titles" localSheetId="2">'Instrucción de trabajo'!$11:$15</definedName>
  </definedNames>
  <calcPr calcId="144525"/>
</workbook>
</file>

<file path=xl/calcChain.xml><?xml version="1.0" encoding="utf-8"?>
<calcChain xmlns="http://schemas.openxmlformats.org/spreadsheetml/2006/main">
  <c r="F9" i="24" l="1"/>
  <c r="C12" i="22"/>
  <c r="C7" i="22"/>
  <c r="H3" i="22"/>
  <c r="C5" i="22"/>
  <c r="C11" i="22" s="1"/>
  <c r="C4" i="22"/>
  <c r="E3" i="22"/>
  <c r="C3" i="22"/>
  <c r="C2" i="22"/>
  <c r="B5" i="20"/>
  <c r="B4" i="20"/>
  <c r="B3" i="20"/>
  <c r="B9" i="20"/>
  <c r="B10" i="20"/>
  <c r="B11" i="20"/>
  <c r="B12" i="20"/>
  <c r="B7" i="20"/>
  <c r="B6" i="20"/>
  <c r="AH6" i="14"/>
  <c r="AH4" i="14"/>
  <c r="G3" i="23"/>
  <c r="F3" i="23"/>
  <c r="E3" i="23"/>
  <c r="H3" i="23" s="1"/>
  <c r="AH14" i="14"/>
  <c r="AH12" i="14"/>
  <c r="AH10" i="14"/>
  <c r="AH9" i="14"/>
  <c r="AH8" i="14"/>
  <c r="AH7" i="14"/>
  <c r="AH5" i="14"/>
  <c r="AE16" i="14" s="1"/>
  <c r="AH3" i="14"/>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9" i="10"/>
  <c r="AN15" i="10"/>
  <c r="AM12" i="10"/>
  <c r="AM18" i="10" s="1"/>
  <c r="AL12" i="10"/>
  <c r="AL18" i="10"/>
  <c r="AK12" i="10"/>
  <c r="AJ12" i="10"/>
  <c r="AJ18" i="10" s="1"/>
  <c r="AI12" i="10"/>
  <c r="AI18" i="10"/>
  <c r="AH12" i="10"/>
  <c r="AH18" i="10"/>
  <c r="AG12" i="10"/>
  <c r="AF12" i="10"/>
  <c r="AF13" i="10" s="1"/>
  <c r="AE12" i="10"/>
  <c r="AE18" i="10"/>
  <c r="AD12" i="10"/>
  <c r="AD18" i="10" s="1"/>
  <c r="AC12" i="10"/>
  <c r="AB12" i="10"/>
  <c r="AB18" i="10" s="1"/>
  <c r="AA12" i="10"/>
  <c r="AA18" i="10"/>
  <c r="Z12" i="10"/>
  <c r="Z18" i="10"/>
  <c r="Y12" i="10"/>
  <c r="X12" i="10"/>
  <c r="X18" i="10" s="1"/>
  <c r="W12" i="10"/>
  <c r="W18" i="10" s="1"/>
  <c r="V12" i="10"/>
  <c r="V18" i="10"/>
  <c r="U12" i="10"/>
  <c r="T12" i="10"/>
  <c r="T18" i="10" s="1"/>
  <c r="S12" i="10"/>
  <c r="S18" i="10"/>
  <c r="R12" i="10"/>
  <c r="R18" i="10"/>
  <c r="Q12" i="10"/>
  <c r="P12" i="10"/>
  <c r="P13" i="10" s="1"/>
  <c r="O12" i="10"/>
  <c r="O18" i="10"/>
  <c r="N12" i="10"/>
  <c r="N18" i="10" s="1"/>
  <c r="M12" i="10"/>
  <c r="M10" i="10"/>
  <c r="M16" i="10"/>
  <c r="L12" i="10"/>
  <c r="L18" i="10" s="1"/>
  <c r="K12" i="10"/>
  <c r="K18" i="10"/>
  <c r="J12" i="10"/>
  <c r="J18" i="10"/>
  <c r="I12" i="10"/>
  <c r="AN12" i="10"/>
  <c r="AN11" i="10"/>
  <c r="AM10" i="10"/>
  <c r="AM16" i="10"/>
  <c r="AL10" i="10"/>
  <c r="AL16" i="10" s="1"/>
  <c r="AJ10" i="10"/>
  <c r="AJ16" i="10" s="1"/>
  <c r="AI10" i="10"/>
  <c r="AI16" i="10"/>
  <c r="AH10" i="10"/>
  <c r="AH16" i="10"/>
  <c r="AF10" i="10"/>
  <c r="AF16" i="10" s="1"/>
  <c r="AE10" i="10"/>
  <c r="AE16" i="10" s="1"/>
  <c r="AD10" i="10"/>
  <c r="AD16" i="10"/>
  <c r="AB10" i="10"/>
  <c r="AB13" i="10" s="1"/>
  <c r="AA10" i="10"/>
  <c r="AA16" i="10"/>
  <c r="Z10" i="10"/>
  <c r="Z16" i="10"/>
  <c r="X10" i="10"/>
  <c r="X16" i="10" s="1"/>
  <c r="W10" i="10"/>
  <c r="W16" i="10"/>
  <c r="V10" i="10"/>
  <c r="V16" i="10" s="1"/>
  <c r="T10" i="10"/>
  <c r="T16" i="10" s="1"/>
  <c r="S10" i="10"/>
  <c r="S16" i="10"/>
  <c r="R10" i="10"/>
  <c r="R16" i="10"/>
  <c r="P10" i="10"/>
  <c r="P16" i="10" s="1"/>
  <c r="O10" i="10"/>
  <c r="O16" i="10" s="1"/>
  <c r="N10" i="10"/>
  <c r="N16" i="10"/>
  <c r="L10" i="10"/>
  <c r="L16" i="10" s="1"/>
  <c r="K10" i="10"/>
  <c r="K16" i="10"/>
  <c r="J10" i="10"/>
  <c r="J16" i="10"/>
  <c r="AN8" i="10"/>
  <c r="AN7" i="10"/>
  <c r="AN6" i="10"/>
  <c r="AN5" i="10"/>
  <c r="AN4" i="10"/>
  <c r="AN3" i="10"/>
  <c r="F41" i="19"/>
  <c r="C41" i="19"/>
  <c r="A41" i="19"/>
  <c r="AH15" i="14"/>
  <c r="AN18" i="10"/>
  <c r="J13" i="10"/>
  <c r="N13" i="10"/>
  <c r="R13" i="10"/>
  <c r="V13" i="10"/>
  <c r="Z13" i="10"/>
  <c r="AD13" i="10"/>
  <c r="AH13" i="10"/>
  <c r="AL13" i="10"/>
  <c r="I18" i="10"/>
  <c r="M18" i="10"/>
  <c r="Q18" i="10"/>
  <c r="U18" i="10"/>
  <c r="Y18" i="10"/>
  <c r="AC18" i="10"/>
  <c r="AG18" i="10"/>
  <c r="AK18" i="10"/>
  <c r="M13" i="10"/>
  <c r="K13" i="10"/>
  <c r="S13" i="10"/>
  <c r="AA13" i="10"/>
  <c r="AM13" i="10"/>
  <c r="O13" i="10"/>
  <c r="W13" i="10"/>
  <c r="AE13" i="10"/>
  <c r="AI13" i="10"/>
  <c r="I10" i="10"/>
  <c r="I16" i="10" s="1"/>
  <c r="Q10" i="10"/>
  <c r="Q16" i="10" s="1"/>
  <c r="U10" i="10"/>
  <c r="U16" i="10" s="1"/>
  <c r="Y10" i="10"/>
  <c r="Y16" i="10" s="1"/>
  <c r="AC10" i="10"/>
  <c r="AC16" i="10" s="1"/>
  <c r="AG10" i="10"/>
  <c r="AG16" i="10" s="1"/>
  <c r="AK10" i="10"/>
  <c r="AK16" i="10" s="1"/>
  <c r="AN10" i="10"/>
  <c r="AN13" i="10" s="1"/>
  <c r="AC13" i="10"/>
  <c r="I13" i="10"/>
  <c r="Y13" i="10"/>
  <c r="AG13" i="10"/>
  <c r="U13" i="10"/>
  <c r="AN16" i="10"/>
  <c r="L13" i="10" l="1"/>
  <c r="T13" i="10"/>
  <c r="AJ13" i="10"/>
  <c r="AB16" i="10"/>
  <c r="P18" i="10"/>
  <c r="AF18" i="10"/>
  <c r="AK13" i="10"/>
  <c r="Q13" i="10"/>
  <c r="X13" i="10"/>
</calcChain>
</file>

<file path=xl/comments1.xml><?xml version="1.0" encoding="utf-8"?>
<comments xmlns="http://schemas.openxmlformats.org/spreadsheetml/2006/main">
  <authors>
    <author>Javier Burgos</author>
  </authors>
  <commentList>
    <comment ref="B23" authorId="0">
      <text>
        <r>
          <rPr>
            <b/>
            <sz val="9"/>
            <color indexed="81"/>
            <rFont val="Tahoma"/>
            <family val="2"/>
          </rPr>
          <t>Recordatorio:</t>
        </r>
        <r>
          <rPr>
            <sz val="9"/>
            <color indexed="81"/>
            <rFont val="Tahoma"/>
            <family val="2"/>
          </rPr>
          <t xml:space="preserve">
Definir los pasos a realizar, las herramientas necesarias (Calibre, lija…) y la forma de control (visual, manual…)</t>
        </r>
      </text>
    </comment>
  </commentList>
</comments>
</file>

<file path=xl/sharedStrings.xml><?xml version="1.0" encoding="utf-8"?>
<sst xmlns="http://schemas.openxmlformats.org/spreadsheetml/2006/main" count="229" uniqueCount="167">
  <si>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</si>
  <si>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</si>
  <si>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</si>
  <si>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</si>
  <si>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</si>
  <si>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</si>
  <si>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</si>
  <si>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</si>
  <si>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</si>
  <si>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</si>
  <si>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</si>
  <si>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</si>
  <si>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</si>
  <si>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</si>
  <si>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</si>
  <si>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</si>
  <si>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</si>
  <si>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</si>
  <si>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</si>
  <si>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</si>
  <si>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</si>
  <si>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</si>
  <si>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</si>
  <si>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</si>
  <si>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</si>
  <si>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</si>
  <si>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</si>
  <si>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</si>
  <si>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</si>
  <si>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</si>
  <si>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</si>
  <si>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</si>
  <si>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</si>
  <si>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</si>
  <si>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</si>
  <si>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</si>
  <si>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</si>
  <si>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</si>
  <si>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</si>
  <si>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</si>
  <si>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</si>
  <si>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</si>
  <si>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</si>
  <si>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</si>
  <si>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</si>
  <si>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</si>
  <si>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</si>
  <si>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</si>
  <si>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</si>
  <si>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</si>
  <si>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</si>
  <si>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</si>
  <si>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</si>
  <si>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</si>
  <si>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</si>
  <si>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</si>
  <si>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</si>
  <si>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</si>
  <si>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</si>
  <si>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</si>
  <si>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</si>
  <si>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</si>
  <si>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</si>
  <si>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</si>
  <si>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</si>
  <si>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</si>
  <si>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</si>
  <si>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</si>
  <si>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</si>
  <si>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</si>
  <si>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</si>
  <si>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</si>
  <si>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</si>
  <si>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</si>
  <si>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</si>
  <si>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</si>
  <si>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</si>
  <si>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</si>
  <si>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</si>
  <si>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</si>
  <si>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</si>
  <si>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</si>
  <si>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</si>
  <si>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</si>
  <si>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</si>
  <si>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</si>
  <si>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</si>
  <si>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</si>
  <si>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</si>
  <si>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</si>
  <si>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</si>
  <si>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</si>
  <si>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</si>
  <si>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</si>
  <si>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</si>
  <si>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</si>
  <si>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</si>
  <si>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</si>
  <si>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</si>
  <si>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</si>
  <si>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</si>
  <si>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</si>
  <si>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</si>
  <si>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</si>
  <si>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</si>
  <si>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</si>
  <si>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</si>
  <si>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</si>
  <si>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</si>
  <si>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</si>
  <si>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</si>
  <si>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</si>
  <si>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</si>
  <si>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</si>
  <si>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</si>
  <si>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</si>
  <si>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</si>
  <si>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</si>
  <si>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</si>
  <si>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</si>
  <si>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</si>
  <si>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</si>
  <si>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</si>
  <si>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</si>
  <si>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</si>
  <si>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</si>
  <si>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</si>
  <si>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</si>
  <si>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</si>
  <si>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</si>
  <si>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</si>
  <si>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</si>
  <si>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</si>
  <si>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</si>
  <si>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</si>
  <si>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</si>
  <si>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</si>
  <si>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</si>
  <si>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</si>
  <si>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</si>
  <si>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</si>
  <si>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</si>
  <si>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</si>
  <si>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</si>
  <si>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</si>
  <si>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 xml:space="preserve">C/Las Arenas, nº1   </t>
  </si>
  <si>
    <t>01010</t>
  </si>
  <si>
    <t>España</t>
  </si>
  <si>
    <t>Vitoria-Gasteiz</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</si>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</sst>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C0A]d\-mmm\-yy;@"/>
    <numFmt numFmtId="165" formatCode="0.0"/>
    <numFmt numFmtId="166" formatCode="[$-C0A]d\-mmm;@"/>
    <numFmt numFmtId="167" formatCode="dd\-mm\-yy;@"/>
    <numFmt numFmtId="168" formatCode="#,##0.00\ &quot;€&quot;"/>
  </numFmts>
  <fonts count="50"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9"/>
      <color indexed="81"/>
      <name val="Tahoma"/>
      <family val="2"/>
    </font>
    <font>
      <sz val="9"/>
      <color indexed="81"/>
      <name val="Tahoma"/>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0"/>
      <color theme="4" tint="-0.249977111117893"/>
      <name val="Arial"/>
      <family val="2"/>
    </font>
    <font>
      <u/>
      <sz val="10"/>
      <color theme="4" tint="-0.249977111117893"/>
      <name val="Arial"/>
      <family val="2"/>
    </font>
    <font>
      <sz val="10"/>
      <color rgb="FF0070C0"/>
      <name val="Arial"/>
      <family val="2"/>
    </font>
    <font>
      <u/>
      <sz val="10"/>
      <color rgb="FF0070C0"/>
      <name val="Arial"/>
      <family val="2"/>
    </font>
    <font>
      <sz val="10"/>
      <color theme="3"/>
      <name val="Arial"/>
      <family val="2"/>
    </font>
    <font>
      <u/>
      <sz val="10"/>
      <color theme="3"/>
      <name val="Arial"/>
      <family val="2"/>
    </font>
    <font>
      <sz val="11"/>
      <color theme="3"/>
      <name val="Arial"/>
      <family val="2"/>
    </font>
    <font>
      <sz val="10"/>
      <name val="Calibri"/>
      <family val="2"/>
      <scheme val="minor"/>
    </font>
    <font>
      <sz val="10"/>
      <color theme="1"/>
      <name val="Arial"/>
      <family val="2"/>
    </font>
    <font>
      <b/>
      <sz val="24"/>
      <color rgb="FFFF0000"/>
      <name val="Arial"/>
      <family val="2"/>
    </font>
    <font>
      <b/>
      <sz val="12"/>
      <color rgb="FFFF0000"/>
      <name val="Arial"/>
      <family val="2"/>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style="dotted">
        <color indexed="64"/>
      </right>
      <top/>
      <bottom/>
      <diagonal/>
    </border>
    <border>
      <left style="thin">
        <color indexed="64"/>
      </left>
      <right style="dotted">
        <color indexed="64"/>
      </right>
      <top/>
      <bottom style="thin">
        <color indexed="64"/>
      </bottom>
      <diagonal/>
    </border>
    <border>
      <left/>
      <right/>
      <top style="dotted">
        <color indexed="64"/>
      </top>
      <bottom style="dotted">
        <color indexed="64"/>
      </bottom>
      <diagonal/>
    </border>
    <border>
      <left style="dotted">
        <color indexed="64"/>
      </left>
      <right/>
      <top/>
      <bottom style="thin">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style="dotted">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top style="thin">
        <color indexed="64"/>
      </top>
      <bottom style="dotted">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64">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3" fillId="6" borderId="1" xfId="0" applyNumberFormat="1" applyFont="1" applyFill="1" applyBorder="1" applyAlignment="1">
      <alignment horizontal="center" vertical="center" shrinkToFit="1"/>
    </xf>
    <xf numFmtId="0" fontId="34"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lignment vertical="center" wrapText="1"/>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9"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5" fillId="11" borderId="1" xfId="0" applyFont="1" applyFill="1" applyBorder="1" applyAlignment="1">
      <alignment horizontal="center"/>
    </xf>
    <xf numFmtId="0" fontId="36"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7" fillId="11" borderId="21" xfId="0" applyFont="1" applyFill="1" applyBorder="1" applyAlignment="1">
      <alignment horizontal="center"/>
    </xf>
    <xf numFmtId="0" fontId="38"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horizontal="center"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49" fontId="43" fillId="0" borderId="1" xfId="0" applyNumberFormat="1" applyFont="1" applyFill="1" applyBorder="1" applyAlignment="1">
      <alignment horizontal="center" vertical="center"/>
    </xf>
    <xf numFmtId="0" fontId="43" fillId="0" borderId="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0" fontId="5" fillId="15" borderId="1" xfId="0" applyFont="1" applyFill="1" applyBorder="1" applyAlignment="1">
      <alignment horizontal="center" vertical="center"/>
    </xf>
    <xf numFmtId="49" fontId="45" fillId="0" borderId="16" xfId="0" applyNumberFormat="1" applyFont="1" applyFill="1" applyBorder="1" applyAlignment="1">
      <alignment horizontal="center" vertical="center"/>
    </xf>
    <xf numFmtId="0" fontId="45" fillId="0" borderId="35" xfId="0" applyNumberFormat="1" applyFont="1" applyFill="1" applyBorder="1" applyAlignment="1">
      <alignment horizontal="center" vertical="center"/>
    </xf>
    <xf numFmtId="0" fontId="45" fillId="0" borderId="21" xfId="0" applyNumberFormat="1" applyFont="1" applyFill="1" applyBorder="1" applyAlignment="1">
      <alignment horizontal="center" vertical="center"/>
    </xf>
    <xf numFmtId="49" fontId="43" fillId="0" borderId="16" xfId="0" applyNumberFormat="1" applyFont="1" applyFill="1" applyBorder="1" applyAlignment="1">
      <alignment horizontal="center" vertical="center"/>
    </xf>
    <xf numFmtId="0" fontId="43" fillId="0" borderId="35" xfId="0" applyNumberFormat="1" applyFont="1" applyFill="1" applyBorder="1" applyAlignment="1">
      <alignment horizontal="center" vertical="center"/>
    </xf>
    <xf numFmtId="0" fontId="43" fillId="0" borderId="2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44" fillId="0" borderId="1" xfId="0" applyFont="1" applyFill="1" applyBorder="1" applyAlignment="1">
      <alignment horizontal="center" vertical="center"/>
    </xf>
    <xf numFmtId="14" fontId="43" fillId="0" borderId="1" xfId="1" applyNumberFormat="1" applyFont="1" applyFill="1" applyBorder="1" applyAlignment="1" applyProtection="1">
      <alignment horizontal="center" vertical="center"/>
    </xf>
    <xf numFmtId="14" fontId="43" fillId="0" borderId="1" xfId="0" applyNumberFormat="1" applyFont="1" applyFill="1" applyBorder="1" applyAlignment="1">
      <alignment horizontal="center" vertical="center"/>
    </xf>
    <xf numFmtId="49" fontId="45" fillId="0" borderId="1" xfId="0" applyNumberFormat="1" applyFont="1" applyFill="1" applyBorder="1" applyAlignment="1">
      <alignment horizontal="center" vertical="center"/>
    </xf>
    <xf numFmtId="0" fontId="42" fillId="0" borderId="1" xfId="1" applyFont="1" applyFill="1" applyBorder="1" applyAlignment="1" applyProtection="1">
      <alignment horizontal="center" vertical="center"/>
    </xf>
    <xf numFmtId="0" fontId="43"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1" fillId="0" borderId="1" xfId="0" applyFont="1" applyFill="1" applyBorder="1" applyAlignment="1">
      <alignment horizontal="center" vertical="center"/>
    </xf>
    <xf numFmtId="0" fontId="42" fillId="0" borderId="1" xfId="1" applyFont="1" applyFill="1" applyBorder="1" applyAlignment="1" applyProtection="1">
      <alignment horizontal="center" vertical="center" wrapText="1"/>
    </xf>
    <xf numFmtId="0" fontId="41" fillId="0" borderId="1" xfId="1" applyFont="1" applyFill="1" applyBorder="1" applyAlignment="1" applyProtection="1">
      <alignment horizontal="center" vertical="center" wrapText="1"/>
    </xf>
    <xf numFmtId="0" fontId="41" fillId="0" borderId="1" xfId="0" applyFont="1" applyFill="1" applyBorder="1" applyAlignment="1">
      <alignment horizontal="center" vertical="center" wrapText="1"/>
    </xf>
    <xf numFmtId="0" fontId="41" fillId="0" borderId="16" xfId="0" applyFont="1" applyFill="1" applyBorder="1" applyAlignment="1">
      <alignment horizontal="center" vertical="center"/>
    </xf>
    <xf numFmtId="0" fontId="41" fillId="0" borderId="35" xfId="0" applyFont="1" applyFill="1" applyBorder="1" applyAlignment="1">
      <alignment horizontal="center" vertical="center"/>
    </xf>
    <xf numFmtId="0" fontId="41" fillId="0" borderId="21" xfId="0" applyFont="1" applyFill="1" applyBorder="1" applyAlignment="1">
      <alignment horizontal="center" vertical="center"/>
    </xf>
    <xf numFmtId="0" fontId="41" fillId="0" borderId="12" xfId="0" applyFont="1" applyFill="1" applyBorder="1" applyAlignment="1">
      <alignment horizontal="center" vertical="center" wrapText="1"/>
    </xf>
    <xf numFmtId="0" fontId="41" fillId="0" borderId="17" xfId="0" applyFont="1" applyFill="1" applyBorder="1" applyAlignment="1">
      <alignment horizontal="center" vertical="center"/>
    </xf>
    <xf numFmtId="0" fontId="41" fillId="0" borderId="45"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45" xfId="0" applyFont="1" applyFill="1" applyBorder="1" applyAlignment="1">
      <alignment horizontal="left" vertical="center" wrapText="1"/>
    </xf>
    <xf numFmtId="0" fontId="20" fillId="6" borderId="46"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47" xfId="0" applyFont="1" applyBorder="1" applyAlignment="1">
      <alignment horizontal="center"/>
    </xf>
    <xf numFmtId="0" fontId="5" fillId="0" borderId="48" xfId="0" applyFont="1" applyBorder="1" applyAlignment="1">
      <alignment horizontal="center"/>
    </xf>
    <xf numFmtId="0" fontId="5" fillId="0" borderId="49" xfId="0" applyFont="1" applyBorder="1" applyAlignment="1">
      <alignment horizontal="center"/>
    </xf>
    <xf numFmtId="0" fontId="5" fillId="0" borderId="37" xfId="0" applyFont="1" applyBorder="1" applyAlignment="1">
      <alignment horizontal="center"/>
    </xf>
    <xf numFmtId="0" fontId="5" fillId="0" borderId="0" xfId="0" applyFont="1" applyBorder="1" applyAlignment="1">
      <alignment horizontal="center"/>
    </xf>
    <xf numFmtId="0" fontId="5" fillId="0" borderId="38" xfId="0" applyFont="1" applyBorder="1" applyAlignment="1">
      <alignment horizontal="center"/>
    </xf>
    <xf numFmtId="0" fontId="5" fillId="0" borderId="50" xfId="0" applyFont="1" applyBorder="1" applyAlignment="1">
      <alignment horizontal="center"/>
    </xf>
    <xf numFmtId="0" fontId="5" fillId="0" borderId="14" xfId="0" applyFont="1" applyBorder="1" applyAlignment="1">
      <alignment horizontal="center"/>
    </xf>
    <xf numFmtId="0" fontId="5" fillId="0" borderId="51" xfId="0" applyFont="1" applyBorder="1" applyAlignment="1">
      <alignment horizontal="center"/>
    </xf>
    <xf numFmtId="0" fontId="5" fillId="0" borderId="42"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2"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53" xfId="0" applyFont="1" applyBorder="1" applyAlignment="1">
      <alignment horizontal="center" wrapText="1"/>
    </xf>
    <xf numFmtId="0" fontId="2" fillId="0" borderId="17" xfId="0" applyFont="1" applyBorder="1" applyAlignment="1">
      <alignment horizontal="center" wrapText="1"/>
    </xf>
    <xf numFmtId="0" fontId="2" fillId="0" borderId="54" xfId="0" applyFont="1" applyBorder="1" applyAlignment="1">
      <alignment horizontal="center" wrapText="1"/>
    </xf>
    <xf numFmtId="0" fontId="2" fillId="0" borderId="50" xfId="0" applyFont="1" applyBorder="1" applyAlignment="1">
      <alignment horizontal="center" wrapText="1"/>
    </xf>
    <xf numFmtId="0" fontId="2" fillId="0" borderId="14" xfId="0" applyFont="1" applyBorder="1" applyAlignment="1">
      <alignment horizontal="center" wrapText="1"/>
    </xf>
    <xf numFmtId="0" fontId="2" fillId="0" borderId="51" xfId="0" applyFont="1" applyBorder="1" applyAlignment="1">
      <alignment horizontal="center" wrapText="1"/>
    </xf>
    <xf numFmtId="0" fontId="5" fillId="0" borderId="0" xfId="0" applyFont="1" applyAlignment="1">
      <alignment wrapText="1" shrinkToFit="1"/>
    </xf>
    <xf numFmtId="0" fontId="5" fillId="0" borderId="0" xfId="0" applyFont="1" applyAlignment="1">
      <alignment wrapText="1"/>
    </xf>
    <xf numFmtId="0" fontId="5" fillId="0" borderId="37" xfId="0" applyFont="1" applyBorder="1" applyAlignment="1">
      <alignment horizontal="center" vertical="center" wrapText="1"/>
    </xf>
    <xf numFmtId="0" fontId="5" fillId="0" borderId="0"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8" borderId="42"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43" xfId="0" applyFont="1" applyFill="1" applyBorder="1" applyAlignment="1">
      <alignment horizontal="left" vertical="center" wrapText="1"/>
    </xf>
    <xf numFmtId="0" fontId="5" fillId="8" borderId="44" xfId="0" applyFont="1" applyFill="1" applyBorder="1" applyAlignment="1">
      <alignment horizontal="left"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72" xfId="0" applyFont="1" applyBorder="1" applyAlignment="1">
      <alignment horizontal="center" vertical="center" wrapText="1"/>
    </xf>
    <xf numFmtId="0" fontId="4" fillId="0" borderId="68" xfId="0" applyFont="1" applyBorder="1" applyAlignment="1">
      <alignment horizontal="center" vertical="center" wrapText="1"/>
    </xf>
    <xf numFmtId="0" fontId="4" fillId="0" borderId="69" xfId="0" applyFont="1" applyBorder="1" applyAlignment="1">
      <alignment horizontal="center" vertical="center" wrapText="1"/>
    </xf>
    <xf numFmtId="0" fontId="7" fillId="16" borderId="1" xfId="0" applyFont="1" applyFill="1" applyBorder="1" applyAlignment="1">
      <alignment horizontal="center" vertical="center" wrapText="1"/>
    </xf>
    <xf numFmtId="0" fontId="47"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70" xfId="0" applyNumberFormat="1" applyFont="1" applyBorder="1" applyAlignment="1">
      <alignment horizontal="center" vertical="center"/>
    </xf>
    <xf numFmtId="49" fontId="0" fillId="0" borderId="70"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71"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45" xfId="0" applyFont="1" applyFill="1" applyBorder="1" applyAlignment="1" applyProtection="1">
      <alignment horizontal="center" vertical="center"/>
    </xf>
    <xf numFmtId="49" fontId="5" fillId="0" borderId="67" xfId="0" applyNumberFormat="1" applyFont="1" applyBorder="1" applyAlignment="1" applyProtection="1">
      <alignment horizontal="center" vertical="center"/>
      <protection locked="0"/>
    </xf>
    <xf numFmtId="0" fontId="5" fillId="0" borderId="68" xfId="0" applyNumberFormat="1" applyFont="1" applyBorder="1" applyAlignment="1" applyProtection="1">
      <alignment horizontal="center" vertical="center"/>
      <protection locked="0"/>
    </xf>
    <xf numFmtId="0" fontId="5" fillId="0" borderId="69" xfId="0" applyNumberFormat="1" applyFont="1" applyBorder="1" applyAlignment="1" applyProtection="1">
      <alignment horizontal="center" vertical="center"/>
      <protection locked="0"/>
    </xf>
    <xf numFmtId="49" fontId="46" fillId="0" borderId="60" xfId="0" applyNumberFormat="1" applyFont="1" applyFill="1" applyBorder="1" applyAlignment="1">
      <alignment horizontal="center" vertical="center"/>
    </xf>
    <xf numFmtId="0" fontId="46" fillId="0" borderId="58" xfId="0" applyNumberFormat="1" applyFont="1" applyFill="1" applyBorder="1" applyAlignment="1">
      <alignment horizontal="center" vertical="center"/>
    </xf>
    <xf numFmtId="0" fontId="46"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46"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45" xfId="0" applyNumberFormat="1" applyFont="1" applyBorder="1" applyAlignment="1">
      <alignment horizontal="center" vertical="center"/>
    </xf>
    <xf numFmtId="49" fontId="5" fillId="0" borderId="46"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0" xfId="1" applyNumberFormat="1" applyFill="1" applyBorder="1" applyAlignment="1" applyProtection="1">
      <alignment horizontal="center" vertical="center"/>
    </xf>
    <xf numFmtId="0" fontId="1" fillId="0" borderId="58"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6" fillId="0" borderId="62" xfId="0" applyNumberFormat="1" applyFont="1" applyFill="1" applyBorder="1" applyAlignment="1">
      <alignment horizontal="center" vertical="center" wrapText="1"/>
    </xf>
    <xf numFmtId="14" fontId="46" fillId="0" borderId="63" xfId="0" applyNumberFormat="1" applyFont="1" applyFill="1" applyBorder="1" applyAlignment="1">
      <alignment horizontal="center" vertical="center" wrapText="1"/>
    </xf>
    <xf numFmtId="14" fontId="46" fillId="0" borderId="64" xfId="0" applyNumberFormat="1" applyFont="1" applyFill="1" applyBorder="1" applyAlignment="1">
      <alignment horizontal="center" vertical="center" wrapText="1"/>
    </xf>
    <xf numFmtId="0" fontId="18" fillId="3" borderId="46"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5"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45"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6"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0" xfId="0" applyNumberFormat="1" applyFont="1" applyFill="1" applyBorder="1" applyAlignment="1" applyProtection="1">
      <alignment horizontal="center" vertical="center" wrapText="1"/>
      <protection locked="0"/>
    </xf>
    <xf numFmtId="0" fontId="5" fillId="0" borderId="58"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1"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0" xfId="0" applyNumberFormat="1" applyFont="1" applyFill="1" applyBorder="1" applyAlignment="1" applyProtection="1">
      <alignment horizontal="center" vertical="center"/>
      <protection locked="0"/>
    </xf>
    <xf numFmtId="49" fontId="5" fillId="0" borderId="58"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49" fontId="5" fillId="0" borderId="7" xfId="0" applyNumberFormat="1" applyFont="1" applyBorder="1" applyAlignment="1">
      <alignment horizontal="center" vertical="center" wrapText="1"/>
    </xf>
    <xf numFmtId="49" fontId="5" fillId="0" borderId="58"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4" fillId="0" borderId="36" xfId="0" applyFont="1" applyFill="1" applyBorder="1" applyAlignment="1">
      <alignment horizontal="left" vertical="center"/>
    </xf>
    <xf numFmtId="0" fontId="4" fillId="0" borderId="57"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0" xfId="0" applyFont="1" applyFill="1" applyBorder="1" applyAlignment="1" applyProtection="1">
      <alignment horizontal="center" vertical="center"/>
      <protection locked="0"/>
    </xf>
    <xf numFmtId="0" fontId="5" fillId="0" borderId="58"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59"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45"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45"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46"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45"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wrapText="1"/>
      <protection locked="0"/>
    </xf>
    <xf numFmtId="0" fontId="5" fillId="0" borderId="45"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55"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45"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13" xfId="0" applyBorder="1" applyAlignment="1">
      <alignment horizontal="center" vertical="center" wrapText="1"/>
    </xf>
    <xf numFmtId="0" fontId="0" fillId="0" borderId="46"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55"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55"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45" xfId="0" applyFont="1" applyBorder="1" applyAlignment="1">
      <alignment horizontal="center" vertical="center"/>
    </xf>
    <xf numFmtId="0" fontId="5" fillId="0" borderId="46"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55" xfId="0" applyFont="1" applyBorder="1" applyAlignment="1">
      <alignment horizontal="center" vertical="center"/>
    </xf>
    <xf numFmtId="0" fontId="5" fillId="0" borderId="36" xfId="0" applyFont="1" applyBorder="1" applyAlignment="1">
      <alignment horizontal="center" vertical="center"/>
    </xf>
    <xf numFmtId="0" fontId="28" fillId="8" borderId="73" xfId="0" applyFont="1" applyFill="1" applyBorder="1" applyAlignment="1">
      <alignment horizontal="center" vertical="center" textRotation="90" wrapText="1"/>
    </xf>
    <xf numFmtId="0" fontId="28" fillId="8" borderId="4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7" fillId="8" borderId="75" xfId="0" applyFont="1" applyFill="1" applyBorder="1" applyAlignment="1">
      <alignment horizontal="center" vertical="center" textRotation="90" wrapText="1"/>
    </xf>
    <xf numFmtId="0" fontId="27" fillId="8" borderId="76" xfId="0" applyFont="1" applyFill="1" applyBorder="1" applyAlignment="1">
      <alignment horizontal="center" vertical="center" textRotation="90" wrapText="1"/>
    </xf>
    <xf numFmtId="0" fontId="27" fillId="8" borderId="77"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80"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4"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8"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79"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8" fillId="6" borderId="32" xfId="0" applyNumberFormat="1" applyFont="1" applyFill="1" applyBorder="1" applyAlignment="1">
      <alignment horizontal="center" vertical="center"/>
    </xf>
    <xf numFmtId="49" fontId="48"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45"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9" fillId="0" borderId="14" xfId="0" applyNumberFormat="1" applyFont="1" applyBorder="1" applyAlignment="1">
      <alignment horizontal="center" vertical="center" wrapText="1"/>
    </xf>
    <xf numFmtId="168" fontId="49" fillId="0" borderId="11" xfId="0" applyNumberFormat="1" applyFont="1" applyBorder="1" applyAlignment="1">
      <alignment horizontal="center" vertical="center" wrapText="1"/>
    </xf>
    <xf numFmtId="0" fontId="32" fillId="0" borderId="0" xfId="0" applyFont="1" applyAlignment="1">
      <alignment horizontal="left" vertical="center"/>
    </xf>
    <xf numFmtId="0" fontId="30"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cellXfs>
  <cellStyles count="3">
    <cellStyle name="Hipervínculo" xfId="1" builtinId="8"/>
    <cellStyle name="Normal" xfId="0" builtinId="0"/>
    <cellStyle name="Normal 2" xfId="2"/>
  </cellStyles>
  <dxfs count="8">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7"/>
      <tableStyleElement type="headerRow" dxfId="6"/>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Información!$A$12</c:f>
              <c:strCache>
                <c:ptCount val="1"/>
              </c:strCache>
            </c:strRef>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Información!$B$12:$AM$12</c:f>
              <c:numCache>
                <c:formatCode>@</c:formatCode>
                <c:ptCount val="38"/>
                <c:pt idx="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numCache>
            </c:numRef>
          </c:val>
        </c:ser>
        <c:ser>
          <c:idx val="1"/>
          <c:order val="1"/>
          <c:tx>
            <c:strRef>
              <c:f>Información!$A$13</c:f>
              <c:strCache>
                <c:ptCount val="1"/>
              </c:strCache>
            </c:strRef>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Información!$B$13:$AM$13</c:f>
              <c:numCache>
                <c:formatCode>@</c:formatCode>
                <c:ptCount val="38"/>
                <c:pt idx="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pt idx="29" formatCode="0.0">
                  <c:v>0</c:v>
                </c:pt>
                <c:pt idx="30" formatCode="0.0">
                  <c:v>0</c:v>
                </c:pt>
                <c:pt idx="31" formatCode="0.0">
                  <c:v>0</c:v>
                </c:pt>
                <c:pt idx="32" formatCode="0.0">
                  <c:v>0</c:v>
                </c:pt>
                <c:pt idx="33" formatCode="0.0">
                  <c:v>0</c:v>
                </c:pt>
                <c:pt idx="34" formatCode="0.0">
                  <c:v>0</c:v>
                </c:pt>
                <c:pt idx="35" formatCode="0.0">
                  <c:v>0</c:v>
                </c:pt>
                <c:pt idx="36" formatCode="0.0">
                  <c:v>0</c:v>
                </c:pt>
                <c:pt idx="37" formatCode="0.0">
                  <c:v>0</c:v>
                </c:pt>
              </c:numCache>
            </c:numRef>
          </c:val>
        </c:ser>
        <c:ser>
          <c:idx val="2"/>
          <c:order val="2"/>
          <c:tx>
            <c:strRef>
              <c:f>Información!$A$14</c:f>
              <c:strCache>
                <c:ptCount val="1"/>
              </c:strCache>
            </c:strRef>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Información!$B$14:$AM$14</c:f>
              <c:numCache>
                <c:formatCode>@</c:formatCode>
                <c:ptCount val="38"/>
              </c:numCache>
            </c:numRef>
          </c:val>
        </c:ser>
        <c:dLbls>
          <c:showLegendKey val="0"/>
          <c:showVal val="0"/>
          <c:showCatName val="0"/>
          <c:showSerName val="0"/>
          <c:showPercent val="0"/>
          <c:showBubbleSize val="0"/>
        </c:dLbls>
        <c:gapWidth val="150"/>
        <c:axId val="168780160"/>
        <c:axId val="168781696"/>
      </c:barChart>
      <c:dateAx>
        <c:axId val="168780160"/>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68781696"/>
        <c:crosses val="autoZero"/>
        <c:auto val="1"/>
        <c:lblOffset val="100"/>
        <c:baseTimeUnit val="days"/>
        <c:majorUnit val="2"/>
        <c:minorUnit val="1"/>
      </c:dateAx>
      <c:valAx>
        <c:axId val="168781696"/>
        <c:scaling>
          <c:orientation val="minMax"/>
        </c:scaling>
        <c:delete val="0"/>
        <c:axPos val="l"/>
        <c:majorGridlines/>
        <c:numFmt formatCode="@"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6878016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74"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7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76"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21"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31</xdr:row>
      <xdr:rowOff>85725</xdr:rowOff>
    </xdr:from>
    <xdr:to>
      <xdr:col>6</xdr:col>
      <xdr:colOff>800100</xdr:colOff>
      <xdr:row>33</xdr:row>
      <xdr:rowOff>390525</xdr:rowOff>
    </xdr:to>
    <xdr:pic>
      <xdr:nvPicPr>
        <xdr:cNvPr id="799256"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31</xdr:row>
      <xdr:rowOff>47625</xdr:rowOff>
    </xdr:from>
    <xdr:to>
      <xdr:col>4</xdr:col>
      <xdr:colOff>695325</xdr:colOff>
      <xdr:row>33</xdr:row>
      <xdr:rowOff>400050</xdr:rowOff>
    </xdr:to>
    <xdr:pic>
      <xdr:nvPicPr>
        <xdr:cNvPr id="799257"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258"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0"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40"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41"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18"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0"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1381125</xdr:colOff>
      <xdr:row>0</xdr:row>
      <xdr:rowOff>847725</xdr:rowOff>
    </xdr:to>
    <xdr:pic>
      <xdr:nvPicPr>
        <xdr:cNvPr id="797704" name="3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ercedes-benz.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62"/>
  <sheetViews>
    <sheetView zoomScaleNormal="100" workbookViewId="0">
      <selection activeCell="K5" sqref="K5"/>
    </sheetView>
  </sheetViews>
  <sheetFormatPr baseColWidth="10" defaultRowHeight="12.75" x14ac:dyDescent="0.2"/>
  <cols>
    <col min="1" max="1" width="23.85546875" style="54" customWidth="1"/>
    <col min="2" max="8" width="7.42578125" style="54" customWidth="1"/>
    <col min="9" max="9" width="11.5703125" style="54" customWidth="1"/>
    <col min="10" max="16384" width="11.42578125" style="54"/>
  </cols>
  <sheetData>
    <row r="1" spans="1:11" ht="63.75" customHeight="1" x14ac:dyDescent="0.2">
      <c r="A1" s="53"/>
      <c r="B1" s="144" t="s">
        <v>86</v>
      </c>
      <c r="C1" s="144"/>
      <c r="D1" s="144"/>
      <c r="E1" s="144"/>
      <c r="F1" s="144"/>
      <c r="G1" s="144"/>
      <c r="H1" s="145" t="s">
        <v>100</v>
      </c>
      <c r="I1" s="145"/>
    </row>
    <row r="2" spans="1:11" x14ac:dyDescent="0.2">
      <c r="A2" s="146" t="s">
        <v>85</v>
      </c>
      <c r="B2" s="146"/>
      <c r="C2" s="146"/>
      <c r="D2" s="146"/>
      <c r="E2" s="146"/>
      <c r="F2" s="146"/>
      <c r="G2" s="146"/>
      <c r="H2" s="146"/>
      <c r="I2" s="146"/>
    </row>
    <row r="3" spans="1:11" ht="14.25" x14ac:dyDescent="0.2">
      <c r="A3" s="8" t="s">
        <v>14</v>
      </c>
      <c r="B3" s="147">
        <f>'Orden de Pedido'!B12</f>
        <v>0</v>
      </c>
      <c r="C3" s="148"/>
      <c r="D3" s="148"/>
      <c r="E3" s="148"/>
      <c r="F3" s="148"/>
      <c r="G3" s="148"/>
      <c r="H3" s="148"/>
      <c r="I3" s="149"/>
    </row>
    <row r="4" spans="1:11" x14ac:dyDescent="0.2">
      <c r="A4" s="8" t="s">
        <v>15</v>
      </c>
      <c r="B4" s="150">
        <f>'Orden de Pedido'!B13</f>
        <v>0</v>
      </c>
      <c r="C4" s="151"/>
      <c r="D4" s="151"/>
      <c r="E4" s="151"/>
      <c r="F4" s="151"/>
      <c r="G4" s="151"/>
      <c r="H4" s="151"/>
      <c r="I4" s="152"/>
    </row>
    <row r="5" spans="1:11" x14ac:dyDescent="0.2">
      <c r="A5" s="8" t="s">
        <v>16</v>
      </c>
      <c r="B5" s="142">
        <f>'Orden de Pedido'!B14</f>
        <v>0</v>
      </c>
      <c r="C5" s="143"/>
      <c r="D5" s="143"/>
      <c r="E5" s="143"/>
      <c r="F5" s="143"/>
      <c r="G5" s="143"/>
      <c r="H5" s="143"/>
      <c r="I5" s="143"/>
    </row>
    <row r="6" spans="1:11" x14ac:dyDescent="0.2">
      <c r="A6" s="8" t="s">
        <v>17</v>
      </c>
      <c r="B6" s="153">
        <f>'Orden de Pedido'!B15:H15</f>
        <v>0</v>
      </c>
      <c r="C6" s="154"/>
      <c r="D6" s="154"/>
      <c r="E6" s="154"/>
      <c r="F6" s="154"/>
      <c r="G6" s="154"/>
      <c r="H6" s="154"/>
      <c r="I6" s="154"/>
    </row>
    <row r="7" spans="1:11" x14ac:dyDescent="0.2">
      <c r="A7" s="43" t="s">
        <v>18</v>
      </c>
      <c r="B7" s="155">
        <f>'Orden de Pedido'!B16:H16</f>
        <v>0</v>
      </c>
      <c r="C7" s="156"/>
      <c r="D7" s="156"/>
      <c r="E7" s="156"/>
      <c r="F7" s="156"/>
      <c r="G7" s="156"/>
      <c r="H7" s="156"/>
      <c r="I7" s="156"/>
      <c r="K7" s="55"/>
    </row>
    <row r="8" spans="1:11" x14ac:dyDescent="0.2">
      <c r="A8" s="146" t="s">
        <v>19</v>
      </c>
      <c r="B8" s="146"/>
      <c r="C8" s="146"/>
      <c r="D8" s="146"/>
      <c r="E8" s="146"/>
      <c r="F8" s="146"/>
      <c r="G8" s="146"/>
      <c r="H8" s="146"/>
      <c r="I8" s="146"/>
      <c r="K8" s="55"/>
    </row>
    <row r="9" spans="1:11" ht="14.25" x14ac:dyDescent="0.2">
      <c r="A9" s="8" t="s">
        <v>14</v>
      </c>
      <c r="B9" s="157">
        <f>'Orden de Pedido'!G18</f>
        <v>0</v>
      </c>
      <c r="C9" s="143"/>
      <c r="D9" s="143"/>
      <c r="E9" s="143"/>
      <c r="F9" s="143"/>
      <c r="G9" s="143"/>
      <c r="H9" s="143"/>
      <c r="I9" s="143"/>
    </row>
    <row r="10" spans="1:11" x14ac:dyDescent="0.2">
      <c r="A10" s="8" t="s">
        <v>15</v>
      </c>
      <c r="B10" s="150">
        <f>'Orden de Pedido'!G19</f>
        <v>0</v>
      </c>
      <c r="C10" s="151"/>
      <c r="D10" s="151"/>
      <c r="E10" s="151"/>
      <c r="F10" s="151"/>
      <c r="G10" s="151"/>
      <c r="H10" s="151"/>
      <c r="I10" s="152"/>
    </row>
    <row r="11" spans="1:11" x14ac:dyDescent="0.2">
      <c r="A11" s="8" t="s">
        <v>16</v>
      </c>
      <c r="B11" s="142">
        <f>'Orden de Pedido'!G20</f>
        <v>0</v>
      </c>
      <c r="C11" s="143"/>
      <c r="D11" s="143"/>
      <c r="E11" s="143"/>
      <c r="F11" s="143"/>
      <c r="G11" s="143"/>
      <c r="H11" s="143"/>
      <c r="I11" s="143"/>
    </row>
    <row r="12" spans="1:11" x14ac:dyDescent="0.2">
      <c r="A12" s="8" t="s">
        <v>17</v>
      </c>
      <c r="B12" s="153">
        <f>'Orden de Pedido'!G21</f>
        <v>0</v>
      </c>
      <c r="C12" s="159"/>
      <c r="D12" s="159"/>
      <c r="E12" s="159"/>
      <c r="F12" s="159"/>
      <c r="G12" s="159"/>
      <c r="H12" s="159"/>
      <c r="I12" s="159"/>
    </row>
    <row r="13" spans="1:11" x14ac:dyDescent="0.2">
      <c r="A13" s="160" t="s">
        <v>20</v>
      </c>
      <c r="B13" s="160"/>
      <c r="C13" s="160"/>
      <c r="D13" s="160"/>
      <c r="E13" s="160"/>
      <c r="F13" s="160"/>
      <c r="G13" s="160"/>
      <c r="H13" s="160"/>
      <c r="I13" s="160"/>
    </row>
    <row r="14" spans="1:11" ht="50.25" customHeight="1" x14ac:dyDescent="0.2">
      <c r="A14" s="161"/>
      <c r="B14" s="162"/>
      <c r="C14" s="162"/>
      <c r="D14" s="162"/>
      <c r="E14" s="162"/>
      <c r="F14" s="162"/>
      <c r="G14" s="162"/>
      <c r="H14" s="162"/>
      <c r="I14" s="162"/>
    </row>
    <row r="15" spans="1:11" x14ac:dyDescent="0.2">
      <c r="A15" s="163" t="s">
        <v>21</v>
      </c>
      <c r="B15" s="163"/>
      <c r="C15" s="163"/>
      <c r="D15" s="163"/>
      <c r="E15" s="163"/>
      <c r="F15" s="163"/>
      <c r="G15" s="163"/>
      <c r="H15" s="163"/>
      <c r="I15" s="163"/>
    </row>
    <row r="16" spans="1:11" x14ac:dyDescent="0.2">
      <c r="A16" s="8" t="s">
        <v>22</v>
      </c>
      <c r="B16" s="164" t="s">
        <v>144</v>
      </c>
      <c r="C16" s="164"/>
      <c r="D16" s="164"/>
      <c r="E16" s="164"/>
      <c r="F16" s="164"/>
      <c r="G16" s="164"/>
      <c r="H16" s="164"/>
      <c r="I16" s="164"/>
    </row>
    <row r="17" spans="1:9" x14ac:dyDescent="0.2">
      <c r="A17" s="8" t="s">
        <v>23</v>
      </c>
      <c r="B17" s="164" t="s">
        <v>149</v>
      </c>
      <c r="C17" s="164"/>
      <c r="D17" s="164"/>
      <c r="E17" s="164"/>
      <c r="F17" s="164"/>
      <c r="G17" s="164"/>
      <c r="H17" s="164"/>
      <c r="I17" s="164"/>
    </row>
    <row r="18" spans="1:9" x14ac:dyDescent="0.2">
      <c r="A18" s="8" t="s">
        <v>24</v>
      </c>
      <c r="B18" s="164" t="s">
        <v>150</v>
      </c>
      <c r="C18" s="164"/>
      <c r="D18" s="164"/>
      <c r="E18" s="164"/>
      <c r="F18" s="164"/>
      <c r="G18" s="164"/>
      <c r="H18" s="164"/>
      <c r="I18" s="164"/>
    </row>
    <row r="19" spans="1:9" x14ac:dyDescent="0.2">
      <c r="A19" s="8" t="s">
        <v>25</v>
      </c>
      <c r="B19" s="165" t="s">
        <v>151</v>
      </c>
      <c r="C19" s="166"/>
      <c r="D19" s="166"/>
      <c r="E19" s="166"/>
      <c r="F19" s="166"/>
      <c r="G19" s="166"/>
      <c r="H19" s="166"/>
      <c r="I19" s="166"/>
    </row>
    <row r="20" spans="1:9" x14ac:dyDescent="0.2">
      <c r="A20" s="8" t="s">
        <v>14</v>
      </c>
      <c r="B20" s="164" t="s">
        <v>152</v>
      </c>
      <c r="C20" s="164"/>
      <c r="D20" s="164"/>
      <c r="E20" s="164"/>
      <c r="F20" s="164"/>
      <c r="G20" s="164"/>
      <c r="H20" s="164"/>
      <c r="I20" s="164"/>
    </row>
    <row r="21" spans="1:9" x14ac:dyDescent="0.2">
      <c r="A21" s="8" t="s">
        <v>15</v>
      </c>
      <c r="B21" s="164" t="s">
        <v>153</v>
      </c>
      <c r="C21" s="164"/>
      <c r="D21" s="164"/>
      <c r="E21" s="164"/>
      <c r="F21" s="164"/>
      <c r="G21" s="164"/>
      <c r="H21" s="164"/>
      <c r="I21" s="164"/>
    </row>
    <row r="22" spans="1:9" x14ac:dyDescent="0.2">
      <c r="A22" s="41" t="s">
        <v>16</v>
      </c>
      <c r="B22" s="164"/>
      <c r="C22" s="164"/>
      <c r="D22" s="164"/>
      <c r="E22" s="164"/>
      <c r="F22" s="164"/>
      <c r="G22" s="164"/>
      <c r="H22" s="164"/>
      <c r="I22" s="164"/>
    </row>
    <row r="23" spans="1:9" x14ac:dyDescent="0.2">
      <c r="A23" s="41" t="s">
        <v>17</v>
      </c>
      <c r="B23" s="158"/>
      <c r="C23" s="158"/>
      <c r="D23" s="158"/>
      <c r="E23" s="158"/>
      <c r="F23" s="158"/>
      <c r="G23" s="158"/>
      <c r="H23" s="158"/>
      <c r="I23" s="158"/>
    </row>
    <row r="24" spans="1:9" x14ac:dyDescent="0.2">
      <c r="A24" s="8" t="s">
        <v>26</v>
      </c>
      <c r="B24" s="167"/>
      <c r="C24" s="167"/>
      <c r="D24" s="167"/>
      <c r="E24" s="167"/>
      <c r="F24" s="167"/>
      <c r="G24" s="167"/>
      <c r="H24" s="167"/>
      <c r="I24" s="167"/>
    </row>
    <row r="25" spans="1:9" x14ac:dyDescent="0.2">
      <c r="A25" s="8" t="s">
        <v>27</v>
      </c>
      <c r="B25" s="168"/>
      <c r="C25" s="169"/>
      <c r="D25" s="169"/>
      <c r="E25" s="169"/>
      <c r="F25" s="169"/>
      <c r="G25" s="169"/>
      <c r="H25" s="169"/>
      <c r="I25" s="170"/>
    </row>
    <row r="26" spans="1:9" x14ac:dyDescent="0.2">
      <c r="A26" s="41" t="s">
        <v>28</v>
      </c>
      <c r="B26" s="158"/>
      <c r="C26" s="158"/>
      <c r="D26" s="158"/>
      <c r="E26" s="158"/>
      <c r="F26" s="158"/>
      <c r="G26" s="158"/>
      <c r="H26" s="158"/>
      <c r="I26" s="158"/>
    </row>
    <row r="27" spans="1:9" x14ac:dyDescent="0.2">
      <c r="A27" s="41" t="s">
        <v>29</v>
      </c>
      <c r="B27" s="164"/>
      <c r="C27" s="164"/>
      <c r="D27" s="164"/>
      <c r="E27" s="164"/>
      <c r="F27" s="164"/>
      <c r="G27" s="164"/>
      <c r="H27" s="164"/>
      <c r="I27" s="164"/>
    </row>
    <row r="28" spans="1:9" ht="36.75" customHeight="1" x14ac:dyDescent="0.2">
      <c r="A28" s="42" t="s">
        <v>30</v>
      </c>
      <c r="B28" s="171" t="s">
        <v>154</v>
      </c>
      <c r="C28" s="172"/>
      <c r="D28" s="172"/>
      <c r="E28" s="172"/>
      <c r="F28" s="172"/>
      <c r="G28" s="172"/>
      <c r="H28" s="172"/>
      <c r="I28" s="173"/>
    </row>
    <row r="29" spans="1:9" x14ac:dyDescent="0.2">
      <c r="A29" s="41" t="s">
        <v>31</v>
      </c>
      <c r="B29" s="174" t="s">
        <v>32</v>
      </c>
      <c r="C29" s="175"/>
      <c r="D29" s="175"/>
      <c r="E29" s="175"/>
      <c r="F29" s="175"/>
      <c r="G29" s="175"/>
      <c r="H29" s="175"/>
      <c r="I29" s="176"/>
    </row>
    <row r="30" spans="1:9" x14ac:dyDescent="0.2">
      <c r="A30" s="42" t="s">
        <v>33</v>
      </c>
      <c r="B30" s="177" t="s">
        <v>34</v>
      </c>
      <c r="C30" s="177"/>
      <c r="D30" s="177"/>
      <c r="E30" s="177"/>
      <c r="F30" s="177"/>
      <c r="G30" s="177"/>
      <c r="H30" s="177"/>
      <c r="I30" s="177"/>
    </row>
    <row r="31" spans="1:9" ht="15" customHeight="1" x14ac:dyDescent="0.2">
      <c r="A31" s="178" t="s">
        <v>35</v>
      </c>
      <c r="B31" s="179"/>
      <c r="C31" s="179"/>
      <c r="D31" s="179"/>
      <c r="E31" s="179"/>
      <c r="F31" s="179"/>
      <c r="G31" s="179"/>
      <c r="H31" s="179"/>
      <c r="I31" s="180"/>
    </row>
    <row r="32" spans="1:9" x14ac:dyDescent="0.2">
      <c r="A32" s="181"/>
      <c r="B32" s="182"/>
      <c r="C32" s="182"/>
      <c r="D32" s="182"/>
      <c r="E32" s="182"/>
      <c r="F32" s="182"/>
      <c r="G32" s="182"/>
      <c r="H32" s="182"/>
      <c r="I32" s="183"/>
    </row>
    <row r="33" spans="1:9" x14ac:dyDescent="0.2">
      <c r="A33" s="181"/>
      <c r="B33" s="182"/>
      <c r="C33" s="182"/>
      <c r="D33" s="182"/>
      <c r="E33" s="182"/>
      <c r="F33" s="182"/>
      <c r="G33" s="182"/>
      <c r="H33" s="182"/>
      <c r="I33" s="183"/>
    </row>
    <row r="34" spans="1:9" x14ac:dyDescent="0.2">
      <c r="A34" s="181"/>
      <c r="B34" s="182"/>
      <c r="C34" s="182"/>
      <c r="D34" s="182"/>
      <c r="E34" s="182"/>
      <c r="F34" s="182"/>
      <c r="G34" s="182"/>
      <c r="H34" s="182"/>
      <c r="I34" s="183"/>
    </row>
    <row r="35" spans="1:9" x14ac:dyDescent="0.2">
      <c r="A35" s="181"/>
      <c r="B35" s="182"/>
      <c r="C35" s="182"/>
      <c r="D35" s="182"/>
      <c r="E35" s="182"/>
      <c r="F35" s="182"/>
      <c r="G35" s="182"/>
      <c r="H35" s="182"/>
      <c r="I35" s="183"/>
    </row>
    <row r="36" spans="1:9" x14ac:dyDescent="0.2">
      <c r="A36" s="181"/>
      <c r="B36" s="182"/>
      <c r="C36" s="182"/>
      <c r="D36" s="182"/>
      <c r="E36" s="182"/>
      <c r="F36" s="182"/>
      <c r="G36" s="182"/>
      <c r="H36" s="182"/>
      <c r="I36" s="183"/>
    </row>
    <row r="37" spans="1:9" x14ac:dyDescent="0.2">
      <c r="A37" s="181"/>
      <c r="B37" s="182"/>
      <c r="C37" s="182"/>
      <c r="D37" s="182"/>
      <c r="E37" s="182"/>
      <c r="F37" s="182"/>
      <c r="G37" s="182"/>
      <c r="H37" s="182"/>
      <c r="I37" s="183"/>
    </row>
    <row r="38" spans="1:9" x14ac:dyDescent="0.2">
      <c r="A38" s="181"/>
      <c r="B38" s="182"/>
      <c r="C38" s="182"/>
      <c r="D38" s="182"/>
      <c r="E38" s="182"/>
      <c r="F38" s="182"/>
      <c r="G38" s="182"/>
      <c r="H38" s="182"/>
      <c r="I38" s="183"/>
    </row>
    <row r="39" spans="1:9" x14ac:dyDescent="0.2">
      <c r="A39" s="181"/>
      <c r="B39" s="182"/>
      <c r="C39" s="182"/>
      <c r="D39" s="182"/>
      <c r="E39" s="182"/>
      <c r="F39" s="182"/>
      <c r="G39" s="182"/>
      <c r="H39" s="182"/>
      <c r="I39" s="183"/>
    </row>
    <row r="40" spans="1:9" x14ac:dyDescent="0.2">
      <c r="A40" s="181"/>
      <c r="B40" s="182"/>
      <c r="C40" s="182"/>
      <c r="D40" s="182"/>
      <c r="E40" s="182"/>
      <c r="F40" s="182"/>
      <c r="G40" s="182"/>
      <c r="H40" s="182"/>
      <c r="I40" s="183"/>
    </row>
    <row r="41" spans="1:9" x14ac:dyDescent="0.2">
      <c r="A41" s="181"/>
      <c r="B41" s="182"/>
      <c r="C41" s="182"/>
      <c r="D41" s="182"/>
      <c r="E41" s="182"/>
      <c r="F41" s="182"/>
      <c r="G41" s="182"/>
      <c r="H41" s="182"/>
      <c r="I41" s="183"/>
    </row>
    <row r="42" spans="1:9" ht="24.75" customHeight="1" thickBot="1" x14ac:dyDescent="0.25">
      <c r="A42" s="184"/>
      <c r="B42" s="185"/>
      <c r="C42" s="185"/>
      <c r="D42" s="185"/>
      <c r="E42" s="185"/>
      <c r="F42" s="185"/>
      <c r="G42" s="185"/>
      <c r="H42" s="185"/>
      <c r="I42" s="186"/>
    </row>
    <row r="43" spans="1:9" x14ac:dyDescent="0.2">
      <c r="A43" s="187"/>
      <c r="B43" s="188"/>
      <c r="C43" s="188"/>
      <c r="D43" s="189"/>
      <c r="E43" s="187"/>
      <c r="F43" s="188"/>
      <c r="G43" s="188"/>
      <c r="H43" s="188"/>
      <c r="I43" s="189"/>
    </row>
    <row r="44" spans="1:9" x14ac:dyDescent="0.2">
      <c r="A44" s="190"/>
      <c r="B44" s="191"/>
      <c r="C44" s="191"/>
      <c r="D44" s="192"/>
      <c r="E44" s="190"/>
      <c r="F44" s="191"/>
      <c r="G44" s="191"/>
      <c r="H44" s="191"/>
      <c r="I44" s="192"/>
    </row>
    <row r="45" spans="1:9" x14ac:dyDescent="0.2">
      <c r="A45" s="190"/>
      <c r="B45" s="191"/>
      <c r="C45" s="191"/>
      <c r="D45" s="192"/>
      <c r="E45" s="190"/>
      <c r="F45" s="191"/>
      <c r="G45" s="191"/>
      <c r="H45" s="191"/>
      <c r="I45" s="192"/>
    </row>
    <row r="46" spans="1:9" x14ac:dyDescent="0.2">
      <c r="A46" s="190"/>
      <c r="B46" s="191"/>
      <c r="C46" s="191"/>
      <c r="D46" s="192"/>
      <c r="E46" s="190"/>
      <c r="F46" s="191"/>
      <c r="G46" s="191"/>
      <c r="H46" s="191"/>
      <c r="I46" s="192"/>
    </row>
    <row r="47" spans="1:9" x14ac:dyDescent="0.2">
      <c r="A47" s="190"/>
      <c r="B47" s="191"/>
      <c r="C47" s="191"/>
      <c r="D47" s="192"/>
      <c r="E47" s="190"/>
      <c r="F47" s="191"/>
      <c r="G47" s="191"/>
      <c r="H47" s="191"/>
      <c r="I47" s="192"/>
    </row>
    <row r="48" spans="1:9" x14ac:dyDescent="0.2">
      <c r="A48" s="190"/>
      <c r="B48" s="191"/>
      <c r="C48" s="191"/>
      <c r="D48" s="192"/>
      <c r="E48" s="190"/>
      <c r="F48" s="191"/>
      <c r="G48" s="191"/>
      <c r="H48" s="191"/>
      <c r="I48" s="192"/>
    </row>
    <row r="49" spans="1:9" x14ac:dyDescent="0.2">
      <c r="A49" s="190"/>
      <c r="B49" s="191"/>
      <c r="C49" s="191"/>
      <c r="D49" s="192"/>
      <c r="E49" s="190"/>
      <c r="F49" s="191"/>
      <c r="G49" s="191"/>
      <c r="H49" s="191"/>
      <c r="I49" s="192"/>
    </row>
    <row r="50" spans="1:9" x14ac:dyDescent="0.2">
      <c r="A50" s="190"/>
      <c r="B50" s="191"/>
      <c r="C50" s="191"/>
      <c r="D50" s="192"/>
      <c r="E50" s="203" t="s">
        <v>101</v>
      </c>
      <c r="F50" s="204"/>
      <c r="G50" s="204"/>
      <c r="H50" s="204"/>
      <c r="I50" s="205"/>
    </row>
    <row r="51" spans="1:9" x14ac:dyDescent="0.2">
      <c r="A51" s="193"/>
      <c r="B51" s="194"/>
      <c r="C51" s="194"/>
      <c r="D51" s="195"/>
      <c r="E51" s="206"/>
      <c r="F51" s="207"/>
      <c r="G51" s="207"/>
      <c r="H51" s="207"/>
      <c r="I51" s="208"/>
    </row>
    <row r="52" spans="1:9" ht="12.75" customHeight="1" x14ac:dyDescent="0.2">
      <c r="A52" s="196" t="s">
        <v>36</v>
      </c>
      <c r="B52" s="197"/>
      <c r="C52" s="197"/>
      <c r="D52" s="198"/>
      <c r="E52" s="199" t="s">
        <v>87</v>
      </c>
      <c r="F52" s="200"/>
      <c r="G52" s="201"/>
      <c r="H52" s="201"/>
      <c r="I52" s="202"/>
    </row>
    <row r="53" spans="1:9" ht="12.75" customHeight="1" x14ac:dyDescent="0.2">
      <c r="A53" s="211" t="s">
        <v>37</v>
      </c>
      <c r="B53" s="212"/>
      <c r="C53" s="212"/>
      <c r="D53" s="213"/>
      <c r="E53" s="217" t="s">
        <v>38</v>
      </c>
      <c r="F53" s="218"/>
      <c r="G53" s="219"/>
      <c r="H53" s="219"/>
      <c r="I53" s="220"/>
    </row>
    <row r="54" spans="1:9" ht="13.5" thickBot="1" x14ac:dyDescent="0.25">
      <c r="A54" s="214"/>
      <c r="B54" s="215"/>
      <c r="C54" s="215"/>
      <c r="D54" s="216"/>
      <c r="E54" s="221" t="s">
        <v>39</v>
      </c>
      <c r="F54" s="222"/>
      <c r="G54" s="223"/>
      <c r="H54" s="223"/>
      <c r="I54" s="224"/>
    </row>
    <row r="60" spans="1:9" x14ac:dyDescent="0.2">
      <c r="A60" s="210"/>
      <c r="B60" s="210"/>
      <c r="C60" s="210"/>
      <c r="D60" s="210"/>
      <c r="E60" s="210"/>
      <c r="F60" s="210"/>
    </row>
    <row r="61" spans="1:9" x14ac:dyDescent="0.2">
      <c r="A61" s="209"/>
      <c r="B61" s="209"/>
      <c r="C61" s="209"/>
      <c r="D61" s="209"/>
      <c r="E61" s="209"/>
      <c r="F61" s="209"/>
    </row>
    <row r="62" spans="1:9" x14ac:dyDescent="0.2">
      <c r="A62" s="210"/>
      <c r="B62" s="210"/>
      <c r="C62" s="210"/>
      <c r="D62" s="210"/>
      <c r="E62" s="210"/>
      <c r="F62" s="210"/>
    </row>
  </sheetData>
  <protectedRanges>
    <protectedRange sqref="B3:I7 A14 B29:B30 B9:I12" name="Rango1"/>
    <protectedRange sqref="G52:I54 E43"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23:I23"/>
    <mergeCell ref="B12:I12"/>
    <mergeCell ref="A13:I13"/>
    <mergeCell ref="A14:I14"/>
    <mergeCell ref="A15:I15"/>
    <mergeCell ref="B16:I16"/>
    <mergeCell ref="B17:I17"/>
    <mergeCell ref="B18:I18"/>
    <mergeCell ref="B19:I19"/>
    <mergeCell ref="B20:I20"/>
    <mergeCell ref="B21:I21"/>
    <mergeCell ref="B22:I22"/>
    <mergeCell ref="B11:I11"/>
    <mergeCell ref="B1:G1"/>
    <mergeCell ref="H1:I1"/>
    <mergeCell ref="A2:I2"/>
    <mergeCell ref="B3:I3"/>
    <mergeCell ref="B4:I4"/>
    <mergeCell ref="B5:I5"/>
    <mergeCell ref="B6:I6"/>
    <mergeCell ref="B7:I7"/>
    <mergeCell ref="A8:I8"/>
    <mergeCell ref="B9:I9"/>
    <mergeCell ref="B10:I10"/>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heetViews>
  <sheetFormatPr baseColWidth="10" defaultRowHeight="12.75" x14ac:dyDescent="0.2"/>
  <cols>
    <col min="1" max="1" width="22.85546875" style="64" customWidth="1"/>
    <col min="2" max="4" width="11.5703125" style="65" customWidth="1"/>
    <col min="5" max="5" width="13.7109375" style="65" customWidth="1"/>
    <col min="6" max="6" width="11.5703125" style="65" customWidth="1"/>
    <col min="7" max="7" width="11" style="65" customWidth="1"/>
    <col min="8" max="8" width="11.42578125" style="65" bestFit="1" customWidth="1"/>
    <col min="9" max="16384" width="11.42578125" style="54"/>
  </cols>
  <sheetData>
    <row r="1" spans="1:8" s="7" customFormat="1" ht="72.75" customHeight="1" x14ac:dyDescent="0.2">
      <c r="A1" s="44"/>
      <c r="B1" s="232" t="s">
        <v>88</v>
      </c>
      <c r="C1" s="232"/>
      <c r="D1" s="232"/>
      <c r="E1" s="232"/>
      <c r="F1" s="232"/>
      <c r="G1" s="233" t="s">
        <v>102</v>
      </c>
      <c r="H1" s="233"/>
    </row>
    <row r="2" spans="1:8" ht="18.600000000000001" customHeight="1" x14ac:dyDescent="0.2">
      <c r="A2" s="9" t="s">
        <v>40</v>
      </c>
      <c r="B2" s="225"/>
      <c r="C2" s="225"/>
      <c r="D2" s="226" t="s">
        <v>41</v>
      </c>
      <c r="E2" s="227"/>
      <c r="F2" s="234"/>
      <c r="G2" s="235"/>
      <c r="H2" s="236"/>
    </row>
    <row r="3" spans="1:8" ht="18.600000000000001" customHeight="1" x14ac:dyDescent="0.2">
      <c r="A3" s="9" t="s">
        <v>42</v>
      </c>
      <c r="B3" s="228"/>
      <c r="C3" s="228"/>
      <c r="D3" s="10"/>
      <c r="E3" s="11" t="s">
        <v>43</v>
      </c>
      <c r="F3" s="229" t="s">
        <v>44</v>
      </c>
      <c r="G3" s="230"/>
      <c r="H3" s="231"/>
    </row>
    <row r="4" spans="1:8" ht="18.600000000000001" customHeight="1" x14ac:dyDescent="0.2">
      <c r="A4" s="9" t="s">
        <v>45</v>
      </c>
      <c r="B4" s="237"/>
      <c r="C4" s="237"/>
      <c r="D4" s="12" t="s">
        <v>46</v>
      </c>
      <c r="E4" s="13" t="s">
        <v>47</v>
      </c>
      <c r="F4" s="238"/>
      <c r="G4" s="239"/>
      <c r="H4" s="239"/>
    </row>
    <row r="5" spans="1:8" x14ac:dyDescent="0.2">
      <c r="A5" s="240" t="s">
        <v>48</v>
      </c>
      <c r="B5" s="242"/>
      <c r="C5" s="242"/>
      <c r="D5" s="242"/>
      <c r="E5" s="243"/>
      <c r="F5" s="244" t="s">
        <v>49</v>
      </c>
      <c r="G5" s="244"/>
      <c r="H5" s="244"/>
    </row>
    <row r="6" spans="1:8" ht="16.5" customHeight="1" x14ac:dyDescent="0.2">
      <c r="A6" s="241"/>
      <c r="B6" s="242"/>
      <c r="C6" s="242"/>
      <c r="D6" s="242"/>
      <c r="E6" s="243"/>
      <c r="F6" s="245" t="s">
        <v>50</v>
      </c>
      <c r="G6" s="246"/>
      <c r="H6" s="14" t="s">
        <v>51</v>
      </c>
    </row>
    <row r="7" spans="1:8" x14ac:dyDescent="0.2">
      <c r="A7" s="256" t="s">
        <v>52</v>
      </c>
      <c r="B7" s="259"/>
      <c r="C7" s="260"/>
      <c r="D7" s="260"/>
      <c r="E7" s="261"/>
      <c r="F7" s="15" t="s">
        <v>53</v>
      </c>
      <c r="G7" s="16"/>
      <c r="H7" s="56" t="s">
        <v>97</v>
      </c>
    </row>
    <row r="8" spans="1:8" x14ac:dyDescent="0.2">
      <c r="A8" s="257"/>
      <c r="B8" s="262"/>
      <c r="C8" s="263"/>
      <c r="D8" s="263"/>
      <c r="E8" s="264"/>
      <c r="F8" s="15" t="s">
        <v>54</v>
      </c>
      <c r="G8" s="16"/>
      <c r="H8" s="56"/>
    </row>
    <row r="9" spans="1:8" x14ac:dyDescent="0.2">
      <c r="A9" s="257"/>
      <c r="B9" s="262"/>
      <c r="C9" s="263"/>
      <c r="D9" s="263"/>
      <c r="E9" s="264"/>
      <c r="F9" s="15" t="s">
        <v>55</v>
      </c>
      <c r="G9" s="18"/>
      <c r="H9" s="14"/>
    </row>
    <row r="10" spans="1:8" x14ac:dyDescent="0.2">
      <c r="A10" s="258"/>
      <c r="B10" s="265"/>
      <c r="C10" s="266"/>
      <c r="D10" s="266"/>
      <c r="E10" s="267"/>
      <c r="F10" s="20" t="s">
        <v>56</v>
      </c>
      <c r="G10" s="21"/>
      <c r="H10" s="57" t="s">
        <v>97</v>
      </c>
    </row>
    <row r="11" spans="1:8" ht="18.600000000000001" customHeight="1" x14ac:dyDescent="0.2">
      <c r="A11" s="247" t="s">
        <v>83</v>
      </c>
      <c r="B11" s="248"/>
      <c r="C11" s="248"/>
      <c r="D11" s="248"/>
      <c r="E11" s="248"/>
      <c r="F11" s="248"/>
      <c r="G11" s="248"/>
      <c r="H11" s="249"/>
    </row>
    <row r="12" spans="1:8" ht="19.149999999999999" customHeight="1" x14ac:dyDescent="0.2">
      <c r="A12" s="23" t="s">
        <v>57</v>
      </c>
      <c r="B12" s="250"/>
      <c r="C12" s="251"/>
      <c r="D12" s="251"/>
      <c r="E12" s="251"/>
      <c r="F12" s="251"/>
      <c r="G12" s="251"/>
      <c r="H12" s="252"/>
    </row>
    <row r="13" spans="1:8" ht="19.149999999999999" customHeight="1" x14ac:dyDescent="0.2">
      <c r="A13" s="24" t="s">
        <v>38</v>
      </c>
      <c r="B13" s="253"/>
      <c r="C13" s="254"/>
      <c r="D13" s="254"/>
      <c r="E13" s="254"/>
      <c r="F13" s="254"/>
      <c r="G13" s="254"/>
      <c r="H13" s="255"/>
    </row>
    <row r="14" spans="1:8" ht="19.149999999999999" customHeight="1" x14ac:dyDescent="0.2">
      <c r="A14" s="24" t="s">
        <v>58</v>
      </c>
      <c r="B14" s="253"/>
      <c r="C14" s="254"/>
      <c r="D14" s="254"/>
      <c r="E14" s="254"/>
      <c r="F14" s="254"/>
      <c r="G14" s="254"/>
      <c r="H14" s="255"/>
    </row>
    <row r="15" spans="1:8" ht="19.149999999999999" customHeight="1" x14ac:dyDescent="0.2">
      <c r="A15" s="24" t="s">
        <v>59</v>
      </c>
      <c r="B15" s="268"/>
      <c r="C15" s="269"/>
      <c r="D15" s="269"/>
      <c r="E15" s="269"/>
      <c r="F15" s="269"/>
      <c r="G15" s="269"/>
      <c r="H15" s="270"/>
    </row>
    <row r="16" spans="1:8" ht="19.149999999999999" customHeight="1" x14ac:dyDescent="0.2">
      <c r="A16" s="25" t="s">
        <v>60</v>
      </c>
      <c r="B16" s="271"/>
      <c r="C16" s="272"/>
      <c r="D16" s="272"/>
      <c r="E16" s="272"/>
      <c r="F16" s="272"/>
      <c r="G16" s="272"/>
      <c r="H16" s="273"/>
    </row>
    <row r="17" spans="1:8" ht="18.600000000000001" customHeight="1" x14ac:dyDescent="0.2">
      <c r="A17" s="274" t="s">
        <v>84</v>
      </c>
      <c r="B17" s="275"/>
      <c r="C17" s="275"/>
      <c r="D17" s="275"/>
      <c r="E17" s="275"/>
      <c r="F17" s="275"/>
      <c r="G17" s="275"/>
      <c r="H17" s="276"/>
    </row>
    <row r="18" spans="1:8" ht="18.600000000000001" customHeight="1" x14ac:dyDescent="0.2">
      <c r="A18" s="26" t="s">
        <v>61</v>
      </c>
      <c r="B18" s="277" t="s">
        <v>144</v>
      </c>
      <c r="C18" s="278"/>
      <c r="D18" s="279"/>
      <c r="E18" s="280" t="s">
        <v>57</v>
      </c>
      <c r="F18" s="281"/>
      <c r="G18" s="282"/>
      <c r="H18" s="279"/>
    </row>
    <row r="19" spans="1:8" ht="18.600000000000001" customHeight="1" x14ac:dyDescent="0.2">
      <c r="A19" s="24" t="s">
        <v>62</v>
      </c>
      <c r="B19" s="283" t="s">
        <v>145</v>
      </c>
      <c r="C19" s="284"/>
      <c r="D19" s="285"/>
      <c r="E19" s="286" t="s">
        <v>38</v>
      </c>
      <c r="F19" s="287"/>
      <c r="G19" s="288"/>
      <c r="H19" s="289"/>
    </row>
    <row r="20" spans="1:8" ht="18.600000000000001" customHeight="1" x14ac:dyDescent="0.2">
      <c r="A20" s="24" t="s">
        <v>63</v>
      </c>
      <c r="B20" s="290" t="s">
        <v>146</v>
      </c>
      <c r="C20" s="291"/>
      <c r="D20" s="292"/>
      <c r="E20" s="286" t="s">
        <v>58</v>
      </c>
      <c r="F20" s="287"/>
      <c r="G20" s="288"/>
      <c r="H20" s="293"/>
    </row>
    <row r="21" spans="1:8" ht="18.600000000000001" customHeight="1" x14ac:dyDescent="0.2">
      <c r="A21" s="24" t="s">
        <v>64</v>
      </c>
      <c r="B21" s="290" t="s">
        <v>147</v>
      </c>
      <c r="C21" s="291"/>
      <c r="D21" s="292"/>
      <c r="E21" s="297" t="s">
        <v>59</v>
      </c>
      <c r="F21" s="298"/>
      <c r="G21" s="299"/>
      <c r="H21" s="300"/>
    </row>
    <row r="22" spans="1:8" ht="18.600000000000001" customHeight="1" x14ac:dyDescent="0.2">
      <c r="A22" s="27" t="s">
        <v>65</v>
      </c>
      <c r="B22" s="290" t="s">
        <v>148</v>
      </c>
      <c r="C22" s="291"/>
      <c r="D22" s="292"/>
      <c r="E22" s="28"/>
      <c r="F22" s="28"/>
      <c r="G22" s="28"/>
      <c r="H22" s="29"/>
    </row>
    <row r="23" spans="1:8" ht="18.600000000000001" customHeight="1" x14ac:dyDescent="0.2">
      <c r="A23" s="24" t="s">
        <v>66</v>
      </c>
      <c r="B23" s="301"/>
      <c r="C23" s="302"/>
      <c r="D23" s="303"/>
      <c r="E23" s="28"/>
      <c r="F23" s="28"/>
      <c r="G23" s="28"/>
      <c r="H23" s="29"/>
    </row>
    <row r="24" spans="1:8" ht="18.600000000000001" customHeight="1" x14ac:dyDescent="0.2">
      <c r="A24" s="24" t="s">
        <v>67</v>
      </c>
      <c r="B24" s="301"/>
      <c r="C24" s="302"/>
      <c r="D24" s="303"/>
      <c r="E24" s="30"/>
      <c r="F24" s="28"/>
      <c r="G24" s="28"/>
      <c r="H24" s="29"/>
    </row>
    <row r="25" spans="1:8" ht="18.600000000000001" customHeight="1" x14ac:dyDescent="0.2">
      <c r="A25" s="31" t="s">
        <v>68</v>
      </c>
      <c r="B25" s="304">
        <v>1015</v>
      </c>
      <c r="C25" s="305"/>
      <c r="D25" s="306"/>
      <c r="E25" s="32"/>
      <c r="F25" s="33"/>
      <c r="G25" s="33"/>
      <c r="H25" s="34"/>
    </row>
    <row r="26" spans="1:8" ht="18.600000000000001" customHeight="1" x14ac:dyDescent="0.2">
      <c r="A26" s="307" t="s">
        <v>69</v>
      </c>
      <c r="B26" s="308"/>
      <c r="C26" s="308"/>
      <c r="D26" s="308"/>
      <c r="E26" s="308"/>
      <c r="F26" s="308"/>
      <c r="G26" s="308"/>
      <c r="H26" s="309"/>
    </row>
    <row r="27" spans="1:8" ht="18.600000000000001" customHeight="1" x14ac:dyDescent="0.2">
      <c r="A27" s="310" t="s">
        <v>70</v>
      </c>
      <c r="B27" s="311"/>
      <c r="C27" s="311"/>
      <c r="D27" s="311"/>
      <c r="E27" s="311"/>
      <c r="F27" s="312"/>
      <c r="G27" s="35" t="s">
        <v>13</v>
      </c>
      <c r="H27" s="38" t="s">
        <v>81</v>
      </c>
    </row>
    <row r="28" spans="1:8" ht="36" customHeight="1" x14ac:dyDescent="0.2">
      <c r="A28" s="313"/>
      <c r="B28" s="314"/>
      <c r="C28" s="314"/>
      <c r="D28" s="314"/>
      <c r="E28" s="314"/>
      <c r="F28" s="315"/>
      <c r="G28" s="58"/>
      <c r="H28" s="36"/>
    </row>
    <row r="29" spans="1:8" ht="36" customHeight="1" x14ac:dyDescent="0.2">
      <c r="A29" s="294"/>
      <c r="B29" s="295"/>
      <c r="C29" s="295"/>
      <c r="D29" s="295"/>
      <c r="E29" s="295"/>
      <c r="F29" s="296"/>
      <c r="G29" s="59"/>
      <c r="H29" s="37"/>
    </row>
    <row r="30" spans="1:8" ht="36" customHeight="1" x14ac:dyDescent="0.2">
      <c r="A30" s="294"/>
      <c r="B30" s="295"/>
      <c r="C30" s="295"/>
      <c r="D30" s="295"/>
      <c r="E30" s="295"/>
      <c r="F30" s="296"/>
      <c r="G30" s="59"/>
      <c r="H30" s="60"/>
    </row>
    <row r="31" spans="1:8" ht="36" customHeight="1" x14ac:dyDescent="0.2">
      <c r="A31" s="294"/>
      <c r="B31" s="295"/>
      <c r="C31" s="295"/>
      <c r="D31" s="295"/>
      <c r="E31" s="295"/>
      <c r="F31" s="296"/>
      <c r="G31" s="61"/>
      <c r="H31" s="60"/>
    </row>
    <row r="32" spans="1:8" ht="36" customHeight="1" x14ac:dyDescent="0.2">
      <c r="A32" s="318"/>
      <c r="B32" s="319"/>
      <c r="C32" s="319"/>
      <c r="D32" s="319"/>
      <c r="E32" s="319"/>
      <c r="F32" s="320"/>
      <c r="G32" s="62"/>
      <c r="H32" s="63"/>
    </row>
    <row r="33" spans="1:8" ht="15.75" x14ac:dyDescent="0.2">
      <c r="A33" s="324" t="s">
        <v>71</v>
      </c>
      <c r="B33" s="325"/>
      <c r="C33" s="325"/>
      <c r="D33" s="326"/>
      <c r="E33" s="321" t="s">
        <v>72</v>
      </c>
      <c r="F33" s="322"/>
      <c r="G33" s="322"/>
      <c r="H33" s="323"/>
    </row>
    <row r="34" spans="1:8" ht="16.899999999999999" customHeight="1" x14ac:dyDescent="0.2">
      <c r="A34" s="327" t="s">
        <v>73</v>
      </c>
      <c r="B34" s="327"/>
      <c r="C34" s="79" t="s">
        <v>97</v>
      </c>
      <c r="D34" s="333"/>
      <c r="E34" s="336" t="s">
        <v>74</v>
      </c>
      <c r="F34" s="328" t="s">
        <v>103</v>
      </c>
      <c r="G34" s="328"/>
      <c r="H34" s="80" t="s">
        <v>97</v>
      </c>
    </row>
    <row r="35" spans="1:8" ht="16.899999999999999" customHeight="1" x14ac:dyDescent="0.2">
      <c r="A35" s="327" t="s">
        <v>75</v>
      </c>
      <c r="B35" s="327"/>
      <c r="C35" s="79"/>
      <c r="D35" s="334"/>
      <c r="E35" s="337"/>
      <c r="F35" s="328" t="s">
        <v>104</v>
      </c>
      <c r="G35" s="328"/>
      <c r="H35" s="80"/>
    </row>
    <row r="36" spans="1:8" ht="16.899999999999999" customHeight="1" x14ac:dyDescent="0.2">
      <c r="A36" s="327" t="s">
        <v>76</v>
      </c>
      <c r="B36" s="327"/>
      <c r="C36" s="81" t="s">
        <v>97</v>
      </c>
      <c r="D36" s="334"/>
      <c r="E36" s="337"/>
      <c r="F36" s="328" t="s">
        <v>105</v>
      </c>
      <c r="G36" s="328"/>
      <c r="H36" s="80"/>
    </row>
    <row r="37" spans="1:8" ht="16.899999999999999" customHeight="1" x14ac:dyDescent="0.2">
      <c r="A37" s="327" t="s">
        <v>77</v>
      </c>
      <c r="B37" s="327"/>
      <c r="C37" s="81"/>
      <c r="D37" s="334"/>
      <c r="E37" s="337"/>
      <c r="F37" s="329" t="s">
        <v>106</v>
      </c>
      <c r="G37" s="330"/>
      <c r="H37" s="316"/>
    </row>
    <row r="38" spans="1:8" ht="16.899999999999999" customHeight="1" x14ac:dyDescent="0.2">
      <c r="A38" s="327" t="s">
        <v>78</v>
      </c>
      <c r="B38" s="327"/>
      <c r="C38" s="81" t="s">
        <v>97</v>
      </c>
      <c r="D38" s="335"/>
      <c r="E38" s="338"/>
      <c r="F38" s="331"/>
      <c r="G38" s="332"/>
      <c r="H38" s="317"/>
    </row>
    <row r="39" spans="1:8" x14ac:dyDescent="0.2">
      <c r="A39" s="339" t="s">
        <v>82</v>
      </c>
      <c r="B39" s="339"/>
      <c r="C39" s="339" t="s">
        <v>79</v>
      </c>
      <c r="D39" s="340"/>
      <c r="E39" s="340"/>
      <c r="F39" s="339" t="s">
        <v>80</v>
      </c>
      <c r="G39" s="339"/>
      <c r="H39" s="339"/>
    </row>
    <row r="40" spans="1:8" x14ac:dyDescent="0.2">
      <c r="A40" s="339"/>
      <c r="B40" s="339"/>
      <c r="C40" s="340"/>
      <c r="D40" s="340"/>
      <c r="E40" s="340"/>
      <c r="F40" s="339"/>
      <c r="G40" s="339"/>
      <c r="H40" s="339"/>
    </row>
    <row r="41" spans="1:8" x14ac:dyDescent="0.2">
      <c r="A41" s="225">
        <f>B12</f>
        <v>0</v>
      </c>
      <c r="B41" s="341"/>
      <c r="C41" s="225">
        <f>G18</f>
        <v>0</v>
      </c>
      <c r="D41" s="341"/>
      <c r="E41" s="341"/>
      <c r="F41" s="341">
        <f>F4</f>
        <v>0</v>
      </c>
      <c r="G41" s="341"/>
      <c r="H41" s="341"/>
    </row>
    <row r="42" spans="1:8" ht="24.75" customHeight="1" x14ac:dyDescent="0.2">
      <c r="A42" s="341"/>
      <c r="B42" s="341"/>
      <c r="C42" s="341"/>
      <c r="D42" s="341"/>
      <c r="E42" s="341"/>
      <c r="F42" s="341"/>
      <c r="G42" s="341"/>
      <c r="H42" s="341"/>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A39:B40"/>
    <mergeCell ref="C39:E40"/>
    <mergeCell ref="F39:H40"/>
    <mergeCell ref="A41:B42"/>
    <mergeCell ref="C41:E42"/>
    <mergeCell ref="F41:H42"/>
    <mergeCell ref="H37:H38"/>
    <mergeCell ref="A31:F31"/>
    <mergeCell ref="A32:F32"/>
    <mergeCell ref="E33:H33"/>
    <mergeCell ref="A33:D33"/>
    <mergeCell ref="A34:B34"/>
    <mergeCell ref="A35:B35"/>
    <mergeCell ref="F35:G35"/>
    <mergeCell ref="A36:B36"/>
    <mergeCell ref="F36:G36"/>
    <mergeCell ref="A37:B37"/>
    <mergeCell ref="F37:G38"/>
    <mergeCell ref="A38:B38"/>
    <mergeCell ref="D34:D38"/>
    <mergeCell ref="E34:E38"/>
    <mergeCell ref="F34:G34"/>
    <mergeCell ref="A30:F30"/>
    <mergeCell ref="B21:D21"/>
    <mergeCell ref="E21:F21"/>
    <mergeCell ref="G21:H21"/>
    <mergeCell ref="B22:D22"/>
    <mergeCell ref="B23:D23"/>
    <mergeCell ref="B24:D24"/>
    <mergeCell ref="B25:D25"/>
    <mergeCell ref="A26:H26"/>
    <mergeCell ref="A27:F27"/>
    <mergeCell ref="A28:F28"/>
    <mergeCell ref="A29:F29"/>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I38"/>
  <sheetViews>
    <sheetView topLeftCell="B1" zoomScaleNormal="100" workbookViewId="0">
      <selection activeCell="N5" sqref="N5"/>
    </sheetView>
  </sheetViews>
  <sheetFormatPr baseColWidth="10" defaultRowHeight="12.75" x14ac:dyDescent="0.2"/>
  <cols>
    <col min="1" max="1" width="3" style="47" customWidth="1"/>
    <col min="2" max="2" width="23" customWidth="1"/>
    <col min="3" max="3" width="11.42578125" customWidth="1"/>
    <col min="7" max="7" width="19.85546875" customWidth="1"/>
    <col min="8" max="9" width="10.5703125" customWidth="1"/>
    <col min="10" max="10" width="16" customWidth="1"/>
  </cols>
  <sheetData>
    <row r="1" spans="1:9" ht="70.5" customHeight="1" x14ac:dyDescent="0.2">
      <c r="B1" s="48"/>
      <c r="C1" s="350" t="s">
        <v>93</v>
      </c>
      <c r="D1" s="350"/>
      <c r="E1" s="350"/>
      <c r="F1" s="350"/>
      <c r="G1" s="350"/>
      <c r="H1" s="225" t="s">
        <v>107</v>
      </c>
      <c r="I1" s="225"/>
    </row>
    <row r="2" spans="1:9" s="51" customFormat="1" ht="20.25" customHeight="1" x14ac:dyDescent="0.2">
      <c r="A2" s="52"/>
      <c r="B2" s="9" t="s">
        <v>40</v>
      </c>
      <c r="C2" s="225">
        <f>'Orden de Pedido'!B2</f>
        <v>0</v>
      </c>
      <c r="D2" s="341"/>
      <c r="E2" s="226" t="s">
        <v>41</v>
      </c>
      <c r="F2" s="227"/>
      <c r="G2" s="352"/>
      <c r="H2" s="353"/>
      <c r="I2" s="354"/>
    </row>
    <row r="3" spans="1:9" s="51" customFormat="1" ht="20.25" customHeight="1" x14ac:dyDescent="0.2">
      <c r="A3" s="52"/>
      <c r="B3" s="9" t="s">
        <v>42</v>
      </c>
      <c r="C3" s="356">
        <f>'Orden de Pedido'!B3</f>
        <v>0</v>
      </c>
      <c r="D3" s="356"/>
      <c r="E3" s="133">
        <f>'Orden de Pedido'!D3</f>
        <v>0</v>
      </c>
      <c r="F3" s="11" t="s">
        <v>43</v>
      </c>
      <c r="G3" s="77" t="s">
        <v>44</v>
      </c>
      <c r="H3" s="242">
        <f>'Orden de Pedido'!F4</f>
        <v>0</v>
      </c>
      <c r="I3" s="344"/>
    </row>
    <row r="4" spans="1:9" s="5" customFormat="1" ht="20.25" customHeight="1" x14ac:dyDescent="0.2">
      <c r="A4" s="47"/>
      <c r="B4" s="9" t="s">
        <v>45</v>
      </c>
      <c r="C4" s="355">
        <f>'Orden de Pedido'!B4</f>
        <v>0</v>
      </c>
      <c r="D4" s="355"/>
      <c r="E4" s="12" t="s">
        <v>46</v>
      </c>
      <c r="F4" s="13" t="s">
        <v>47</v>
      </c>
      <c r="G4" s="75" t="s">
        <v>108</v>
      </c>
      <c r="H4" s="351"/>
      <c r="I4" s="351"/>
    </row>
    <row r="5" spans="1:9" s="5" customFormat="1" x14ac:dyDescent="0.2">
      <c r="A5" s="47"/>
      <c r="B5" s="240" t="s">
        <v>48</v>
      </c>
      <c r="C5" s="242">
        <f>'Orden de Pedido'!B5</f>
        <v>0</v>
      </c>
      <c r="D5" s="345"/>
      <c r="E5" s="345"/>
      <c r="F5" s="346"/>
      <c r="G5" s="244" t="s">
        <v>49</v>
      </c>
      <c r="H5" s="244"/>
      <c r="I5" s="244"/>
    </row>
    <row r="6" spans="1:9" ht="15" customHeight="1" x14ac:dyDescent="0.2">
      <c r="B6" s="241"/>
      <c r="C6" s="345"/>
      <c r="D6" s="345"/>
      <c r="E6" s="345"/>
      <c r="F6" s="346"/>
      <c r="G6" s="245" t="s">
        <v>50</v>
      </c>
      <c r="H6" s="246"/>
      <c r="I6" s="14" t="s">
        <v>51</v>
      </c>
    </row>
    <row r="7" spans="1:9" ht="15" customHeight="1" x14ac:dyDescent="0.2">
      <c r="B7" s="256" t="s">
        <v>52</v>
      </c>
      <c r="C7" s="242">
        <f>'Orden de Pedido'!B7</f>
        <v>0</v>
      </c>
      <c r="D7" s="344"/>
      <c r="E7" s="344"/>
      <c r="F7" s="344"/>
      <c r="G7" s="15" t="s">
        <v>53</v>
      </c>
      <c r="H7" s="16"/>
      <c r="I7" s="17" t="s">
        <v>97</v>
      </c>
    </row>
    <row r="8" spans="1:9" ht="15" customHeight="1" x14ac:dyDescent="0.2">
      <c r="B8" s="257"/>
      <c r="C8" s="344"/>
      <c r="D8" s="344"/>
      <c r="E8" s="344"/>
      <c r="F8" s="344"/>
      <c r="G8" s="15" t="s">
        <v>54</v>
      </c>
      <c r="H8" s="16"/>
      <c r="I8" s="17"/>
    </row>
    <row r="9" spans="1:9" x14ac:dyDescent="0.2">
      <c r="B9" s="257"/>
      <c r="C9" s="344"/>
      <c r="D9" s="344"/>
      <c r="E9" s="344"/>
      <c r="F9" s="344"/>
      <c r="G9" s="15" t="s">
        <v>55</v>
      </c>
      <c r="H9" s="18"/>
      <c r="I9" s="19"/>
    </row>
    <row r="10" spans="1:9" x14ac:dyDescent="0.2">
      <c r="B10" s="258"/>
      <c r="C10" s="344"/>
      <c r="D10" s="344"/>
      <c r="E10" s="344"/>
      <c r="F10" s="344"/>
      <c r="G10" s="20" t="s">
        <v>56</v>
      </c>
      <c r="H10" s="21"/>
      <c r="I10" s="22" t="s">
        <v>97</v>
      </c>
    </row>
    <row r="11" spans="1:9" ht="21" customHeight="1" x14ac:dyDescent="0.2">
      <c r="B11" s="50" t="s">
        <v>96</v>
      </c>
      <c r="C11" s="348">
        <f>C5</f>
        <v>0</v>
      </c>
      <c r="D11" s="349"/>
      <c r="E11" s="349"/>
      <c r="F11" s="349"/>
      <c r="G11" s="349"/>
      <c r="H11" s="349"/>
      <c r="I11" s="349"/>
    </row>
    <row r="12" spans="1:9" ht="21" customHeight="1" x14ac:dyDescent="0.2">
      <c r="B12" s="50" t="s">
        <v>95</v>
      </c>
      <c r="C12" s="347">
        <f>'Orden de Pedido'!B2</f>
        <v>0</v>
      </c>
      <c r="D12" s="347"/>
      <c r="E12" s="347"/>
      <c r="F12" s="347"/>
      <c r="G12" s="347"/>
      <c r="H12" s="347"/>
      <c r="I12" s="347"/>
    </row>
    <row r="13" spans="1:9" x14ac:dyDescent="0.2">
      <c r="B13" s="343" t="s">
        <v>70</v>
      </c>
      <c r="C13" s="343"/>
      <c r="D13" s="343"/>
      <c r="E13" s="343"/>
      <c r="F13" s="343"/>
      <c r="G13" s="343"/>
      <c r="H13" s="343"/>
      <c r="I13" s="343"/>
    </row>
    <row r="14" spans="1:9" ht="66.75" customHeight="1" x14ac:dyDescent="0.2">
      <c r="B14" s="342"/>
      <c r="C14" s="342"/>
      <c r="D14" s="342"/>
      <c r="E14" s="342"/>
      <c r="F14" s="342"/>
      <c r="G14" s="342"/>
      <c r="H14" s="342"/>
      <c r="I14" s="342"/>
    </row>
    <row r="15" spans="1:9" ht="18" customHeight="1" x14ac:dyDescent="0.2">
      <c r="A15" s="82" t="s">
        <v>94</v>
      </c>
      <c r="B15" s="357" t="s">
        <v>70</v>
      </c>
      <c r="C15" s="358"/>
      <c r="D15" s="357" t="s">
        <v>109</v>
      </c>
      <c r="E15" s="358"/>
      <c r="F15" s="358"/>
      <c r="G15" s="358"/>
      <c r="H15" s="83" t="s">
        <v>110</v>
      </c>
      <c r="I15" s="84" t="s">
        <v>111</v>
      </c>
    </row>
    <row r="16" spans="1:9" ht="18.75" customHeight="1" x14ac:dyDescent="0.2">
      <c r="A16" s="49">
        <v>1</v>
      </c>
      <c r="B16" s="359" t="s">
        <v>112</v>
      </c>
      <c r="C16" s="360"/>
      <c r="D16" s="359"/>
      <c r="E16" s="361"/>
      <c r="F16" s="361"/>
      <c r="G16" s="361"/>
      <c r="H16" s="78" t="s">
        <v>97</v>
      </c>
      <c r="I16" s="85"/>
    </row>
    <row r="17" spans="1:9" ht="18.75" customHeight="1" x14ac:dyDescent="0.2">
      <c r="A17" s="362">
        <v>2</v>
      </c>
      <c r="B17" s="363" t="s">
        <v>113</v>
      </c>
      <c r="C17" s="364"/>
      <c r="D17" s="359"/>
      <c r="E17" s="361"/>
      <c r="F17" s="361"/>
      <c r="G17" s="361"/>
      <c r="H17" s="341" t="s">
        <v>97</v>
      </c>
      <c r="I17" s="369"/>
    </row>
    <row r="18" spans="1:9" ht="18.75" customHeight="1" x14ac:dyDescent="0.2">
      <c r="A18" s="362"/>
      <c r="B18" s="365"/>
      <c r="C18" s="366"/>
      <c r="D18" s="367"/>
      <c r="E18" s="368"/>
      <c r="F18" s="368"/>
      <c r="G18" s="368"/>
      <c r="H18" s="341"/>
      <c r="I18" s="370"/>
    </row>
    <row r="19" spans="1:9" ht="21" customHeight="1" x14ac:dyDescent="0.2">
      <c r="A19" s="372" t="s">
        <v>114</v>
      </c>
      <c r="B19" s="362" t="s">
        <v>115</v>
      </c>
      <c r="C19" s="362"/>
      <c r="D19" s="341"/>
      <c r="E19" s="341"/>
      <c r="F19" s="341"/>
      <c r="G19" s="341"/>
      <c r="H19" s="78"/>
      <c r="I19" s="78"/>
    </row>
    <row r="20" spans="1:9" ht="21" customHeight="1" x14ac:dyDescent="0.2">
      <c r="A20" s="373"/>
      <c r="B20" s="362" t="s">
        <v>116</v>
      </c>
      <c r="C20" s="362"/>
      <c r="D20" s="341"/>
      <c r="E20" s="341"/>
      <c r="F20" s="341"/>
      <c r="G20" s="341"/>
      <c r="H20" s="78"/>
      <c r="I20" s="78"/>
    </row>
    <row r="21" spans="1:9" ht="21" customHeight="1" x14ac:dyDescent="0.2">
      <c r="A21" s="373"/>
      <c r="B21" s="362" t="s">
        <v>117</v>
      </c>
      <c r="C21" s="362"/>
      <c r="D21" s="341"/>
      <c r="E21" s="341"/>
      <c r="F21" s="341"/>
      <c r="G21" s="341"/>
      <c r="H21" s="78"/>
      <c r="I21" s="78"/>
    </row>
    <row r="22" spans="1:9" ht="21" customHeight="1" x14ac:dyDescent="0.2">
      <c r="A22" s="374"/>
      <c r="B22" s="362" t="s">
        <v>106</v>
      </c>
      <c r="C22" s="362"/>
      <c r="D22" s="341"/>
      <c r="E22" s="341"/>
      <c r="F22" s="341"/>
      <c r="G22" s="341"/>
      <c r="H22" s="78"/>
      <c r="I22" s="76"/>
    </row>
    <row r="23" spans="1:9" ht="27" customHeight="1" x14ac:dyDescent="0.2">
      <c r="A23" s="362">
        <v>3</v>
      </c>
      <c r="B23" s="375" t="s">
        <v>1</v>
      </c>
      <c r="C23" s="364"/>
      <c r="D23" s="359"/>
      <c r="E23" s="361"/>
      <c r="F23" s="361"/>
      <c r="G23" s="361"/>
      <c r="H23" s="341"/>
      <c r="I23" s="369"/>
    </row>
    <row r="24" spans="1:9" ht="27" customHeight="1" x14ac:dyDescent="0.2">
      <c r="A24" s="362"/>
      <c r="B24" s="365"/>
      <c r="C24" s="366"/>
      <c r="D24" s="367"/>
      <c r="E24" s="368"/>
      <c r="F24" s="368"/>
      <c r="G24" s="368"/>
      <c r="H24" s="341"/>
      <c r="I24" s="370"/>
    </row>
    <row r="25" spans="1:9" ht="27" customHeight="1" x14ac:dyDescent="0.2">
      <c r="A25" s="362"/>
      <c r="B25" s="376"/>
      <c r="C25" s="377"/>
      <c r="D25" s="378"/>
      <c r="E25" s="379"/>
      <c r="F25" s="379"/>
      <c r="G25" s="379"/>
      <c r="H25" s="341"/>
      <c r="I25" s="371"/>
    </row>
    <row r="26" spans="1:9" ht="27" customHeight="1" x14ac:dyDescent="0.2">
      <c r="A26" s="362">
        <v>4</v>
      </c>
      <c r="B26" s="375" t="s">
        <v>1</v>
      </c>
      <c r="C26" s="364"/>
      <c r="D26" s="359"/>
      <c r="E26" s="361"/>
      <c r="F26" s="361"/>
      <c r="G26" s="361"/>
      <c r="H26" s="341"/>
      <c r="I26" s="369"/>
    </row>
    <row r="27" spans="1:9" ht="27" customHeight="1" x14ac:dyDescent="0.2">
      <c r="A27" s="362"/>
      <c r="B27" s="365"/>
      <c r="C27" s="366"/>
      <c r="D27" s="367"/>
      <c r="E27" s="368"/>
      <c r="F27" s="368"/>
      <c r="G27" s="368"/>
      <c r="H27" s="341"/>
      <c r="I27" s="370"/>
    </row>
    <row r="28" spans="1:9" ht="27" customHeight="1" x14ac:dyDescent="0.2">
      <c r="A28" s="362"/>
      <c r="B28" s="376"/>
      <c r="C28" s="377"/>
      <c r="D28" s="378"/>
      <c r="E28" s="379"/>
      <c r="F28" s="379"/>
      <c r="G28" s="379"/>
      <c r="H28" s="341"/>
      <c r="I28" s="371"/>
    </row>
    <row r="29" spans="1:9" ht="27" customHeight="1" x14ac:dyDescent="0.2">
      <c r="A29" s="362">
        <v>5</v>
      </c>
      <c r="B29" s="375" t="s">
        <v>1</v>
      </c>
      <c r="C29" s="364"/>
      <c r="D29" s="359"/>
      <c r="E29" s="361"/>
      <c r="F29" s="361"/>
      <c r="G29" s="361"/>
      <c r="H29" s="341"/>
      <c r="I29" s="369"/>
    </row>
    <row r="30" spans="1:9" ht="27" customHeight="1" x14ac:dyDescent="0.2">
      <c r="A30" s="362"/>
      <c r="B30" s="365"/>
      <c r="C30" s="366"/>
      <c r="D30" s="367"/>
      <c r="E30" s="368"/>
      <c r="F30" s="368"/>
      <c r="G30" s="368"/>
      <c r="H30" s="341"/>
      <c r="I30" s="370"/>
    </row>
    <row r="31" spans="1:9" ht="27" customHeight="1" x14ac:dyDescent="0.2">
      <c r="A31" s="362"/>
      <c r="B31" s="376"/>
      <c r="C31" s="377"/>
      <c r="D31" s="378"/>
      <c r="E31" s="379"/>
      <c r="F31" s="379"/>
      <c r="G31" s="379"/>
      <c r="H31" s="341"/>
      <c r="I31" s="371"/>
    </row>
    <row r="32" spans="1:9" ht="36" customHeight="1" x14ac:dyDescent="0.2">
      <c r="A32" s="362">
        <v>6</v>
      </c>
      <c r="B32" s="363" t="s">
        <v>118</v>
      </c>
      <c r="C32" s="364"/>
      <c r="D32" s="383"/>
      <c r="E32" s="361"/>
      <c r="F32" s="361"/>
      <c r="G32" s="361"/>
      <c r="H32" s="225" t="s">
        <v>97</v>
      </c>
      <c r="I32" s="369"/>
    </row>
    <row r="33" spans="1:9" ht="36" customHeight="1" x14ac:dyDescent="0.2">
      <c r="A33" s="362"/>
      <c r="B33" s="365"/>
      <c r="C33" s="366"/>
      <c r="D33" s="367"/>
      <c r="E33" s="368"/>
      <c r="F33" s="368"/>
      <c r="G33" s="368"/>
      <c r="H33" s="341"/>
      <c r="I33" s="370"/>
    </row>
    <row r="34" spans="1:9" ht="36" customHeight="1" x14ac:dyDescent="0.2">
      <c r="A34" s="362"/>
      <c r="B34" s="376"/>
      <c r="C34" s="377"/>
      <c r="D34" s="378"/>
      <c r="E34" s="379"/>
      <c r="F34" s="379"/>
      <c r="G34" s="379"/>
      <c r="H34" s="341"/>
      <c r="I34" s="371"/>
    </row>
    <row r="35" spans="1:9" ht="18.75" customHeight="1" x14ac:dyDescent="0.2">
      <c r="A35" s="380"/>
      <c r="B35" s="381"/>
      <c r="C35" s="381"/>
      <c r="D35" s="381"/>
      <c r="E35" s="381"/>
      <c r="F35" s="381"/>
      <c r="G35" s="381"/>
      <c r="H35" s="381"/>
      <c r="I35" s="382"/>
    </row>
    <row r="36" spans="1:9" ht="33.75" customHeight="1" x14ac:dyDescent="0.2">
      <c r="A36" s="362">
        <v>7</v>
      </c>
      <c r="B36" s="363" t="s">
        <v>119</v>
      </c>
      <c r="C36" s="364"/>
      <c r="D36" s="383"/>
      <c r="E36" s="384"/>
      <c r="F36" s="384"/>
      <c r="G36" s="385"/>
      <c r="H36" s="392"/>
      <c r="I36" s="392"/>
    </row>
    <row r="37" spans="1:9" ht="33.75" customHeight="1" x14ac:dyDescent="0.2">
      <c r="A37" s="362"/>
      <c r="B37" s="365"/>
      <c r="C37" s="366"/>
      <c r="D37" s="386"/>
      <c r="E37" s="387"/>
      <c r="F37" s="387"/>
      <c r="G37" s="388"/>
      <c r="H37" s="393"/>
      <c r="I37" s="393"/>
    </row>
    <row r="38" spans="1:9" ht="33.75" customHeight="1" x14ac:dyDescent="0.2">
      <c r="A38" s="362"/>
      <c r="B38" s="376"/>
      <c r="C38" s="377"/>
      <c r="D38" s="389"/>
      <c r="E38" s="390"/>
      <c r="F38" s="390"/>
      <c r="G38" s="391"/>
      <c r="H38" s="394"/>
      <c r="I38" s="394"/>
    </row>
  </sheetData>
  <protectedRanges>
    <protectedRange sqref="D15 H15:I15" name="Rango1_1_3_1"/>
    <protectedRange sqref="C2:D4 E3:F4 I2 G4 G7 C7 C5" name="Rango1_2_1"/>
    <protectedRange sqref="H7:I10" name="Rango1_1_1_1"/>
  </protectedRanges>
  <mergeCells count="63">
    <mergeCell ref="A36:A38"/>
    <mergeCell ref="B36:C38"/>
    <mergeCell ref="D36:G38"/>
    <mergeCell ref="H36:H38"/>
    <mergeCell ref="I36:I38"/>
    <mergeCell ref="A35:I35"/>
    <mergeCell ref="A26:A28"/>
    <mergeCell ref="B26:C28"/>
    <mergeCell ref="D26:G28"/>
    <mergeCell ref="H26:H28"/>
    <mergeCell ref="I26:I28"/>
    <mergeCell ref="A29:A31"/>
    <mergeCell ref="B29:C31"/>
    <mergeCell ref="D29:G31"/>
    <mergeCell ref="H29:H31"/>
    <mergeCell ref="I29:I31"/>
    <mergeCell ref="A32:A34"/>
    <mergeCell ref="B32:C34"/>
    <mergeCell ref="D32:G34"/>
    <mergeCell ref="H32:H34"/>
    <mergeCell ref="I32:I34"/>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54" max="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T46"/>
  <sheetViews>
    <sheetView showGridLines="0" zoomScale="40" zoomScaleNormal="40" workbookViewId="0">
      <selection activeCell="AW3" sqref="AW3"/>
    </sheetView>
  </sheetViews>
  <sheetFormatPr baseColWidth="10" defaultRowHeight="12.75" x14ac:dyDescent="0.2"/>
  <cols>
    <col min="1" max="1" width="16.42578125" style="86" customWidth="1"/>
    <col min="2" max="5" width="10.85546875" style="5" customWidth="1"/>
    <col min="6" max="6" width="13.5703125" style="5" customWidth="1"/>
    <col min="7" max="7" width="10.85546875" style="5" customWidth="1"/>
    <col min="8" max="8" width="16.28515625" style="5" customWidth="1"/>
    <col min="9" max="9" width="13.42578125" style="5" customWidth="1"/>
    <col min="10" max="10" width="12.140625" style="5" customWidth="1"/>
    <col min="11" max="11" width="14.140625" style="5" customWidth="1"/>
    <col min="12" max="39" width="12.140625" style="5" customWidth="1"/>
    <col min="40" max="40" width="17.7109375" style="5" customWidth="1"/>
    <col min="41" max="55" width="4.28515625" style="5" customWidth="1"/>
    <col min="56" max="16384" width="11.42578125" style="5"/>
  </cols>
  <sheetData>
    <row r="1" spans="1:46" ht="178.5" customHeight="1" x14ac:dyDescent="0.2">
      <c r="B1" s="341"/>
      <c r="C1" s="341"/>
      <c r="D1" s="341"/>
      <c r="E1" s="341"/>
      <c r="F1" s="341"/>
      <c r="G1" s="341"/>
      <c r="H1" s="341"/>
      <c r="I1" s="398" t="s">
        <v>89</v>
      </c>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340"/>
      <c r="AJ1" s="399" t="s">
        <v>120</v>
      </c>
      <c r="AK1" s="399"/>
      <c r="AL1" s="399"/>
      <c r="AM1" s="399"/>
      <c r="AN1" s="399"/>
    </row>
    <row r="2" spans="1:46" s="88" customFormat="1" ht="110.25" customHeight="1" thickBot="1" x14ac:dyDescent="0.25">
      <c r="A2" s="3"/>
      <c r="B2" s="400" t="s">
        <v>121</v>
      </c>
      <c r="C2" s="400"/>
      <c r="D2" s="400"/>
      <c r="E2" s="400"/>
      <c r="F2" s="400"/>
      <c r="G2" s="400"/>
      <c r="H2" s="400"/>
      <c r="I2" s="66">
        <v>41791</v>
      </c>
      <c r="J2" s="87">
        <v>41792</v>
      </c>
      <c r="K2" s="87">
        <v>41793</v>
      </c>
      <c r="L2" s="87">
        <v>41794</v>
      </c>
      <c r="M2" s="87">
        <v>41795</v>
      </c>
      <c r="N2" s="87">
        <v>41796</v>
      </c>
      <c r="O2" s="66">
        <v>41797</v>
      </c>
      <c r="P2" s="66">
        <v>41798</v>
      </c>
      <c r="Q2" s="87">
        <v>41799</v>
      </c>
      <c r="R2" s="87">
        <v>41800</v>
      </c>
      <c r="S2" s="87">
        <v>41801</v>
      </c>
      <c r="T2" s="87">
        <v>41802</v>
      </c>
      <c r="U2" s="87">
        <v>41803</v>
      </c>
      <c r="V2" s="66">
        <v>41804</v>
      </c>
      <c r="W2" s="66">
        <v>41805</v>
      </c>
      <c r="X2" s="87">
        <v>41806</v>
      </c>
      <c r="Y2" s="87">
        <v>41807</v>
      </c>
      <c r="Z2" s="87">
        <v>41808</v>
      </c>
      <c r="AA2" s="87">
        <v>41809</v>
      </c>
      <c r="AB2" s="87">
        <v>41810</v>
      </c>
      <c r="AC2" s="66">
        <v>41811</v>
      </c>
      <c r="AD2" s="66">
        <v>41812</v>
      </c>
      <c r="AE2" s="87">
        <v>41813</v>
      </c>
      <c r="AF2" s="87">
        <v>41814</v>
      </c>
      <c r="AG2" s="87">
        <v>41815</v>
      </c>
      <c r="AH2" s="87">
        <v>41816</v>
      </c>
      <c r="AI2" s="87">
        <v>41817</v>
      </c>
      <c r="AJ2" s="66">
        <v>41818</v>
      </c>
      <c r="AK2" s="66">
        <v>41819</v>
      </c>
      <c r="AL2" s="87">
        <v>41820</v>
      </c>
      <c r="AM2" s="87">
        <v>41821</v>
      </c>
      <c r="AN2" s="67" t="s">
        <v>0</v>
      </c>
      <c r="AO2" s="3"/>
      <c r="AP2" s="3"/>
      <c r="AQ2" s="3"/>
      <c r="AR2" s="3"/>
      <c r="AS2" s="3"/>
      <c r="AT2" s="3"/>
    </row>
    <row r="3" spans="1:46" ht="50.25" customHeight="1" x14ac:dyDescent="0.2">
      <c r="A3" s="401" t="s">
        <v>121</v>
      </c>
      <c r="B3" s="404"/>
      <c r="C3" s="405"/>
      <c r="D3" s="405"/>
      <c r="E3" s="405"/>
      <c r="F3" s="405"/>
      <c r="G3" s="405"/>
      <c r="H3" s="40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8">
        <f t="shared" ref="AN3:AN8" si="0">SUM(I3:AM3)</f>
        <v>0</v>
      </c>
      <c r="AO3" s="86"/>
      <c r="AP3" s="86"/>
      <c r="AQ3" s="86"/>
      <c r="AR3" s="86"/>
      <c r="AS3" s="86"/>
      <c r="AT3" s="86"/>
    </row>
    <row r="4" spans="1:46" ht="50.25" customHeight="1" x14ac:dyDescent="0.2">
      <c r="A4" s="402"/>
      <c r="B4" s="404" t="s">
        <v>1</v>
      </c>
      <c r="C4" s="405"/>
      <c r="D4" s="405"/>
      <c r="E4" s="405"/>
      <c r="F4" s="405"/>
      <c r="G4" s="405"/>
      <c r="H4" s="40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8">
        <f t="shared" si="0"/>
        <v>0</v>
      </c>
      <c r="AO4" s="86"/>
      <c r="AP4" s="86"/>
      <c r="AQ4" s="86"/>
      <c r="AR4" s="86"/>
      <c r="AS4" s="86"/>
      <c r="AT4" s="86"/>
    </row>
    <row r="5" spans="1:46" ht="50.25" customHeight="1" x14ac:dyDescent="0.2">
      <c r="A5" s="402"/>
      <c r="B5" s="406" t="s">
        <v>1</v>
      </c>
      <c r="C5" s="407"/>
      <c r="D5" s="407"/>
      <c r="E5" s="407"/>
      <c r="F5" s="407"/>
      <c r="G5" s="407"/>
      <c r="H5" s="40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8">
        <f t="shared" si="0"/>
        <v>0</v>
      </c>
      <c r="AO5" s="86"/>
      <c r="AP5" s="86"/>
      <c r="AQ5" s="86"/>
      <c r="AR5" s="86"/>
      <c r="AS5" s="86"/>
      <c r="AT5" s="86"/>
    </row>
    <row r="6" spans="1:46" ht="50.25" customHeight="1" x14ac:dyDescent="0.2">
      <c r="A6" s="402"/>
      <c r="B6" s="406" t="s">
        <v>1</v>
      </c>
      <c r="C6" s="407"/>
      <c r="D6" s="407"/>
      <c r="E6" s="407"/>
      <c r="F6" s="407"/>
      <c r="G6" s="407"/>
      <c r="H6" s="40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8">
        <f t="shared" si="0"/>
        <v>0</v>
      </c>
      <c r="AO6" s="86"/>
      <c r="AP6" s="86"/>
      <c r="AQ6" s="86"/>
      <c r="AR6" s="86"/>
      <c r="AS6" s="86"/>
      <c r="AT6" s="86"/>
    </row>
    <row r="7" spans="1:46" ht="50.25" customHeight="1" x14ac:dyDescent="0.2">
      <c r="A7" s="402"/>
      <c r="B7" s="406" t="s">
        <v>1</v>
      </c>
      <c r="C7" s="407"/>
      <c r="D7" s="407"/>
      <c r="E7" s="407"/>
      <c r="F7" s="407"/>
      <c r="G7" s="407"/>
      <c r="H7" s="40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8">
        <f t="shared" si="0"/>
        <v>0</v>
      </c>
      <c r="AO7" s="86"/>
      <c r="AP7" s="86"/>
      <c r="AQ7" s="86"/>
      <c r="AR7" s="86"/>
      <c r="AS7" s="86"/>
      <c r="AT7" s="86"/>
    </row>
    <row r="8" spans="1:46" ht="50.25" customHeight="1" thickBot="1" x14ac:dyDescent="0.25">
      <c r="A8" s="403"/>
      <c r="B8" s="406" t="s">
        <v>1</v>
      </c>
      <c r="C8" s="407"/>
      <c r="D8" s="407"/>
      <c r="E8" s="407"/>
      <c r="F8" s="407"/>
      <c r="G8" s="407"/>
      <c r="H8" s="40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8">
        <f t="shared" si="0"/>
        <v>0</v>
      </c>
      <c r="AO8" s="86"/>
      <c r="AP8" s="86"/>
      <c r="AQ8" s="86"/>
      <c r="AR8" s="86"/>
      <c r="AS8" s="86"/>
      <c r="AT8" s="86"/>
    </row>
    <row r="9" spans="1:46" ht="114.75" customHeight="1" thickBot="1" x14ac:dyDescent="0.25">
      <c r="B9" s="397" t="s">
        <v>12</v>
      </c>
      <c r="C9" s="397"/>
      <c r="D9" s="397"/>
      <c r="E9" s="397"/>
      <c r="F9" s="397"/>
      <c r="G9" s="397"/>
      <c r="H9" s="397"/>
      <c r="I9" s="420" t="s">
        <v>1</v>
      </c>
      <c r="J9" s="420"/>
      <c r="K9" s="420"/>
      <c r="L9" s="420"/>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420"/>
      <c r="AL9" s="420"/>
      <c r="AM9" s="420"/>
      <c r="AN9" s="420"/>
      <c r="AO9" s="86"/>
      <c r="AP9" s="86"/>
      <c r="AQ9" s="86"/>
      <c r="AR9" s="86"/>
      <c r="AS9" s="86"/>
      <c r="AT9" s="86"/>
    </row>
    <row r="10" spans="1:46" s="92" customFormat="1" ht="49.5" customHeight="1" thickBot="1" x14ac:dyDescent="0.25">
      <c r="A10" s="401" t="s">
        <v>122</v>
      </c>
      <c r="B10" s="421" t="s">
        <v>5</v>
      </c>
      <c r="C10" s="422"/>
      <c r="D10" s="422"/>
      <c r="E10" s="422"/>
      <c r="F10" s="422"/>
      <c r="G10" s="422"/>
      <c r="H10" s="423"/>
      <c r="I10" s="89">
        <f>I11+I12</f>
        <v>0</v>
      </c>
      <c r="J10" s="90">
        <f t="shared" ref="J10:AM10" si="1">J11+J12</f>
        <v>0</v>
      </c>
      <c r="K10" s="90">
        <f t="shared" si="1"/>
        <v>0</v>
      </c>
      <c r="L10" s="90">
        <f t="shared" si="1"/>
        <v>0</v>
      </c>
      <c r="M10" s="90">
        <f t="shared" si="1"/>
        <v>0</v>
      </c>
      <c r="N10" s="90">
        <f t="shared" si="1"/>
        <v>0</v>
      </c>
      <c r="O10" s="90">
        <f t="shared" si="1"/>
        <v>0</v>
      </c>
      <c r="P10" s="90">
        <f t="shared" si="1"/>
        <v>0</v>
      </c>
      <c r="Q10" s="90">
        <f t="shared" si="1"/>
        <v>0</v>
      </c>
      <c r="R10" s="90">
        <f t="shared" si="1"/>
        <v>0</v>
      </c>
      <c r="S10" s="90">
        <f t="shared" si="1"/>
        <v>0</v>
      </c>
      <c r="T10" s="90">
        <f t="shared" si="1"/>
        <v>0</v>
      </c>
      <c r="U10" s="90">
        <f t="shared" si="1"/>
        <v>0</v>
      </c>
      <c r="V10" s="90">
        <f t="shared" si="1"/>
        <v>0</v>
      </c>
      <c r="W10" s="90">
        <f t="shared" si="1"/>
        <v>0</v>
      </c>
      <c r="X10" s="90">
        <f t="shared" si="1"/>
        <v>0</v>
      </c>
      <c r="Y10" s="90">
        <f t="shared" si="1"/>
        <v>0</v>
      </c>
      <c r="Z10" s="90">
        <f t="shared" si="1"/>
        <v>0</v>
      </c>
      <c r="AA10" s="90">
        <f t="shared" si="1"/>
        <v>0</v>
      </c>
      <c r="AB10" s="90">
        <f t="shared" si="1"/>
        <v>0</v>
      </c>
      <c r="AC10" s="90">
        <f t="shared" si="1"/>
        <v>0</v>
      </c>
      <c r="AD10" s="90">
        <f t="shared" si="1"/>
        <v>0</v>
      </c>
      <c r="AE10" s="90">
        <f t="shared" si="1"/>
        <v>0</v>
      </c>
      <c r="AF10" s="90">
        <f t="shared" si="1"/>
        <v>0</v>
      </c>
      <c r="AG10" s="90">
        <f t="shared" si="1"/>
        <v>0</v>
      </c>
      <c r="AH10" s="90">
        <f t="shared" si="1"/>
        <v>0</v>
      </c>
      <c r="AI10" s="90">
        <f t="shared" si="1"/>
        <v>0</v>
      </c>
      <c r="AJ10" s="90">
        <f t="shared" si="1"/>
        <v>0</v>
      </c>
      <c r="AK10" s="90">
        <f t="shared" si="1"/>
        <v>0</v>
      </c>
      <c r="AL10" s="90">
        <f t="shared" si="1"/>
        <v>0</v>
      </c>
      <c r="AM10" s="90">
        <f t="shared" si="1"/>
        <v>0</v>
      </c>
      <c r="AN10" s="91">
        <f>SUM(I10:AM10)</f>
        <v>0</v>
      </c>
      <c r="AO10" s="2"/>
      <c r="AP10" s="2"/>
      <c r="AQ10" s="2"/>
      <c r="AR10" s="2"/>
      <c r="AS10" s="2"/>
      <c r="AT10" s="2"/>
    </row>
    <row r="11" spans="1:46" s="92" customFormat="1" ht="49.5" customHeight="1" x14ac:dyDescent="0.2">
      <c r="A11" s="402"/>
      <c r="B11" s="424" t="s">
        <v>6</v>
      </c>
      <c r="C11" s="425"/>
      <c r="D11" s="425"/>
      <c r="E11" s="425"/>
      <c r="F11" s="425"/>
      <c r="G11" s="425"/>
      <c r="H11" s="425"/>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c r="AM11" s="93"/>
      <c r="AN11" s="94">
        <f>SUM(I11:AM11)</f>
        <v>0</v>
      </c>
      <c r="AO11" s="2"/>
      <c r="AP11" s="2"/>
      <c r="AQ11" s="2"/>
      <c r="AR11" s="2"/>
      <c r="AS11" s="2"/>
      <c r="AT11" s="2"/>
    </row>
    <row r="12" spans="1:46" s="92" customFormat="1" ht="49.5" customHeight="1" x14ac:dyDescent="0.2">
      <c r="A12" s="402"/>
      <c r="B12" s="426" t="s">
        <v>7</v>
      </c>
      <c r="C12" s="427"/>
      <c r="D12" s="427"/>
      <c r="E12" s="427"/>
      <c r="F12" s="427"/>
      <c r="G12" s="427"/>
      <c r="H12" s="427"/>
      <c r="I12" s="69">
        <f>SUM(I3:I8)</f>
        <v>0</v>
      </c>
      <c r="J12" s="69">
        <f t="shared" ref="J12:AM12" si="2">SUM(J3:J8)</f>
        <v>0</v>
      </c>
      <c r="K12" s="69">
        <f>SUM(K3:K8)</f>
        <v>0</v>
      </c>
      <c r="L12" s="69">
        <f t="shared" si="2"/>
        <v>0</v>
      </c>
      <c r="M12" s="69">
        <f t="shared" si="2"/>
        <v>0</v>
      </c>
      <c r="N12" s="69">
        <f t="shared" si="2"/>
        <v>0</v>
      </c>
      <c r="O12" s="69">
        <f t="shared" si="2"/>
        <v>0</v>
      </c>
      <c r="P12" s="69">
        <f t="shared" si="2"/>
        <v>0</v>
      </c>
      <c r="Q12" s="69">
        <f t="shared" si="2"/>
        <v>0</v>
      </c>
      <c r="R12" s="69">
        <f>SUM(R3:R8)</f>
        <v>0</v>
      </c>
      <c r="S12" s="69">
        <f t="shared" si="2"/>
        <v>0</v>
      </c>
      <c r="T12" s="69">
        <f t="shared" si="2"/>
        <v>0</v>
      </c>
      <c r="U12" s="69">
        <f t="shared" si="2"/>
        <v>0</v>
      </c>
      <c r="V12" s="69">
        <f t="shared" si="2"/>
        <v>0</v>
      </c>
      <c r="W12" s="69">
        <f t="shared" si="2"/>
        <v>0</v>
      </c>
      <c r="X12" s="69">
        <f t="shared" si="2"/>
        <v>0</v>
      </c>
      <c r="Y12" s="69">
        <f t="shared" si="2"/>
        <v>0</v>
      </c>
      <c r="Z12" s="69">
        <f t="shared" si="2"/>
        <v>0</v>
      </c>
      <c r="AA12" s="69">
        <f t="shared" si="2"/>
        <v>0</v>
      </c>
      <c r="AB12" s="69">
        <f t="shared" si="2"/>
        <v>0</v>
      </c>
      <c r="AC12" s="69">
        <f t="shared" si="2"/>
        <v>0</v>
      </c>
      <c r="AD12" s="69">
        <f t="shared" si="2"/>
        <v>0</v>
      </c>
      <c r="AE12" s="69">
        <f t="shared" si="2"/>
        <v>0</v>
      </c>
      <c r="AF12" s="69">
        <f t="shared" si="2"/>
        <v>0</v>
      </c>
      <c r="AG12" s="69">
        <f t="shared" si="2"/>
        <v>0</v>
      </c>
      <c r="AH12" s="69">
        <f t="shared" si="2"/>
        <v>0</v>
      </c>
      <c r="AI12" s="69">
        <f t="shared" si="2"/>
        <v>0</v>
      </c>
      <c r="AJ12" s="69">
        <f t="shared" si="2"/>
        <v>0</v>
      </c>
      <c r="AK12" s="69">
        <f t="shared" si="2"/>
        <v>0</v>
      </c>
      <c r="AL12" s="69">
        <f t="shared" si="2"/>
        <v>0</v>
      </c>
      <c r="AM12" s="69">
        <f t="shared" si="2"/>
        <v>0</v>
      </c>
      <c r="AN12" s="95">
        <f>SUM(I12:AM12)</f>
        <v>0</v>
      </c>
      <c r="AO12" s="2"/>
      <c r="AP12" s="2"/>
      <c r="AQ12" s="2"/>
      <c r="AR12" s="2"/>
      <c r="AS12" s="2"/>
      <c r="AT12" s="2"/>
    </row>
    <row r="13" spans="1:46" s="92" customFormat="1" ht="49.5" customHeight="1" thickBot="1" x14ac:dyDescent="0.25">
      <c r="A13" s="403"/>
      <c r="B13" s="428" t="s">
        <v>9</v>
      </c>
      <c r="C13" s="429"/>
      <c r="D13" s="429"/>
      <c r="E13" s="429"/>
      <c r="F13" s="429"/>
      <c r="G13" s="429"/>
      <c r="H13" s="429"/>
      <c r="I13" s="96" t="e">
        <f>(I12-#REF!)*100/I10</f>
        <v>#REF!</v>
      </c>
      <c r="J13" s="96" t="e">
        <f>(J12-#REF!)*100/J10</f>
        <v>#REF!</v>
      </c>
      <c r="K13" s="96" t="e">
        <f>(K12-#REF!)*100/K10</f>
        <v>#REF!</v>
      </c>
      <c r="L13" s="96" t="e">
        <f>(L12-#REF!)*100/L10</f>
        <v>#REF!</v>
      </c>
      <c r="M13" s="96" t="e">
        <f>(M12-#REF!)*100/M10</f>
        <v>#REF!</v>
      </c>
      <c r="N13" s="96" t="e">
        <f>(N12-#REF!)*100/N10</f>
        <v>#REF!</v>
      </c>
      <c r="O13" s="96" t="e">
        <f>(O12-#REF!)*100/O10</f>
        <v>#REF!</v>
      </c>
      <c r="P13" s="96" t="e">
        <f>(P12-#REF!)*100/P10</f>
        <v>#REF!</v>
      </c>
      <c r="Q13" s="96" t="e">
        <f>(Q12-#REF!)*100/Q10</f>
        <v>#REF!</v>
      </c>
      <c r="R13" s="96" t="e">
        <f>(R12-#REF!)*100/R10</f>
        <v>#REF!</v>
      </c>
      <c r="S13" s="96" t="e">
        <f>(S12-#REF!)*100/S10</f>
        <v>#REF!</v>
      </c>
      <c r="T13" s="96" t="e">
        <f>(T12-#REF!)*100/T10</f>
        <v>#REF!</v>
      </c>
      <c r="U13" s="96" t="e">
        <f>(U12-#REF!)*100/U10</f>
        <v>#REF!</v>
      </c>
      <c r="V13" s="96" t="e">
        <f>(V12-#REF!)*100/V10</f>
        <v>#REF!</v>
      </c>
      <c r="W13" s="96" t="e">
        <f>(W12-#REF!)*100/W10</f>
        <v>#REF!</v>
      </c>
      <c r="X13" s="96" t="e">
        <f>(X12-#REF!)*100/X10</f>
        <v>#REF!</v>
      </c>
      <c r="Y13" s="96" t="e">
        <f>(Y12-#REF!)*100/Y10</f>
        <v>#REF!</v>
      </c>
      <c r="Z13" s="96" t="e">
        <f>(Z12-#REF!)*100/Z10</f>
        <v>#REF!</v>
      </c>
      <c r="AA13" s="96" t="e">
        <f>(AA12-#REF!)*100/AA10</f>
        <v>#REF!</v>
      </c>
      <c r="AB13" s="96" t="e">
        <f>(AB12-#REF!)*100/AB10</f>
        <v>#REF!</v>
      </c>
      <c r="AC13" s="96" t="e">
        <f>(AC12-#REF!)*100/AC10</f>
        <v>#REF!</v>
      </c>
      <c r="AD13" s="96" t="e">
        <f>(AD12-#REF!)*100/AD10</f>
        <v>#REF!</v>
      </c>
      <c r="AE13" s="96" t="e">
        <f>(AE12-#REF!)*100/AE10</f>
        <v>#REF!</v>
      </c>
      <c r="AF13" s="96" t="e">
        <f>(AF12-#REF!)*100/AF10</f>
        <v>#REF!</v>
      </c>
      <c r="AG13" s="96" t="e">
        <f>(AG12-#REF!)*100/AG10</f>
        <v>#REF!</v>
      </c>
      <c r="AH13" s="96" t="e">
        <f>(AH12-#REF!)*100/AH10</f>
        <v>#REF!</v>
      </c>
      <c r="AI13" s="96" t="e">
        <f>(AI12-#REF!)*100/AI10</f>
        <v>#REF!</v>
      </c>
      <c r="AJ13" s="96" t="e">
        <f>(AJ12-#REF!)*100/AJ10</f>
        <v>#REF!</v>
      </c>
      <c r="AK13" s="96" t="e">
        <f>(AK12-#REF!)*100/AK10</f>
        <v>#REF!</v>
      </c>
      <c r="AL13" s="96" t="e">
        <f>(AL12-#REF!)*100/AL10</f>
        <v>#REF!</v>
      </c>
      <c r="AM13" s="96" t="e">
        <f>(AM12-#REF!)*100/AM10</f>
        <v>#REF!</v>
      </c>
      <c r="AN13" s="97" t="e">
        <f>(AN12-AN15)*100/AN10</f>
        <v>#DIV/0!</v>
      </c>
      <c r="AO13" s="2"/>
      <c r="AP13" s="2"/>
      <c r="AQ13" s="2"/>
      <c r="AR13" s="2"/>
      <c r="AS13" s="2"/>
      <c r="AT13" s="2"/>
    </row>
    <row r="14" spans="1:46" s="102" customFormat="1" ht="30.75" customHeight="1" thickBot="1" x14ac:dyDescent="0.25">
      <c r="A14" s="98"/>
      <c r="B14" s="99"/>
      <c r="C14" s="99"/>
      <c r="D14" s="99"/>
      <c r="E14" s="99"/>
      <c r="F14" s="99"/>
      <c r="G14" s="99"/>
      <c r="H14" s="99"/>
      <c r="I14" s="100"/>
      <c r="J14" s="100"/>
      <c r="K14" s="100"/>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00"/>
      <c r="AK14" s="100"/>
      <c r="AL14" s="100"/>
      <c r="AM14" s="100"/>
      <c r="AN14" s="100"/>
      <c r="AO14" s="101"/>
      <c r="AP14" s="101"/>
      <c r="AQ14" s="101"/>
      <c r="AR14" s="101"/>
      <c r="AS14" s="101"/>
      <c r="AT14" s="101"/>
    </row>
    <row r="15" spans="1:46" s="92" customFormat="1" ht="78" customHeight="1" x14ac:dyDescent="0.2">
      <c r="A15" s="395" t="s">
        <v>123</v>
      </c>
      <c r="B15" s="417" t="s">
        <v>8</v>
      </c>
      <c r="C15" s="418"/>
      <c r="D15" s="418"/>
      <c r="E15" s="418"/>
      <c r="F15" s="418"/>
      <c r="G15" s="418"/>
      <c r="H15" s="419"/>
      <c r="I15" s="103"/>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5">
        <f>SUM(I15:AM15)</f>
        <v>0</v>
      </c>
      <c r="AO15" s="2"/>
      <c r="AP15" s="2"/>
      <c r="AQ15" s="2"/>
      <c r="AR15" s="2"/>
      <c r="AS15" s="2"/>
      <c r="AT15" s="2"/>
    </row>
    <row r="16" spans="1:46" s="92" customFormat="1" ht="78" customHeight="1" thickBot="1" x14ac:dyDescent="0.25">
      <c r="A16" s="396"/>
      <c r="B16" s="414" t="s">
        <v>10</v>
      </c>
      <c r="C16" s="415"/>
      <c r="D16" s="415"/>
      <c r="E16" s="415"/>
      <c r="F16" s="415"/>
      <c r="G16" s="415"/>
      <c r="H16" s="416"/>
      <c r="I16" s="106" t="e">
        <f>I15*100/I10</f>
        <v>#DIV/0!</v>
      </c>
      <c r="J16" s="107" t="e">
        <f>J15*100/J10</f>
        <v>#DIV/0!</v>
      </c>
      <c r="K16" s="107" t="e">
        <f>K15*100/K10</f>
        <v>#DIV/0!</v>
      </c>
      <c r="L16" s="107" t="e">
        <f t="shared" ref="L16:AM16" si="3">L15*100/L10</f>
        <v>#DIV/0!</v>
      </c>
      <c r="M16" s="107" t="e">
        <f t="shared" si="3"/>
        <v>#DIV/0!</v>
      </c>
      <c r="N16" s="107" t="e">
        <f t="shared" si="3"/>
        <v>#DIV/0!</v>
      </c>
      <c r="O16" s="107" t="e">
        <f t="shared" si="3"/>
        <v>#DIV/0!</v>
      </c>
      <c r="P16" s="107" t="e">
        <f t="shared" si="3"/>
        <v>#DIV/0!</v>
      </c>
      <c r="Q16" s="107" t="e">
        <f t="shared" si="3"/>
        <v>#DIV/0!</v>
      </c>
      <c r="R16" s="107" t="e">
        <f>R15*100/R10</f>
        <v>#DIV/0!</v>
      </c>
      <c r="S16" s="107" t="e">
        <f t="shared" si="3"/>
        <v>#DIV/0!</v>
      </c>
      <c r="T16" s="107" t="e">
        <f t="shared" si="3"/>
        <v>#DIV/0!</v>
      </c>
      <c r="U16" s="107" t="e">
        <f t="shared" si="3"/>
        <v>#DIV/0!</v>
      </c>
      <c r="V16" s="107" t="e">
        <f t="shared" si="3"/>
        <v>#DIV/0!</v>
      </c>
      <c r="W16" s="107" t="e">
        <f t="shared" si="3"/>
        <v>#DIV/0!</v>
      </c>
      <c r="X16" s="107" t="e">
        <f t="shared" si="3"/>
        <v>#DIV/0!</v>
      </c>
      <c r="Y16" s="107" t="e">
        <f t="shared" si="3"/>
        <v>#DIV/0!</v>
      </c>
      <c r="Z16" s="107" t="e">
        <f t="shared" si="3"/>
        <v>#DIV/0!</v>
      </c>
      <c r="AA16" s="107" t="e">
        <f t="shared" si="3"/>
        <v>#DIV/0!</v>
      </c>
      <c r="AB16" s="107" t="e">
        <f t="shared" si="3"/>
        <v>#DIV/0!</v>
      </c>
      <c r="AC16" s="107" t="e">
        <f t="shared" si="3"/>
        <v>#DIV/0!</v>
      </c>
      <c r="AD16" s="107" t="e">
        <f t="shared" si="3"/>
        <v>#DIV/0!</v>
      </c>
      <c r="AE16" s="107" t="e">
        <f t="shared" si="3"/>
        <v>#DIV/0!</v>
      </c>
      <c r="AF16" s="107" t="e">
        <f t="shared" si="3"/>
        <v>#DIV/0!</v>
      </c>
      <c r="AG16" s="107" t="e">
        <f t="shared" si="3"/>
        <v>#DIV/0!</v>
      </c>
      <c r="AH16" s="107" t="e">
        <f t="shared" si="3"/>
        <v>#DIV/0!</v>
      </c>
      <c r="AI16" s="107" t="e">
        <f t="shared" si="3"/>
        <v>#DIV/0!</v>
      </c>
      <c r="AJ16" s="107" t="e">
        <f t="shared" si="3"/>
        <v>#DIV/0!</v>
      </c>
      <c r="AK16" s="107" t="e">
        <f t="shared" si="3"/>
        <v>#DIV/0!</v>
      </c>
      <c r="AL16" s="107" t="e">
        <f t="shared" si="3"/>
        <v>#DIV/0!</v>
      </c>
      <c r="AM16" s="107" t="e">
        <f t="shared" si="3"/>
        <v>#DIV/0!</v>
      </c>
      <c r="AN16" s="108" t="e">
        <f>AN15*100/AN10</f>
        <v>#DIV/0!</v>
      </c>
      <c r="AO16" s="2"/>
      <c r="AP16" s="2"/>
      <c r="AQ16" s="2"/>
      <c r="AR16" s="2"/>
      <c r="AS16" s="2"/>
      <c r="AT16" s="2"/>
    </row>
    <row r="17" spans="1:46" s="92" customFormat="1" ht="30.75" customHeight="1" thickBot="1" x14ac:dyDescent="0.25">
      <c r="A17" s="109"/>
      <c r="B17" s="110"/>
      <c r="C17" s="110"/>
      <c r="D17" s="110"/>
      <c r="E17" s="110"/>
      <c r="F17" s="110"/>
      <c r="G17" s="110"/>
      <c r="H17" s="110"/>
      <c r="I17" s="111"/>
      <c r="J17" s="112"/>
      <c r="K17" s="112"/>
      <c r="L17" s="111"/>
      <c r="M17" s="112"/>
      <c r="N17" s="112"/>
      <c r="O17" s="111"/>
      <c r="P17" s="112"/>
      <c r="Q17" s="111"/>
      <c r="R17" s="111"/>
      <c r="S17" s="112"/>
      <c r="T17" s="112"/>
      <c r="U17" s="111"/>
      <c r="V17" s="112"/>
      <c r="W17" s="111"/>
      <c r="X17" s="111"/>
      <c r="Y17" s="111"/>
      <c r="Z17" s="111"/>
      <c r="AA17" s="112"/>
      <c r="AB17" s="112"/>
      <c r="AC17" s="111"/>
      <c r="AD17" s="111"/>
      <c r="AE17" s="111"/>
      <c r="AF17" s="111"/>
      <c r="AG17" s="111"/>
      <c r="AH17" s="112"/>
      <c r="AI17" s="112"/>
      <c r="AJ17" s="112"/>
      <c r="AK17" s="112"/>
      <c r="AL17" s="112"/>
      <c r="AM17" s="112"/>
      <c r="AN17" s="111"/>
      <c r="AO17" s="2"/>
      <c r="AP17" s="2"/>
      <c r="AQ17" s="2"/>
      <c r="AR17" s="2"/>
      <c r="AS17" s="2"/>
      <c r="AT17" s="2"/>
    </row>
    <row r="18" spans="1:46" s="92" customFormat="1" ht="72" customHeight="1" x14ac:dyDescent="0.2">
      <c r="A18" s="395" t="s">
        <v>124</v>
      </c>
      <c r="B18" s="408" t="s">
        <v>11</v>
      </c>
      <c r="C18" s="409"/>
      <c r="D18" s="409"/>
      <c r="E18" s="409"/>
      <c r="F18" s="409"/>
      <c r="G18" s="409"/>
      <c r="H18" s="410"/>
      <c r="I18" s="113">
        <f>I12-I15</f>
        <v>0</v>
      </c>
      <c r="J18" s="114">
        <f>J12-J15</f>
        <v>0</v>
      </c>
      <c r="K18" s="114">
        <f t="shared" ref="K18:AM18" si="4">K12-K15</f>
        <v>0</v>
      </c>
      <c r="L18" s="114">
        <f t="shared" si="4"/>
        <v>0</v>
      </c>
      <c r="M18" s="114">
        <f t="shared" si="4"/>
        <v>0</v>
      </c>
      <c r="N18" s="114">
        <f t="shared" si="4"/>
        <v>0</v>
      </c>
      <c r="O18" s="114">
        <f t="shared" si="4"/>
        <v>0</v>
      </c>
      <c r="P18" s="114">
        <f t="shared" si="4"/>
        <v>0</v>
      </c>
      <c r="Q18" s="114">
        <f>Q12-Q15</f>
        <v>0</v>
      </c>
      <c r="R18" s="114">
        <f t="shared" si="4"/>
        <v>0</v>
      </c>
      <c r="S18" s="114">
        <f t="shared" si="4"/>
        <v>0</v>
      </c>
      <c r="T18" s="114">
        <f t="shared" si="4"/>
        <v>0</v>
      </c>
      <c r="U18" s="114">
        <f t="shared" si="4"/>
        <v>0</v>
      </c>
      <c r="V18" s="114">
        <f t="shared" si="4"/>
        <v>0</v>
      </c>
      <c r="W18" s="114">
        <f t="shared" si="4"/>
        <v>0</v>
      </c>
      <c r="X18" s="114">
        <f t="shared" si="4"/>
        <v>0</v>
      </c>
      <c r="Y18" s="114">
        <f t="shared" si="4"/>
        <v>0</v>
      </c>
      <c r="Z18" s="114">
        <f t="shared" si="4"/>
        <v>0</v>
      </c>
      <c r="AA18" s="114">
        <f t="shared" si="4"/>
        <v>0</v>
      </c>
      <c r="AB18" s="114">
        <f t="shared" si="4"/>
        <v>0</v>
      </c>
      <c r="AC18" s="114">
        <f t="shared" si="4"/>
        <v>0</v>
      </c>
      <c r="AD18" s="114">
        <f t="shared" si="4"/>
        <v>0</v>
      </c>
      <c r="AE18" s="114">
        <f t="shared" si="4"/>
        <v>0</v>
      </c>
      <c r="AF18" s="114">
        <f t="shared" si="4"/>
        <v>0</v>
      </c>
      <c r="AG18" s="114">
        <f t="shared" si="4"/>
        <v>0</v>
      </c>
      <c r="AH18" s="114">
        <f>AH12-AH15</f>
        <v>0</v>
      </c>
      <c r="AI18" s="114">
        <f t="shared" si="4"/>
        <v>0</v>
      </c>
      <c r="AJ18" s="114">
        <f t="shared" si="4"/>
        <v>0</v>
      </c>
      <c r="AK18" s="114">
        <f t="shared" si="4"/>
        <v>0</v>
      </c>
      <c r="AL18" s="114">
        <f t="shared" si="4"/>
        <v>0</v>
      </c>
      <c r="AM18" s="114">
        <f t="shared" si="4"/>
        <v>0</v>
      </c>
      <c r="AN18" s="115">
        <f>AN12-AN15</f>
        <v>0</v>
      </c>
      <c r="AO18" s="2"/>
      <c r="AP18" s="2"/>
      <c r="AQ18" s="2"/>
      <c r="AR18" s="2"/>
      <c r="AS18" s="2"/>
      <c r="AT18" s="2"/>
    </row>
    <row r="19" spans="1:46" s="92" customFormat="1" ht="72" customHeight="1" thickBot="1" x14ac:dyDescent="0.25">
      <c r="A19" s="396"/>
      <c r="B19" s="411" t="s">
        <v>98</v>
      </c>
      <c r="C19" s="412"/>
      <c r="D19" s="412"/>
      <c r="E19" s="412"/>
      <c r="F19" s="412"/>
      <c r="G19" s="412"/>
      <c r="H19" s="413"/>
      <c r="I19" s="116">
        <f t="shared" ref="I19:AK19" si="5">SUM(I11+I15)</f>
        <v>0</v>
      </c>
      <c r="J19" s="117">
        <f t="shared" si="5"/>
        <v>0</v>
      </c>
      <c r="K19" s="117">
        <f t="shared" si="5"/>
        <v>0</v>
      </c>
      <c r="L19" s="117">
        <f t="shared" si="5"/>
        <v>0</v>
      </c>
      <c r="M19" s="117">
        <f t="shared" si="5"/>
        <v>0</v>
      </c>
      <c r="N19" s="117">
        <f t="shared" si="5"/>
        <v>0</v>
      </c>
      <c r="O19" s="117">
        <f t="shared" si="5"/>
        <v>0</v>
      </c>
      <c r="P19" s="117">
        <f t="shared" si="5"/>
        <v>0</v>
      </c>
      <c r="Q19" s="117">
        <f>SUM(Q11+Q15)</f>
        <v>0</v>
      </c>
      <c r="R19" s="117">
        <f t="shared" si="5"/>
        <v>0</v>
      </c>
      <c r="S19" s="117">
        <f t="shared" si="5"/>
        <v>0</v>
      </c>
      <c r="T19" s="117">
        <f t="shared" si="5"/>
        <v>0</v>
      </c>
      <c r="U19" s="117">
        <f t="shared" si="5"/>
        <v>0</v>
      </c>
      <c r="V19" s="117">
        <f t="shared" si="5"/>
        <v>0</v>
      </c>
      <c r="W19" s="117">
        <f t="shared" si="5"/>
        <v>0</v>
      </c>
      <c r="X19" s="117">
        <f t="shared" si="5"/>
        <v>0</v>
      </c>
      <c r="Y19" s="117">
        <f t="shared" si="5"/>
        <v>0</v>
      </c>
      <c r="Z19" s="117">
        <f t="shared" si="5"/>
        <v>0</v>
      </c>
      <c r="AA19" s="117">
        <f t="shared" si="5"/>
        <v>0</v>
      </c>
      <c r="AB19" s="117">
        <f t="shared" si="5"/>
        <v>0</v>
      </c>
      <c r="AC19" s="117">
        <f t="shared" si="5"/>
        <v>0</v>
      </c>
      <c r="AD19" s="117">
        <f t="shared" si="5"/>
        <v>0</v>
      </c>
      <c r="AE19" s="117">
        <f t="shared" si="5"/>
        <v>0</v>
      </c>
      <c r="AF19" s="117">
        <f t="shared" si="5"/>
        <v>0</v>
      </c>
      <c r="AG19" s="117">
        <f t="shared" si="5"/>
        <v>0</v>
      </c>
      <c r="AH19" s="117">
        <f t="shared" si="5"/>
        <v>0</v>
      </c>
      <c r="AI19" s="117">
        <f t="shared" si="5"/>
        <v>0</v>
      </c>
      <c r="AJ19" s="117">
        <f t="shared" si="5"/>
        <v>0</v>
      </c>
      <c r="AK19" s="117">
        <f t="shared" si="5"/>
        <v>0</v>
      </c>
      <c r="AL19" s="117">
        <f>SUM(AL11+AL15)</f>
        <v>0</v>
      </c>
      <c r="AM19" s="117">
        <f>SUM(AM11+AM15)</f>
        <v>0</v>
      </c>
      <c r="AN19" s="118">
        <f>SUM(I19:AM19)</f>
        <v>0</v>
      </c>
      <c r="AO19" s="2"/>
      <c r="AP19" s="2"/>
      <c r="AQ19" s="2"/>
      <c r="AR19" s="2"/>
      <c r="AS19" s="2"/>
      <c r="AT19" s="2"/>
    </row>
    <row r="20" spans="1:46" ht="12.75" customHeight="1" x14ac:dyDescent="0.2">
      <c r="B20" s="86"/>
      <c r="C20" s="86"/>
      <c r="D20" s="1"/>
      <c r="E20" s="1"/>
      <c r="F20" s="1"/>
      <c r="G20" s="1"/>
      <c r="H20" s="1"/>
      <c r="I20" s="1"/>
      <c r="J20" s="1"/>
      <c r="K20" s="1"/>
      <c r="L20" s="1"/>
      <c r="M20" s="1"/>
      <c r="N20" s="1"/>
      <c r="O20" s="1"/>
      <c r="P20" s="1"/>
      <c r="Q20" s="1"/>
      <c r="R20" s="1"/>
      <c r="S20" s="1"/>
      <c r="T20" s="1"/>
      <c r="U20" s="1"/>
      <c r="V20" s="1"/>
      <c r="W20" s="1"/>
      <c r="X20" s="1"/>
      <c r="Y20" s="1"/>
      <c r="Z20" s="1"/>
      <c r="AA20" s="1"/>
      <c r="AB20" s="86"/>
      <c r="AC20" s="86"/>
      <c r="AD20" s="86"/>
      <c r="AE20" s="86"/>
      <c r="AF20" s="86"/>
      <c r="AG20" s="86"/>
      <c r="AH20" s="86"/>
      <c r="AI20" s="86"/>
      <c r="AJ20" s="86"/>
      <c r="AK20" s="86"/>
      <c r="AL20" s="86"/>
      <c r="AM20" s="86"/>
      <c r="AN20" s="86"/>
      <c r="AO20" s="86"/>
      <c r="AP20" s="86"/>
      <c r="AQ20" s="86"/>
      <c r="AR20" s="86"/>
      <c r="AS20" s="86"/>
      <c r="AT20" s="86"/>
    </row>
    <row r="21" spans="1:46" x14ac:dyDescent="0.2">
      <c r="B21" s="86"/>
      <c r="C21" s="86"/>
      <c r="D21" s="86"/>
      <c r="E21" s="86"/>
      <c r="F21" s="86"/>
      <c r="G21" s="86"/>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row>
    <row r="22" spans="1:46" x14ac:dyDescent="0.2">
      <c r="B22" s="86"/>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row>
    <row r="23" spans="1:46" x14ac:dyDescent="0.2">
      <c r="B23" s="86"/>
      <c r="C23" s="86"/>
      <c r="D23" s="86"/>
      <c r="E23" s="86"/>
      <c r="F23" s="86"/>
      <c r="G23" s="86"/>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row>
    <row r="24" spans="1:46" x14ac:dyDescent="0.2">
      <c r="B24" s="86"/>
      <c r="C24" s="86"/>
      <c r="D24" s="86"/>
      <c r="E24" s="86"/>
      <c r="F24" s="86"/>
      <c r="G24" s="86"/>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row>
    <row r="25" spans="1:46" x14ac:dyDescent="0.2">
      <c r="B25" s="86"/>
      <c r="C25" s="86"/>
      <c r="D25" s="86"/>
      <c r="E25" s="86"/>
      <c r="F25" s="86"/>
      <c r="G25" s="86"/>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row>
    <row r="26" spans="1:46" x14ac:dyDescent="0.2">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row>
    <row r="27" spans="1:46" x14ac:dyDescent="0.2">
      <c r="B27" s="86"/>
      <c r="C27" s="86"/>
      <c r="D27" s="86"/>
      <c r="E27" s="86"/>
      <c r="F27" s="86"/>
      <c r="G27" s="86"/>
      <c r="H27" s="86"/>
      <c r="I27" s="86"/>
      <c r="J27" s="86"/>
      <c r="K27" s="86"/>
      <c r="L27" s="86"/>
      <c r="M27" s="86"/>
      <c r="N27" s="86"/>
      <c r="O27" s="86"/>
      <c r="P27" s="86"/>
      <c r="Q27" s="86"/>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row>
    <row r="28" spans="1:46" x14ac:dyDescent="0.2">
      <c r="B28" s="86"/>
      <c r="C28" s="86"/>
      <c r="D28" s="86"/>
      <c r="E28" s="86"/>
      <c r="F28" s="86"/>
      <c r="G28" s="86"/>
      <c r="H28" s="86"/>
      <c r="I28" s="86"/>
      <c r="J28" s="86"/>
      <c r="K28" s="86"/>
      <c r="L28" s="86"/>
      <c r="M28" s="86"/>
      <c r="N28" s="86"/>
      <c r="O28" s="86"/>
      <c r="P28" s="86"/>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row>
    <row r="29" spans="1:46" x14ac:dyDescent="0.2">
      <c r="B29" s="86"/>
      <c r="C29" s="86"/>
      <c r="D29" s="86"/>
      <c r="E29" s="86"/>
      <c r="F29" s="86"/>
      <c r="G29" s="86"/>
      <c r="H29" s="86"/>
      <c r="I29" s="86"/>
      <c r="J29" s="86"/>
      <c r="K29" s="86"/>
      <c r="L29" s="86"/>
      <c r="M29" s="86"/>
      <c r="N29" s="86"/>
      <c r="O29" s="86"/>
      <c r="P29" s="86"/>
      <c r="Q29" s="86"/>
      <c r="R29" s="86"/>
      <c r="S29" s="86"/>
      <c r="T29" s="86"/>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row>
    <row r="30" spans="1:46" x14ac:dyDescent="0.2">
      <c r="B30" s="86"/>
      <c r="C30" s="86"/>
      <c r="D30" s="86"/>
      <c r="E30" s="86"/>
      <c r="F30" s="86"/>
      <c r="G30" s="86"/>
      <c r="H30" s="86"/>
      <c r="I30" s="86"/>
      <c r="J30" s="86"/>
      <c r="K30" s="86"/>
      <c r="L30" s="86"/>
      <c r="M30" s="86"/>
      <c r="N30" s="86"/>
      <c r="O30" s="86"/>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row>
    <row r="31" spans="1:46" x14ac:dyDescent="0.2">
      <c r="B31" s="86"/>
      <c r="C31" s="86"/>
      <c r="D31" s="86"/>
      <c r="E31" s="86"/>
      <c r="F31" s="86"/>
      <c r="G31" s="86"/>
      <c r="H31" s="86"/>
      <c r="I31" s="86"/>
      <c r="J31" s="86"/>
      <c r="K31" s="86"/>
      <c r="L31" s="86"/>
      <c r="M31" s="86"/>
      <c r="N31" s="86"/>
      <c r="O31" s="86"/>
      <c r="P31" s="86"/>
      <c r="Q31" s="86"/>
      <c r="R31" s="86"/>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row>
    <row r="32" spans="1:46" x14ac:dyDescent="0.2">
      <c r="B32" s="86"/>
      <c r="C32" s="86"/>
      <c r="D32" s="86"/>
      <c r="E32" s="86"/>
      <c r="F32" s="86"/>
      <c r="G32" s="86"/>
      <c r="H32" s="86"/>
      <c r="I32" s="86"/>
      <c r="J32" s="86"/>
      <c r="K32" s="86"/>
      <c r="L32" s="86"/>
      <c r="M32" s="86"/>
      <c r="N32" s="86"/>
      <c r="O32" s="86"/>
      <c r="P32" s="86"/>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row>
    <row r="33" spans="2:46" x14ac:dyDescent="0.2">
      <c r="B33" s="86"/>
      <c r="C33" s="86"/>
      <c r="D33" s="86"/>
      <c r="E33" s="86"/>
      <c r="F33" s="86"/>
      <c r="G33" s="86"/>
      <c r="H33" s="86"/>
      <c r="I33" s="86"/>
      <c r="J33" s="86"/>
      <c r="K33" s="86"/>
      <c r="L33" s="86"/>
      <c r="M33" s="86"/>
      <c r="N33" s="86"/>
      <c r="O33" s="86"/>
      <c r="P33" s="86"/>
      <c r="Q33" s="86"/>
      <c r="R33" s="86"/>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row>
    <row r="34" spans="2:46" x14ac:dyDescent="0.2">
      <c r="B34" s="86"/>
      <c r="C34" s="86"/>
      <c r="D34" s="86"/>
      <c r="E34" s="86"/>
      <c r="F34" s="86"/>
      <c r="G34" s="86"/>
      <c r="H34" s="86"/>
      <c r="I34" s="86"/>
      <c r="J34" s="86"/>
      <c r="K34" s="86"/>
      <c r="L34" s="86"/>
      <c r="M34" s="86"/>
      <c r="N34" s="86"/>
      <c r="O34" s="86"/>
      <c r="P34" s="86"/>
      <c r="Q34" s="86"/>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row>
    <row r="35" spans="2:46" x14ac:dyDescent="0.2">
      <c r="B35" s="86"/>
      <c r="C35" s="86"/>
      <c r="D35" s="86"/>
      <c r="E35" s="86"/>
      <c r="F35" s="86"/>
      <c r="G35" s="86"/>
      <c r="H35" s="86"/>
      <c r="I35" s="86"/>
      <c r="J35" s="86"/>
      <c r="K35" s="86"/>
      <c r="L35" s="86"/>
      <c r="M35" s="86"/>
      <c r="N35" s="86"/>
      <c r="O35" s="86"/>
      <c r="P35" s="86"/>
      <c r="Q35" s="86"/>
      <c r="R35" s="86"/>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row>
    <row r="36" spans="2:46" x14ac:dyDescent="0.2">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row>
    <row r="37" spans="2:46" x14ac:dyDescent="0.2">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row>
    <row r="38" spans="2:46" x14ac:dyDescent="0.2">
      <c r="B38" s="86"/>
      <c r="C38" s="86"/>
      <c r="D38" s="86"/>
      <c r="E38" s="86"/>
      <c r="F38" s="86"/>
      <c r="G38" s="86"/>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row>
    <row r="39" spans="2:46" x14ac:dyDescent="0.2">
      <c r="B39" s="86"/>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row>
    <row r="40" spans="2:46" x14ac:dyDescent="0.2">
      <c r="B40" s="86"/>
      <c r="C40" s="86"/>
      <c r="D40" s="86"/>
      <c r="E40" s="86"/>
      <c r="F40" s="86"/>
      <c r="G40" s="86"/>
      <c r="H40" s="86"/>
      <c r="I40" s="86"/>
      <c r="J40" s="86"/>
      <c r="K40" s="86"/>
      <c r="L40" s="86"/>
      <c r="M40" s="86"/>
      <c r="N40" s="86"/>
      <c r="O40" s="86"/>
      <c r="P40" s="86"/>
      <c r="Q40" s="86"/>
      <c r="R40" s="86"/>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row>
    <row r="41" spans="2:46" x14ac:dyDescent="0.2">
      <c r="B41" s="86"/>
      <c r="C41" s="86"/>
      <c r="D41" s="86"/>
      <c r="E41" s="86"/>
      <c r="F41" s="86"/>
      <c r="G41" s="86"/>
      <c r="H41" s="86"/>
      <c r="I41" s="86"/>
      <c r="J41" s="86"/>
      <c r="K41" s="86"/>
      <c r="L41" s="86"/>
      <c r="M41" s="86"/>
      <c r="N41" s="86"/>
      <c r="O41" s="86"/>
      <c r="P41" s="86"/>
      <c r="Q41" s="86"/>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row>
    <row r="42" spans="2:46" x14ac:dyDescent="0.2">
      <c r="B42" s="86"/>
      <c r="C42" s="86"/>
      <c r="D42" s="86"/>
      <c r="E42" s="86"/>
      <c r="F42" s="86"/>
      <c r="G42" s="86"/>
      <c r="H42" s="86"/>
      <c r="I42" s="86"/>
      <c r="J42" s="86"/>
      <c r="K42" s="86"/>
      <c r="L42" s="86"/>
      <c r="M42" s="86"/>
      <c r="N42" s="86"/>
      <c r="O42" s="86"/>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row>
    <row r="43" spans="2:46" x14ac:dyDescent="0.2">
      <c r="B43" s="86"/>
      <c r="C43" s="86"/>
      <c r="D43" s="86"/>
      <c r="E43" s="86"/>
      <c r="F43" s="86"/>
      <c r="G43" s="86"/>
      <c r="H43" s="86"/>
      <c r="I43" s="86"/>
      <c r="J43" s="86"/>
      <c r="K43" s="86"/>
      <c r="L43" s="86"/>
      <c r="M43" s="86"/>
      <c r="N43" s="86"/>
      <c r="O43" s="86"/>
      <c r="P43" s="86"/>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row>
    <row r="44" spans="2:46" x14ac:dyDescent="0.2">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row>
    <row r="45" spans="2:46" x14ac:dyDescent="0.2">
      <c r="B45" s="86"/>
      <c r="C45" s="86"/>
      <c r="D45" s="86"/>
      <c r="E45" s="86"/>
      <c r="F45" s="86"/>
      <c r="G45" s="86"/>
      <c r="H45" s="86"/>
      <c r="I45" s="86"/>
      <c r="J45" s="86"/>
      <c r="K45" s="86"/>
      <c r="L45" s="86"/>
      <c r="M45" s="86"/>
      <c r="N45" s="86"/>
      <c r="O45" s="86"/>
      <c r="P45" s="86"/>
      <c r="Q45" s="86"/>
      <c r="R45" s="86"/>
      <c r="S45" s="8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row>
    <row r="46" spans="2:46" x14ac:dyDescent="0.2">
      <c r="B46" s="86"/>
      <c r="C46" s="86"/>
      <c r="D46" s="86"/>
      <c r="E46" s="86"/>
      <c r="F46" s="86"/>
      <c r="G46" s="86"/>
      <c r="H46" s="86"/>
      <c r="I46" s="86"/>
      <c r="J46" s="86"/>
      <c r="K46" s="86"/>
      <c r="L46" s="86"/>
      <c r="M46" s="86"/>
      <c r="N46" s="86"/>
      <c r="O46" s="86"/>
      <c r="P46" s="86"/>
      <c r="Q46" s="86"/>
      <c r="R46" s="86"/>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row>
  </sheetData>
  <sheetProtection selectLockedCells="1" selectUnlockedCells="1"/>
  <mergeCells count="24">
    <mergeCell ref="A15:A16"/>
    <mergeCell ref="B15:H15"/>
    <mergeCell ref="I9:AN9"/>
    <mergeCell ref="A10:A13"/>
    <mergeCell ref="B10:H10"/>
    <mergeCell ref="B11:H11"/>
    <mergeCell ref="B12:H12"/>
    <mergeCell ref="B13:H13"/>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J1" sqref="J1:K1"/>
    </sheetView>
  </sheetViews>
  <sheetFormatPr baseColWidth="10" defaultRowHeight="12.75" x14ac:dyDescent="0.2"/>
  <sheetData>
    <row r="1" spans="1:14" ht="76.5" customHeight="1" x14ac:dyDescent="0.2">
      <c r="A1" s="341"/>
      <c r="B1" s="341"/>
      <c r="C1" s="350" t="s">
        <v>90</v>
      </c>
      <c r="D1" s="350"/>
      <c r="E1" s="350"/>
      <c r="F1" s="350"/>
      <c r="G1" s="350"/>
      <c r="H1" s="350"/>
      <c r="I1" s="350"/>
      <c r="J1" s="225" t="s">
        <v>99</v>
      </c>
      <c r="K1" s="341"/>
    </row>
    <row r="2" spans="1:14" x14ac:dyDescent="0.2">
      <c r="A2" s="359"/>
      <c r="B2" s="361"/>
      <c r="C2" s="361"/>
      <c r="D2" s="361"/>
      <c r="E2" s="361"/>
      <c r="F2" s="361"/>
      <c r="G2" s="361"/>
      <c r="H2" s="361"/>
      <c r="I2" s="361"/>
      <c r="J2" s="361"/>
      <c r="K2" s="360"/>
    </row>
    <row r="3" spans="1:14" x14ac:dyDescent="0.2">
      <c r="A3" s="367"/>
      <c r="B3" s="368"/>
      <c r="C3" s="368"/>
      <c r="D3" s="368"/>
      <c r="E3" s="368"/>
      <c r="F3" s="368"/>
      <c r="G3" s="368"/>
      <c r="H3" s="368"/>
      <c r="I3" s="368"/>
      <c r="J3" s="368"/>
      <c r="K3" s="430"/>
    </row>
    <row r="4" spans="1:14" x14ac:dyDescent="0.2">
      <c r="A4" s="367"/>
      <c r="B4" s="368"/>
      <c r="C4" s="368"/>
      <c r="D4" s="368"/>
      <c r="E4" s="368"/>
      <c r="F4" s="368"/>
      <c r="G4" s="368"/>
      <c r="H4" s="368"/>
      <c r="I4" s="368"/>
      <c r="J4" s="368"/>
      <c r="K4" s="430"/>
    </row>
    <row r="5" spans="1:14" x14ac:dyDescent="0.2">
      <c r="A5" s="367"/>
      <c r="B5" s="368"/>
      <c r="C5" s="368"/>
      <c r="D5" s="368"/>
      <c r="E5" s="368"/>
      <c r="F5" s="368"/>
      <c r="G5" s="368"/>
      <c r="H5" s="368"/>
      <c r="I5" s="368"/>
      <c r="J5" s="368"/>
      <c r="K5" s="430"/>
      <c r="N5" s="5"/>
    </row>
    <row r="6" spans="1:14" x14ac:dyDescent="0.2">
      <c r="A6" s="367"/>
      <c r="B6" s="368"/>
      <c r="C6" s="368"/>
      <c r="D6" s="368"/>
      <c r="E6" s="368"/>
      <c r="F6" s="368"/>
      <c r="G6" s="368"/>
      <c r="H6" s="368"/>
      <c r="I6" s="368"/>
      <c r="J6" s="368"/>
      <c r="K6" s="430"/>
    </row>
    <row r="7" spans="1:14" x14ac:dyDescent="0.2">
      <c r="A7" s="367"/>
      <c r="B7" s="368"/>
      <c r="C7" s="368"/>
      <c r="D7" s="368"/>
      <c r="E7" s="368"/>
      <c r="F7" s="368"/>
      <c r="G7" s="368"/>
      <c r="H7" s="368"/>
      <c r="I7" s="368"/>
      <c r="J7" s="368"/>
      <c r="K7" s="430"/>
    </row>
    <row r="8" spans="1:14" x14ac:dyDescent="0.2">
      <c r="A8" s="367"/>
      <c r="B8" s="368"/>
      <c r="C8" s="368"/>
      <c r="D8" s="368"/>
      <c r="E8" s="368"/>
      <c r="F8" s="368"/>
      <c r="G8" s="368"/>
      <c r="H8" s="368"/>
      <c r="I8" s="368"/>
      <c r="J8" s="368"/>
      <c r="K8" s="430"/>
    </row>
    <row r="9" spans="1:14" x14ac:dyDescent="0.2">
      <c r="A9" s="367"/>
      <c r="B9" s="368"/>
      <c r="C9" s="368"/>
      <c r="D9" s="368"/>
      <c r="E9" s="368"/>
      <c r="F9" s="368"/>
      <c r="G9" s="368"/>
      <c r="H9" s="368"/>
      <c r="I9" s="368"/>
      <c r="J9" s="368"/>
      <c r="K9" s="430"/>
    </row>
    <row r="10" spans="1:14" x14ac:dyDescent="0.2">
      <c r="A10" s="367"/>
      <c r="B10" s="368"/>
      <c r="C10" s="368"/>
      <c r="D10" s="368"/>
      <c r="E10" s="368"/>
      <c r="F10" s="368"/>
      <c r="G10" s="368"/>
      <c r="H10" s="368"/>
      <c r="I10" s="368"/>
      <c r="J10" s="368"/>
      <c r="K10" s="430"/>
    </row>
    <row r="11" spans="1:14" x14ac:dyDescent="0.2">
      <c r="A11" s="367"/>
      <c r="B11" s="368"/>
      <c r="C11" s="368"/>
      <c r="D11" s="368"/>
      <c r="E11" s="368"/>
      <c r="F11" s="368"/>
      <c r="G11" s="368"/>
      <c r="H11" s="368"/>
      <c r="I11" s="368"/>
      <c r="J11" s="368"/>
      <c r="K11" s="430"/>
    </row>
    <row r="12" spans="1:14" x14ac:dyDescent="0.2">
      <c r="A12" s="367"/>
      <c r="B12" s="368"/>
      <c r="C12" s="368"/>
      <c r="D12" s="368"/>
      <c r="E12" s="368"/>
      <c r="F12" s="368"/>
      <c r="G12" s="368"/>
      <c r="H12" s="368"/>
      <c r="I12" s="368"/>
      <c r="J12" s="368"/>
      <c r="K12" s="430"/>
    </row>
    <row r="13" spans="1:14" x14ac:dyDescent="0.2">
      <c r="A13" s="367"/>
      <c r="B13" s="368"/>
      <c r="C13" s="368"/>
      <c r="D13" s="368"/>
      <c r="E13" s="368"/>
      <c r="F13" s="368"/>
      <c r="G13" s="368"/>
      <c r="H13" s="368"/>
      <c r="I13" s="368"/>
      <c r="J13" s="368"/>
      <c r="K13" s="430"/>
    </row>
    <row r="14" spans="1:14" x14ac:dyDescent="0.2">
      <c r="A14" s="367"/>
      <c r="B14" s="368"/>
      <c r="C14" s="368"/>
      <c r="D14" s="368"/>
      <c r="E14" s="368"/>
      <c r="F14" s="368"/>
      <c r="G14" s="368"/>
      <c r="H14" s="368"/>
      <c r="I14" s="368"/>
      <c r="J14" s="368"/>
      <c r="K14" s="430"/>
    </row>
    <row r="15" spans="1:14" x14ac:dyDescent="0.2">
      <c r="A15" s="367"/>
      <c r="B15" s="368"/>
      <c r="C15" s="368"/>
      <c r="D15" s="368"/>
      <c r="E15" s="368"/>
      <c r="F15" s="368"/>
      <c r="G15" s="368"/>
      <c r="H15" s="368"/>
      <c r="I15" s="368"/>
      <c r="J15" s="368"/>
      <c r="K15" s="430"/>
    </row>
    <row r="16" spans="1:14" x14ac:dyDescent="0.2">
      <c r="A16" s="367"/>
      <c r="B16" s="368"/>
      <c r="C16" s="368"/>
      <c r="D16" s="368"/>
      <c r="E16" s="368"/>
      <c r="F16" s="368"/>
      <c r="G16" s="368"/>
      <c r="H16" s="368"/>
      <c r="I16" s="368"/>
      <c r="J16" s="368"/>
      <c r="K16" s="430"/>
    </row>
    <row r="17" spans="1:11" x14ac:dyDescent="0.2">
      <c r="A17" s="367"/>
      <c r="B17" s="368"/>
      <c r="C17" s="368"/>
      <c r="D17" s="368"/>
      <c r="E17" s="368"/>
      <c r="F17" s="368"/>
      <c r="G17" s="368"/>
      <c r="H17" s="368"/>
      <c r="I17" s="368"/>
      <c r="J17" s="368"/>
      <c r="K17" s="430"/>
    </row>
    <row r="18" spans="1:11" x14ac:dyDescent="0.2">
      <c r="A18" s="367"/>
      <c r="B18" s="368"/>
      <c r="C18" s="368"/>
      <c r="D18" s="368"/>
      <c r="E18" s="368"/>
      <c r="F18" s="368"/>
      <c r="G18" s="368"/>
      <c r="H18" s="368"/>
      <c r="I18" s="368"/>
      <c r="J18" s="368"/>
      <c r="K18" s="430"/>
    </row>
    <row r="19" spans="1:11" x14ac:dyDescent="0.2">
      <c r="A19" s="367"/>
      <c r="B19" s="368"/>
      <c r="C19" s="368"/>
      <c r="D19" s="368"/>
      <c r="E19" s="368"/>
      <c r="F19" s="368"/>
      <c r="G19" s="368"/>
      <c r="H19" s="368"/>
      <c r="I19" s="368"/>
      <c r="J19" s="368"/>
      <c r="K19" s="430"/>
    </row>
    <row r="20" spans="1:11" x14ac:dyDescent="0.2">
      <c r="A20" s="367"/>
      <c r="B20" s="368"/>
      <c r="C20" s="368"/>
      <c r="D20" s="368"/>
      <c r="E20" s="368"/>
      <c r="F20" s="368"/>
      <c r="G20" s="368"/>
      <c r="H20" s="368"/>
      <c r="I20" s="368"/>
      <c r="J20" s="368"/>
      <c r="K20" s="430"/>
    </row>
    <row r="21" spans="1:11" x14ac:dyDescent="0.2">
      <c r="A21" s="367"/>
      <c r="B21" s="368"/>
      <c r="C21" s="368"/>
      <c r="D21" s="368"/>
      <c r="E21" s="368"/>
      <c r="F21" s="368"/>
      <c r="G21" s="368"/>
      <c r="H21" s="368"/>
      <c r="I21" s="368"/>
      <c r="J21" s="368"/>
      <c r="K21" s="430"/>
    </row>
    <row r="22" spans="1:11" x14ac:dyDescent="0.2">
      <c r="A22" s="367"/>
      <c r="B22" s="368"/>
      <c r="C22" s="368"/>
      <c r="D22" s="368"/>
      <c r="E22" s="368"/>
      <c r="F22" s="368"/>
      <c r="G22" s="368"/>
      <c r="H22" s="368"/>
      <c r="I22" s="368"/>
      <c r="J22" s="368"/>
      <c r="K22" s="430"/>
    </row>
    <row r="23" spans="1:11" x14ac:dyDescent="0.2">
      <c r="A23" s="367"/>
      <c r="B23" s="368"/>
      <c r="C23" s="368"/>
      <c r="D23" s="368"/>
      <c r="E23" s="368"/>
      <c r="F23" s="368"/>
      <c r="G23" s="368"/>
      <c r="H23" s="368"/>
      <c r="I23" s="368"/>
      <c r="J23" s="368"/>
      <c r="K23" s="430"/>
    </row>
    <row r="24" spans="1:11" x14ac:dyDescent="0.2">
      <c r="A24" s="378"/>
      <c r="B24" s="379"/>
      <c r="C24" s="379"/>
      <c r="D24" s="379"/>
      <c r="E24" s="379"/>
      <c r="F24" s="379"/>
      <c r="G24" s="379"/>
      <c r="H24" s="379"/>
      <c r="I24" s="379"/>
      <c r="J24" s="379"/>
      <c r="K24" s="431"/>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0"/>
  <sheetViews>
    <sheetView workbookViewId="0">
      <selection activeCell="B12" sqref="B12"/>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s>
  <sheetData>
    <row r="1" spans="1:8" ht="67.5" customHeight="1" x14ac:dyDescent="0.2">
      <c r="A1" s="432"/>
      <c r="B1" s="433"/>
      <c r="C1" s="434" t="s">
        <v>132</v>
      </c>
      <c r="D1" s="435"/>
      <c r="E1" s="435"/>
      <c r="F1" s="436"/>
      <c r="G1" s="437" t="s">
        <v>133</v>
      </c>
      <c r="H1" s="438"/>
    </row>
    <row r="2" spans="1:8" ht="15" customHeight="1" x14ac:dyDescent="0.2">
      <c r="A2" s="119" t="s">
        <v>13</v>
      </c>
      <c r="B2" s="119" t="s">
        <v>134</v>
      </c>
      <c r="C2" s="119" t="s">
        <v>135</v>
      </c>
      <c r="D2" s="119" t="s">
        <v>136</v>
      </c>
      <c r="E2" s="120" t="s">
        <v>137</v>
      </c>
      <c r="F2" s="121" t="s">
        <v>138</v>
      </c>
      <c r="G2" s="122" t="s">
        <v>139</v>
      </c>
      <c r="H2" s="122" t="s">
        <v>140</v>
      </c>
    </row>
    <row r="3" spans="1:8" ht="15" customHeight="1" x14ac:dyDescent="0.2">
      <c r="A3" s="123"/>
      <c r="B3" s="124"/>
      <c r="C3" s="125"/>
      <c r="D3" s="126"/>
      <c r="E3" s="127">
        <f>SUM(E4:E160)</f>
        <v>0</v>
      </c>
      <c r="F3" s="128">
        <f>SUM(F4:F160)</f>
        <v>0</v>
      </c>
      <c r="G3" s="129">
        <f>SUM(G4:G160)</f>
        <v>0</v>
      </c>
      <c r="H3" s="129">
        <f>SUM(E3:G3)</f>
        <v>0</v>
      </c>
    </row>
    <row r="4" spans="1:8" ht="15" customHeight="1" x14ac:dyDescent="0.2">
      <c r="A4" s="130"/>
      <c r="B4" s="130"/>
      <c r="C4" s="130"/>
      <c r="D4" s="130"/>
      <c r="E4" s="131"/>
      <c r="F4" s="131"/>
      <c r="G4" s="131"/>
      <c r="H4" s="131"/>
    </row>
    <row r="5" spans="1:8" ht="15" customHeight="1" x14ac:dyDescent="0.2">
      <c r="A5" s="131"/>
      <c r="B5" s="131"/>
      <c r="C5" s="131"/>
      <c r="D5" s="131"/>
      <c r="E5" s="131"/>
      <c r="F5" s="131"/>
      <c r="G5" s="131"/>
      <c r="H5" s="131"/>
    </row>
    <row r="6" spans="1:8" ht="15" customHeight="1" x14ac:dyDescent="0.2">
      <c r="A6" s="131"/>
      <c r="B6" s="131"/>
      <c r="C6" s="131"/>
      <c r="D6" s="131"/>
      <c r="E6" s="131"/>
      <c r="F6" s="131"/>
      <c r="G6" s="131"/>
      <c r="H6" s="131"/>
    </row>
    <row r="7" spans="1:8" ht="15" customHeight="1" x14ac:dyDescent="0.2">
      <c r="A7" s="131"/>
      <c r="B7" s="131"/>
      <c r="C7" s="131"/>
      <c r="D7" s="131"/>
      <c r="E7" s="131"/>
      <c r="F7" s="131"/>
      <c r="G7" s="131"/>
      <c r="H7" s="131"/>
    </row>
    <row r="8" spans="1:8" ht="15" customHeight="1" x14ac:dyDescent="0.2">
      <c r="A8" s="131"/>
      <c r="B8" s="131"/>
      <c r="C8" s="131"/>
      <c r="D8" s="131"/>
      <c r="E8" s="131"/>
      <c r="F8" s="131"/>
      <c r="G8" s="131"/>
      <c r="H8" s="131"/>
    </row>
    <row r="9" spans="1:8" ht="15" customHeight="1" x14ac:dyDescent="0.2">
      <c r="A9" s="131"/>
      <c r="B9" s="131"/>
      <c r="C9" s="131"/>
      <c r="D9" s="131"/>
      <c r="E9" s="131"/>
      <c r="F9" s="131"/>
      <c r="G9" s="131"/>
      <c r="H9" s="131"/>
    </row>
    <row r="10" spans="1:8" ht="15" customHeight="1" x14ac:dyDescent="0.2">
      <c r="A10" s="131"/>
      <c r="B10" s="131"/>
      <c r="C10" s="131"/>
      <c r="D10" s="131"/>
      <c r="E10" s="131"/>
      <c r="F10" s="131"/>
      <c r="G10" s="131"/>
      <c r="H10" s="131"/>
    </row>
    <row r="11" spans="1:8" ht="15" customHeight="1" x14ac:dyDescent="0.2">
      <c r="A11" s="131"/>
      <c r="B11" s="131"/>
      <c r="C11" s="131"/>
      <c r="D11" s="131"/>
      <c r="E11" s="131"/>
      <c r="F11" s="131"/>
      <c r="G11" s="131"/>
      <c r="H11" s="131"/>
    </row>
    <row r="12" spans="1:8" ht="15" customHeight="1" x14ac:dyDescent="0.2">
      <c r="A12" s="131"/>
      <c r="B12" s="131"/>
      <c r="C12" s="131"/>
      <c r="D12" s="131"/>
      <c r="E12" s="131"/>
      <c r="F12" s="131"/>
      <c r="G12" s="131"/>
      <c r="H12" s="131"/>
    </row>
    <row r="13" spans="1:8" ht="15" customHeight="1" x14ac:dyDescent="0.2">
      <c r="A13" s="131"/>
      <c r="B13" s="131"/>
      <c r="C13" s="131"/>
      <c r="D13" s="131"/>
      <c r="E13" s="131"/>
      <c r="F13" s="131"/>
      <c r="G13" s="131"/>
      <c r="H13" s="131"/>
    </row>
    <row r="14" spans="1:8" ht="15" customHeight="1" x14ac:dyDescent="0.2">
      <c r="A14" s="131"/>
      <c r="B14" s="131"/>
      <c r="C14" s="131"/>
      <c r="D14" s="131"/>
      <c r="E14" s="131"/>
      <c r="F14" s="131"/>
      <c r="G14" s="131"/>
      <c r="H14" s="131"/>
    </row>
    <row r="15" spans="1:8" ht="15" customHeight="1" x14ac:dyDescent="0.2">
      <c r="A15" s="131"/>
      <c r="B15" s="131"/>
      <c r="C15" s="131"/>
      <c r="D15" s="131"/>
      <c r="E15" s="131"/>
      <c r="F15" s="131"/>
      <c r="G15" s="131"/>
      <c r="H15" s="131"/>
    </row>
    <row r="16" spans="1:8" ht="15" customHeight="1" x14ac:dyDescent="0.2">
      <c r="A16" s="131"/>
      <c r="B16" s="131"/>
      <c r="C16" s="131"/>
      <c r="D16" s="131"/>
      <c r="E16" s="131"/>
      <c r="F16" s="131"/>
      <c r="G16" s="131"/>
      <c r="H16" s="131"/>
    </row>
    <row r="17" spans="1:8" ht="15" customHeight="1" x14ac:dyDescent="0.2">
      <c r="A17" s="131"/>
      <c r="B17" s="131"/>
      <c r="C17" s="131"/>
      <c r="D17" s="131"/>
      <c r="E17" s="131"/>
      <c r="F17" s="131"/>
      <c r="G17" s="131"/>
      <c r="H17" s="131"/>
    </row>
    <row r="18" spans="1:8" ht="15" customHeight="1" x14ac:dyDescent="0.2">
      <c r="A18" s="131"/>
      <c r="B18" s="131"/>
      <c r="C18" s="131"/>
      <c r="D18" s="131"/>
      <c r="E18" s="131"/>
      <c r="F18" s="131"/>
      <c r="G18" s="131"/>
      <c r="H18" s="131"/>
    </row>
    <row r="19" spans="1:8" ht="15" customHeight="1" x14ac:dyDescent="0.2">
      <c r="A19" s="131"/>
      <c r="B19" s="131"/>
      <c r="C19" s="131"/>
      <c r="D19" s="131"/>
      <c r="E19" s="131"/>
      <c r="F19" s="131"/>
      <c r="G19" s="131"/>
      <c r="H19" s="131"/>
    </row>
    <row r="20" spans="1:8" ht="15" customHeight="1" x14ac:dyDescent="0.2">
      <c r="A20" s="131"/>
      <c r="B20" s="131"/>
      <c r="C20" s="131"/>
      <c r="D20" s="131"/>
      <c r="E20" s="131"/>
      <c r="F20" s="131"/>
      <c r="G20" s="131"/>
      <c r="H20" s="131"/>
    </row>
    <row r="21" spans="1:8" ht="15" customHeight="1" x14ac:dyDescent="0.2">
      <c r="A21" s="131"/>
      <c r="B21" s="131"/>
      <c r="C21" s="131"/>
      <c r="D21" s="131"/>
      <c r="E21" s="131"/>
      <c r="F21" s="131"/>
      <c r="G21" s="131"/>
      <c r="H21" s="131"/>
    </row>
    <row r="22" spans="1:8" ht="15" customHeight="1" x14ac:dyDescent="0.2">
      <c r="A22" s="131"/>
      <c r="B22" s="131"/>
      <c r="C22" s="131"/>
      <c r="D22" s="131"/>
      <c r="E22" s="131"/>
      <c r="F22" s="131"/>
      <c r="G22" s="131"/>
      <c r="H22" s="131"/>
    </row>
    <row r="23" spans="1:8" ht="15" customHeight="1" x14ac:dyDescent="0.2">
      <c r="A23" s="131"/>
      <c r="B23" s="131"/>
      <c r="C23" s="131"/>
      <c r="D23" s="131"/>
      <c r="E23" s="131"/>
      <c r="F23" s="131"/>
      <c r="G23" s="131"/>
      <c r="H23" s="131"/>
    </row>
    <row r="24" spans="1:8" ht="15" customHeight="1" x14ac:dyDescent="0.2">
      <c r="A24" s="131"/>
      <c r="B24" s="131"/>
      <c r="C24" s="131"/>
      <c r="D24" s="131"/>
      <c r="E24" s="131"/>
      <c r="F24" s="131"/>
      <c r="G24" s="131"/>
      <c r="H24" s="131"/>
    </row>
    <row r="25" spans="1:8" ht="15" customHeight="1" x14ac:dyDescent="0.2">
      <c r="A25" s="131"/>
      <c r="B25" s="131"/>
      <c r="C25" s="131"/>
      <c r="D25" s="131"/>
      <c r="E25" s="131"/>
      <c r="F25" s="131"/>
      <c r="G25" s="131"/>
      <c r="H25" s="131"/>
    </row>
    <row r="26" spans="1:8" ht="15" customHeight="1" x14ac:dyDescent="0.2">
      <c r="A26" s="131"/>
      <c r="B26" s="131"/>
      <c r="C26" s="131"/>
      <c r="D26" s="131"/>
      <c r="E26" s="131"/>
      <c r="F26" s="131"/>
      <c r="G26" s="131"/>
      <c r="H26" s="131"/>
    </row>
    <row r="27" spans="1:8" ht="15" customHeight="1" x14ac:dyDescent="0.2">
      <c r="A27" s="131"/>
      <c r="B27" s="131"/>
      <c r="C27" s="131"/>
      <c r="D27" s="131"/>
      <c r="E27" s="131"/>
      <c r="F27" s="131"/>
      <c r="G27" s="131"/>
      <c r="H27" s="131"/>
    </row>
    <row r="28" spans="1:8" ht="15" customHeight="1" x14ac:dyDescent="0.2">
      <c r="A28" s="131"/>
      <c r="B28" s="131"/>
      <c r="C28" s="131"/>
      <c r="D28" s="131"/>
      <c r="E28" s="131"/>
      <c r="F28" s="131"/>
      <c r="G28" s="131"/>
      <c r="H28" s="131"/>
    </row>
    <row r="29" spans="1:8" ht="15" customHeight="1" x14ac:dyDescent="0.2">
      <c r="A29" s="131"/>
      <c r="B29" s="131"/>
      <c r="C29" s="131"/>
      <c r="D29" s="131"/>
      <c r="E29" s="131"/>
      <c r="F29" s="131"/>
      <c r="G29" s="131"/>
      <c r="H29" s="131"/>
    </row>
    <row r="30" spans="1:8" ht="15" customHeight="1" x14ac:dyDescent="0.2">
      <c r="A30" s="131"/>
      <c r="B30" s="131"/>
      <c r="C30" s="131"/>
      <c r="D30" s="131"/>
      <c r="E30" s="131"/>
      <c r="F30" s="131"/>
      <c r="G30" s="131"/>
      <c r="H30" s="131"/>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H17"/>
  <sheetViews>
    <sheetView showGridLines="0" zoomScaleNormal="100" workbookViewId="0">
      <selection activeCell="F5" sqref="F5"/>
    </sheetView>
  </sheetViews>
  <sheetFormatPr baseColWidth="10" defaultRowHeight="12.75" x14ac:dyDescent="0.2"/>
  <cols>
    <col min="2" max="2" width="7.28515625" customWidth="1"/>
    <col min="3" max="33" width="4" customWidth="1"/>
    <col min="34" max="34" width="5" customWidth="1"/>
  </cols>
  <sheetData>
    <row r="1" spans="1:34" ht="60.75" customHeight="1" x14ac:dyDescent="0.2">
      <c r="A1" s="441"/>
      <c r="B1" s="442"/>
      <c r="C1" s="443"/>
      <c r="D1" s="434" t="s">
        <v>91</v>
      </c>
      <c r="E1" s="435"/>
      <c r="F1" s="435"/>
      <c r="G1" s="435"/>
      <c r="H1" s="435"/>
      <c r="I1" s="435"/>
      <c r="J1" s="435"/>
      <c r="K1" s="435"/>
      <c r="L1" s="435"/>
      <c r="M1" s="435"/>
      <c r="N1" s="435"/>
      <c r="O1" s="435"/>
      <c r="P1" s="435"/>
      <c r="Q1" s="435"/>
      <c r="R1" s="435"/>
      <c r="S1" s="435"/>
      <c r="T1" s="435"/>
      <c r="U1" s="435"/>
      <c r="V1" s="435"/>
      <c r="W1" s="435"/>
      <c r="X1" s="435"/>
      <c r="Y1" s="435"/>
      <c r="Z1" s="435"/>
      <c r="AA1" s="435"/>
      <c r="AB1" s="435"/>
      <c r="AC1" s="436"/>
      <c r="AD1" s="444" t="s">
        <v>126</v>
      </c>
      <c r="AE1" s="445"/>
      <c r="AF1" s="445"/>
      <c r="AG1" s="445"/>
      <c r="AH1" s="446"/>
    </row>
    <row r="2" spans="1:34" ht="45.75" customHeight="1" x14ac:dyDescent="0.2">
      <c r="A2" s="447" t="s">
        <v>92</v>
      </c>
      <c r="B2" s="448"/>
      <c r="C2" s="71">
        <v>41791</v>
      </c>
      <c r="D2" s="70">
        <v>41792</v>
      </c>
      <c r="E2" s="70">
        <v>41793</v>
      </c>
      <c r="F2" s="70">
        <v>41794</v>
      </c>
      <c r="G2" s="70">
        <v>41795</v>
      </c>
      <c r="H2" s="70">
        <v>41796</v>
      </c>
      <c r="I2" s="71">
        <v>41797</v>
      </c>
      <c r="J2" s="71">
        <v>41798</v>
      </c>
      <c r="K2" s="70">
        <v>41799</v>
      </c>
      <c r="L2" s="70">
        <v>41800</v>
      </c>
      <c r="M2" s="70">
        <v>41801</v>
      </c>
      <c r="N2" s="70">
        <v>41802</v>
      </c>
      <c r="O2" s="70">
        <v>41803</v>
      </c>
      <c r="P2" s="71">
        <v>41804</v>
      </c>
      <c r="Q2" s="71">
        <v>41805</v>
      </c>
      <c r="R2" s="70">
        <v>41806</v>
      </c>
      <c r="S2" s="70">
        <v>41807</v>
      </c>
      <c r="T2" s="70">
        <v>41808</v>
      </c>
      <c r="U2" s="70">
        <v>41809</v>
      </c>
      <c r="V2" s="70">
        <v>41810</v>
      </c>
      <c r="W2" s="71">
        <v>41811</v>
      </c>
      <c r="X2" s="71">
        <v>41812</v>
      </c>
      <c r="Y2" s="70">
        <v>41813</v>
      </c>
      <c r="Z2" s="70">
        <v>41814</v>
      </c>
      <c r="AA2" s="70">
        <v>41815</v>
      </c>
      <c r="AB2" s="70">
        <v>41816</v>
      </c>
      <c r="AC2" s="70">
        <v>41817</v>
      </c>
      <c r="AD2" s="71">
        <v>41818</v>
      </c>
      <c r="AE2" s="71">
        <v>41819</v>
      </c>
      <c r="AF2" s="70">
        <v>41820</v>
      </c>
      <c r="AG2" s="70">
        <v>41821</v>
      </c>
      <c r="AH2" s="72" t="s">
        <v>0</v>
      </c>
    </row>
    <row r="3" spans="1:34" ht="23.25" customHeight="1" x14ac:dyDescent="0.2">
      <c r="A3" s="449" t="s">
        <v>4</v>
      </c>
      <c r="B3" s="449"/>
      <c r="C3" s="39" t="s">
        <v>1</v>
      </c>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3">
        <f t="shared" ref="AH3:AH12" si="0">SUM(C3:AG3)</f>
        <v>0</v>
      </c>
    </row>
    <row r="4" spans="1:34" ht="23.25" customHeight="1" x14ac:dyDescent="0.2">
      <c r="A4" s="439" t="s">
        <v>141</v>
      </c>
      <c r="B4" s="440"/>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3">
        <f>SUM(C4:AG4)</f>
        <v>0</v>
      </c>
    </row>
    <row r="5" spans="1:34" ht="23.25" customHeight="1" x14ac:dyDescent="0.2">
      <c r="A5" s="439" t="s">
        <v>142</v>
      </c>
      <c r="B5" s="440"/>
      <c r="C5" s="39" t="s">
        <v>1</v>
      </c>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3">
        <f>SUM(C5:AG5)</f>
        <v>0</v>
      </c>
    </row>
    <row r="6" spans="1:34" ht="23.25" customHeight="1" x14ac:dyDescent="0.2">
      <c r="A6" s="439" t="s">
        <v>143</v>
      </c>
      <c r="B6" s="440"/>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3">
        <f t="shared" si="0"/>
        <v>0</v>
      </c>
    </row>
    <row r="7" spans="1:34" ht="23.25" customHeight="1" x14ac:dyDescent="0.2">
      <c r="A7" s="449" t="s">
        <v>3</v>
      </c>
      <c r="B7" s="449"/>
      <c r="C7" s="39" t="s">
        <v>1</v>
      </c>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3">
        <f t="shared" si="0"/>
        <v>0</v>
      </c>
    </row>
    <row r="8" spans="1:34" ht="23.25" customHeight="1" x14ac:dyDescent="0.2">
      <c r="A8" s="449" t="s">
        <v>127</v>
      </c>
      <c r="B8" s="449"/>
      <c r="C8" s="39" t="s">
        <v>1</v>
      </c>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2">
        <f t="shared" si="0"/>
        <v>0</v>
      </c>
    </row>
    <row r="9" spans="1:34" ht="23.25" customHeight="1" x14ac:dyDescent="0.2">
      <c r="A9" s="449" t="s">
        <v>128</v>
      </c>
      <c r="B9" s="449"/>
      <c r="C9" s="39" t="s">
        <v>1</v>
      </c>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2">
        <f>SUM(C9:AG9)</f>
        <v>0</v>
      </c>
    </row>
    <row r="10" spans="1:34" ht="23.25" customHeight="1" x14ac:dyDescent="0.2">
      <c r="A10" s="449" t="s">
        <v>129</v>
      </c>
      <c r="B10" s="449"/>
      <c r="C10" s="39" t="s">
        <v>1</v>
      </c>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2">
        <f t="shared" si="0"/>
        <v>0</v>
      </c>
    </row>
    <row r="11" spans="1:34" ht="23.25" customHeight="1" x14ac:dyDescent="0.2">
      <c r="A11" s="449" t="s">
        <v>130</v>
      </c>
      <c r="B11" s="449"/>
      <c r="C11" s="40"/>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73">
        <v>0</v>
      </c>
    </row>
    <row r="12" spans="1:34" ht="23.25" customHeight="1" x14ac:dyDescent="0.2">
      <c r="A12" s="439" t="s">
        <v>131</v>
      </c>
      <c r="B12" s="440"/>
      <c r="C12" s="40"/>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73">
        <f t="shared" si="0"/>
        <v>0</v>
      </c>
    </row>
    <row r="13" spans="1:34" ht="23.25" customHeight="1" x14ac:dyDescent="0.2">
      <c r="A13" s="439" t="s">
        <v>125</v>
      </c>
      <c r="B13" s="440"/>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3">
        <v>0</v>
      </c>
    </row>
    <row r="14" spans="1:34" ht="23.25" customHeight="1" x14ac:dyDescent="0.2">
      <c r="A14" s="449" t="s">
        <v>106</v>
      </c>
      <c r="B14" s="449"/>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3">
        <f>SUM(C14:AG14)</f>
        <v>0</v>
      </c>
    </row>
    <row r="15" spans="1:34" ht="21.75" customHeight="1" x14ac:dyDescent="0.2">
      <c r="A15" s="450"/>
      <c r="B15" s="451"/>
      <c r="C15" s="451"/>
      <c r="D15" s="451"/>
      <c r="E15" s="451"/>
      <c r="F15" s="451"/>
      <c r="G15" s="451"/>
      <c r="H15" s="451"/>
      <c r="I15" s="451"/>
      <c r="J15" s="451"/>
      <c r="K15" s="451"/>
      <c r="L15" s="451"/>
      <c r="M15" s="451"/>
      <c r="N15" s="451"/>
      <c r="O15" s="451"/>
      <c r="P15" s="451"/>
      <c r="Q15" s="451"/>
      <c r="R15" s="451"/>
      <c r="S15" s="451"/>
      <c r="T15" s="451"/>
      <c r="U15" s="451"/>
      <c r="V15" s="451"/>
      <c r="W15" s="451"/>
      <c r="X15" s="451"/>
      <c r="Y15" s="451"/>
      <c r="Z15" s="451"/>
      <c r="AA15" s="451"/>
      <c r="AB15" s="451"/>
      <c r="AC15" s="45"/>
      <c r="AD15" s="46"/>
      <c r="AE15" s="46"/>
      <c r="AF15" s="46"/>
      <c r="AG15" s="46"/>
      <c r="AH15" s="74">
        <f>SUM(AH3:AH14)</f>
        <v>0</v>
      </c>
    </row>
    <row r="16" spans="1:34" ht="21.75" customHeight="1" x14ac:dyDescent="0.2">
      <c r="A16" s="452"/>
      <c r="B16" s="453"/>
      <c r="C16" s="453"/>
      <c r="D16" s="453"/>
      <c r="E16" s="453"/>
      <c r="F16" s="453"/>
      <c r="G16" s="453"/>
      <c r="H16" s="453"/>
      <c r="I16" s="453"/>
      <c r="J16" s="453"/>
      <c r="K16" s="453"/>
      <c r="L16" s="453"/>
      <c r="M16" s="453"/>
      <c r="N16" s="453"/>
      <c r="O16" s="453"/>
      <c r="P16" s="453"/>
      <c r="Q16" s="453"/>
      <c r="R16" s="453"/>
      <c r="S16" s="453"/>
      <c r="T16" s="453"/>
      <c r="U16" s="453"/>
      <c r="V16" s="453"/>
      <c r="W16" s="453"/>
      <c r="X16" s="453"/>
      <c r="Y16" s="453"/>
      <c r="Z16" s="453"/>
      <c r="AA16" s="453"/>
      <c r="AB16" s="453"/>
      <c r="AC16" s="454" t="s">
        <v>2</v>
      </c>
      <c r="AD16" s="455"/>
      <c r="AE16" s="456">
        <f>(AH3+AH11+AH12)*17.98+(AH4+AH5)*25.17+AH6*29.67+AH7*22.48+AH14+AH13</f>
        <v>0</v>
      </c>
      <c r="AF16" s="456"/>
      <c r="AG16" s="456"/>
      <c r="AH16" s="457"/>
    </row>
    <row r="17" spans="1:34" x14ac:dyDescent="0.2">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sheetData>
  <mergeCells count="19">
    <mergeCell ref="A13:B13"/>
    <mergeCell ref="A14:B14"/>
    <mergeCell ref="A15:AB16"/>
    <mergeCell ref="AC16:AD16"/>
    <mergeCell ref="AE16:AH16"/>
    <mergeCell ref="A12:B12"/>
    <mergeCell ref="A1:C1"/>
    <mergeCell ref="D1:AC1"/>
    <mergeCell ref="AD1:AH1"/>
    <mergeCell ref="A2:B2"/>
    <mergeCell ref="A3:B3"/>
    <mergeCell ref="A5:B5"/>
    <mergeCell ref="A4:B4"/>
    <mergeCell ref="A6:B6"/>
    <mergeCell ref="A7:B7"/>
    <mergeCell ref="A8:B8"/>
    <mergeCell ref="A10:B10"/>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41"/>
  <sheetViews>
    <sheetView tabSelected="1" workbookViewId="0">
      <selection activeCell="P11" sqref="P11"/>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6"/>
      <c r="B1" s="144" t="s">
        <v>157</v>
      </c>
      <c r="C1" s="144"/>
      <c r="D1" s="144"/>
      <c r="E1" s="144"/>
      <c r="F1" s="144"/>
      <c r="G1" s="144"/>
      <c r="H1" s="145" t="s">
        <v>156</v>
      </c>
      <c r="I1" s="145"/>
    </row>
    <row r="2" spans="1:9" ht="27" customHeight="1" x14ac:dyDescent="0.2">
      <c r="A2" s="146" t="s">
        <v>158</v>
      </c>
      <c r="B2" s="146"/>
      <c r="C2" s="146"/>
      <c r="D2" s="146"/>
      <c r="E2" s="146"/>
      <c r="F2" s="146"/>
      <c r="G2" s="146"/>
      <c r="H2" s="146"/>
      <c r="I2" s="146"/>
    </row>
    <row r="4" spans="1:9" x14ac:dyDescent="0.2">
      <c r="A4" s="462" t="s">
        <v>166</v>
      </c>
      <c r="B4" s="463"/>
      <c r="C4" s="463"/>
      <c r="D4" s="463"/>
      <c r="E4" s="463"/>
      <c r="F4" s="463"/>
      <c r="G4" s="463"/>
      <c r="H4" s="463"/>
      <c r="I4" s="463"/>
    </row>
    <row r="5" spans="1:9" x14ac:dyDescent="0.2">
      <c r="A5" s="463"/>
      <c r="B5" s="463"/>
      <c r="C5" s="463"/>
      <c r="D5" s="463"/>
      <c r="E5" s="463"/>
      <c r="F5" s="463"/>
      <c r="G5" s="463"/>
      <c r="H5" s="463"/>
      <c r="I5" s="463"/>
    </row>
    <row r="8" spans="1:9" ht="23.25" customHeight="1" x14ac:dyDescent="0.2">
      <c r="E8" s="141" t="s">
        <v>160</v>
      </c>
      <c r="F8" s="139" t="s">
        <v>162</v>
      </c>
      <c r="G8" s="137"/>
      <c r="H8" s="137"/>
      <c r="I8" s="137"/>
    </row>
    <row r="9" spans="1:9" ht="13.5" customHeight="1" x14ac:dyDescent="0.2">
      <c r="A9" s="383" t="s">
        <v>155</v>
      </c>
      <c r="B9" s="384"/>
      <c r="C9" s="384"/>
      <c r="D9" s="385"/>
      <c r="E9" s="341"/>
      <c r="F9" s="461">
        <f>(E9+E11+E13)/3</f>
        <v>0</v>
      </c>
      <c r="G9" s="460"/>
      <c r="H9" s="460"/>
      <c r="I9" s="138"/>
    </row>
    <row r="10" spans="1:9" ht="13.5" customHeight="1" x14ac:dyDescent="0.2">
      <c r="A10" s="389"/>
      <c r="B10" s="390"/>
      <c r="C10" s="390"/>
      <c r="D10" s="391"/>
      <c r="E10" s="341"/>
      <c r="F10" s="461"/>
      <c r="G10" s="460"/>
      <c r="H10" s="460"/>
      <c r="I10" s="138"/>
    </row>
    <row r="11" spans="1:9" ht="13.5" customHeight="1" x14ac:dyDescent="0.2">
      <c r="A11" s="383" t="s">
        <v>164</v>
      </c>
      <c r="B11" s="384"/>
      <c r="C11" s="384"/>
      <c r="D11" s="385"/>
      <c r="E11" s="341"/>
      <c r="F11" s="461"/>
      <c r="G11" s="460"/>
      <c r="H11" s="460"/>
      <c r="I11" s="138"/>
    </row>
    <row r="12" spans="1:9" ht="13.5" customHeight="1" x14ac:dyDescent="0.2">
      <c r="A12" s="389"/>
      <c r="B12" s="390"/>
      <c r="C12" s="390"/>
      <c r="D12" s="391"/>
      <c r="E12" s="341"/>
      <c r="F12" s="461"/>
      <c r="G12" s="460"/>
      <c r="H12" s="460"/>
      <c r="I12" s="138"/>
    </row>
    <row r="13" spans="1:9" ht="13.5" customHeight="1" x14ac:dyDescent="0.2">
      <c r="A13" s="383" t="s">
        <v>159</v>
      </c>
      <c r="B13" s="384"/>
      <c r="C13" s="384"/>
      <c r="D13" s="385"/>
      <c r="E13" s="369"/>
      <c r="F13" s="461"/>
      <c r="G13" s="137"/>
      <c r="H13" s="137"/>
      <c r="I13" s="138"/>
    </row>
    <row r="14" spans="1:9" ht="13.5" customHeight="1" x14ac:dyDescent="0.2">
      <c r="A14" s="389"/>
      <c r="B14" s="390"/>
      <c r="C14" s="390"/>
      <c r="D14" s="391"/>
      <c r="E14" s="371"/>
      <c r="F14" s="461"/>
      <c r="G14" s="137"/>
      <c r="H14" s="137"/>
      <c r="I14" s="138"/>
    </row>
    <row r="15" spans="1:9" ht="13.5" customHeight="1" x14ac:dyDescent="0.2">
      <c r="A15" s="135"/>
      <c r="B15" s="135"/>
      <c r="C15" s="135"/>
      <c r="D15" s="135"/>
      <c r="E15" s="134"/>
      <c r="F15" s="134"/>
      <c r="G15" s="134"/>
      <c r="H15" s="134"/>
    </row>
    <row r="16" spans="1:9" x14ac:dyDescent="0.2">
      <c r="E16" s="459" t="s">
        <v>163</v>
      </c>
      <c r="F16" s="459"/>
      <c r="G16" s="459"/>
      <c r="H16" s="459"/>
      <c r="I16" s="459"/>
    </row>
    <row r="18" spans="1:9" x14ac:dyDescent="0.2">
      <c r="C18" s="387"/>
      <c r="D18" s="387"/>
      <c r="E18" s="387"/>
      <c r="F18" s="387"/>
    </row>
    <row r="19" spans="1:9" x14ac:dyDescent="0.2">
      <c r="C19" s="387"/>
      <c r="D19" s="387"/>
      <c r="E19" s="387"/>
      <c r="F19" s="387"/>
    </row>
    <row r="20" spans="1:9" x14ac:dyDescent="0.2">
      <c r="A20" s="140" t="s">
        <v>161</v>
      </c>
      <c r="B20" s="65"/>
    </row>
    <row r="22" spans="1:9" x14ac:dyDescent="0.2">
      <c r="A22" s="341"/>
      <c r="B22" s="341"/>
      <c r="C22" s="341"/>
      <c r="D22" s="341"/>
      <c r="E22" s="341"/>
      <c r="F22" s="341"/>
      <c r="G22" s="341"/>
      <c r="H22" s="341"/>
      <c r="I22" s="341"/>
    </row>
    <row r="23" spans="1:9" x14ac:dyDescent="0.2">
      <c r="A23" s="341"/>
      <c r="B23" s="341"/>
      <c r="C23" s="341"/>
      <c r="D23" s="341"/>
      <c r="E23" s="341"/>
      <c r="F23" s="341"/>
      <c r="G23" s="341"/>
      <c r="H23" s="341"/>
      <c r="I23" s="341"/>
    </row>
    <row r="24" spans="1:9" x14ac:dyDescent="0.2">
      <c r="A24" s="341"/>
      <c r="B24" s="341"/>
      <c r="C24" s="341"/>
      <c r="D24" s="341"/>
      <c r="E24" s="341"/>
      <c r="F24" s="341"/>
      <c r="G24" s="341"/>
      <c r="H24" s="341"/>
      <c r="I24" s="341"/>
    </row>
    <row r="25" spans="1:9" x14ac:dyDescent="0.2">
      <c r="A25" s="341"/>
      <c r="B25" s="341"/>
      <c r="C25" s="341"/>
      <c r="D25" s="341"/>
      <c r="E25" s="341"/>
      <c r="F25" s="341"/>
      <c r="G25" s="341"/>
      <c r="H25" s="341"/>
      <c r="I25" s="341"/>
    </row>
    <row r="26" spans="1:9" x14ac:dyDescent="0.2">
      <c r="A26" s="341"/>
      <c r="B26" s="341"/>
      <c r="C26" s="341"/>
      <c r="D26" s="341"/>
      <c r="E26" s="341"/>
      <c r="F26" s="341"/>
      <c r="G26" s="341"/>
      <c r="H26" s="341"/>
      <c r="I26" s="341"/>
    </row>
    <row r="27" spans="1:9" x14ac:dyDescent="0.2">
      <c r="A27" s="341"/>
      <c r="B27" s="341"/>
      <c r="C27" s="341"/>
      <c r="D27" s="341"/>
      <c r="E27" s="341"/>
      <c r="F27" s="341"/>
      <c r="G27" s="341"/>
      <c r="H27" s="341"/>
      <c r="I27" s="341"/>
    </row>
    <row r="28" spans="1:9" x14ac:dyDescent="0.2">
      <c r="A28" s="341"/>
      <c r="B28" s="341"/>
      <c r="C28" s="341"/>
      <c r="D28" s="341"/>
      <c r="E28" s="341"/>
      <c r="F28" s="341"/>
      <c r="G28" s="341"/>
      <c r="H28" s="341"/>
      <c r="I28" s="341"/>
    </row>
    <row r="29" spans="1:9" x14ac:dyDescent="0.2">
      <c r="A29" s="341"/>
      <c r="B29" s="341"/>
      <c r="C29" s="341"/>
      <c r="D29" s="341"/>
      <c r="E29" s="341"/>
      <c r="F29" s="341"/>
      <c r="G29" s="341"/>
      <c r="H29" s="341"/>
      <c r="I29" s="341"/>
    </row>
    <row r="30" spans="1:9" x14ac:dyDescent="0.2">
      <c r="A30" s="341"/>
      <c r="B30" s="341"/>
      <c r="C30" s="341"/>
      <c r="D30" s="341"/>
      <c r="E30" s="341"/>
      <c r="F30" s="341"/>
      <c r="G30" s="341"/>
      <c r="H30" s="341"/>
      <c r="I30" s="341"/>
    </row>
    <row r="31" spans="1:9" x14ac:dyDescent="0.2">
      <c r="A31" s="341"/>
      <c r="B31" s="341"/>
      <c r="C31" s="341"/>
      <c r="D31" s="341"/>
      <c r="E31" s="341"/>
      <c r="F31" s="341"/>
      <c r="G31" s="341"/>
      <c r="H31" s="341"/>
      <c r="I31" s="341"/>
    </row>
    <row r="32" spans="1:9" x14ac:dyDescent="0.2">
      <c r="A32" s="341"/>
      <c r="B32" s="341"/>
      <c r="C32" s="341"/>
      <c r="D32" s="341"/>
      <c r="E32" s="341"/>
      <c r="F32" s="341"/>
      <c r="G32" s="341"/>
      <c r="H32" s="341"/>
      <c r="I32" s="341"/>
    </row>
    <row r="33" spans="1:9" x14ac:dyDescent="0.2">
      <c r="A33" s="341"/>
      <c r="B33" s="341"/>
      <c r="C33" s="341"/>
      <c r="D33" s="341"/>
      <c r="E33" s="341"/>
      <c r="F33" s="341"/>
      <c r="G33" s="341"/>
      <c r="H33" s="341"/>
      <c r="I33" s="341"/>
    </row>
    <row r="34" spans="1:9" x14ac:dyDescent="0.2">
      <c r="A34" s="341"/>
      <c r="B34" s="341"/>
      <c r="C34" s="341"/>
      <c r="D34" s="341"/>
      <c r="E34" s="341"/>
      <c r="F34" s="341"/>
      <c r="G34" s="341"/>
      <c r="H34" s="341"/>
      <c r="I34" s="341"/>
    </row>
    <row r="35" spans="1:9" x14ac:dyDescent="0.2">
      <c r="A35" s="341"/>
      <c r="B35" s="341"/>
      <c r="C35" s="341"/>
      <c r="D35" s="341"/>
      <c r="E35" s="341"/>
      <c r="F35" s="341"/>
      <c r="G35" s="341"/>
      <c r="H35" s="341"/>
      <c r="I35" s="341"/>
    </row>
    <row r="36" spans="1:9" x14ac:dyDescent="0.2">
      <c r="A36" s="341"/>
      <c r="B36" s="341"/>
      <c r="C36" s="341"/>
      <c r="D36" s="341"/>
      <c r="E36" s="341"/>
      <c r="F36" s="341"/>
      <c r="G36" s="341"/>
      <c r="H36" s="341"/>
      <c r="I36" s="341"/>
    </row>
    <row r="41" spans="1:9" ht="20.25" x14ac:dyDescent="0.2">
      <c r="A41" s="458" t="s">
        <v>165</v>
      </c>
      <c r="B41" s="458"/>
      <c r="C41" s="458"/>
      <c r="D41" s="458"/>
      <c r="E41" s="458"/>
    </row>
  </sheetData>
  <mergeCells count="19">
    <mergeCell ref="B1:G1"/>
    <mergeCell ref="H1:I1"/>
    <mergeCell ref="A2:I2"/>
    <mergeCell ref="A4:I5"/>
    <mergeCell ref="A41:E41"/>
    <mergeCell ref="E16:I16"/>
    <mergeCell ref="C18:F19"/>
    <mergeCell ref="G9:G10"/>
    <mergeCell ref="H9:H10"/>
    <mergeCell ref="E11:E12"/>
    <mergeCell ref="G11:G12"/>
    <mergeCell ref="H11:H12"/>
    <mergeCell ref="F9:F14"/>
    <mergeCell ref="A9:D10"/>
    <mergeCell ref="A11:D12"/>
    <mergeCell ref="E9:E10"/>
    <mergeCell ref="A13:D14"/>
    <mergeCell ref="E13:E14"/>
    <mergeCell ref="A22:I36"/>
  </mergeCells>
  <pageMargins left="0.25" right="0.25" top="0.75" bottom="0.75" header="0.3" footer="0.3"/>
  <pageSetup paperSize="9"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vt:i4>
      </vt:variant>
    </vt:vector>
  </HeadingPairs>
  <TitlesOfParts>
    <vt:vector size="12" baseType="lpstr">
      <vt:lpstr>Validación</vt:lpstr>
      <vt:lpstr>Orden de Pedido</vt:lpstr>
      <vt:lpstr>Instrucción de trabajo</vt:lpstr>
      <vt:lpstr>Información</vt:lpstr>
      <vt:lpstr>Grafico</vt:lpstr>
      <vt:lpstr>Recuento final</vt:lpstr>
      <vt:lpstr>Estimación de horas y costes</vt:lpstr>
      <vt:lpstr>Valoración del servicio</vt:lpstr>
      <vt:lpstr>'Instrucción de trabajo'!Print_Area</vt:lpstr>
      <vt:lpstr>'Orden de Pedido'!Print_Area</vt:lpstr>
      <vt:lpstr>Validación!Print_Area</vt:lpstr>
      <vt:lpstr>'Instrucción de trabajo'!Print_Titles</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2015-10-26T19:30:29Z</cp:lastPrinted>
  <dcterms:created xsi:type="dcterms:W3CDTF">2007-01-22T12:13:31Z</dcterms:created>
  <dcterms:modified xsi:type="dcterms:W3CDTF">2015-10-28T19:46:40Z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93e9e94a-01ad-4d77-8dec-754e242d4eae</vt:lpwstr>
  </property>
</Properties>
</file>